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400" windowHeight="13440" tabRatio="601" activeTab="2"/>
  </bookViews>
  <sheets>
    <sheet name="表格说明" sheetId="1" r:id="rId1"/>
    <sheet name="表结构总览" sheetId="7" r:id="rId2"/>
    <sheet name="数据元说明" sheetId="3" r:id="rId3"/>
    <sheet name="数据结构" sheetId="2" r:id="rId4"/>
    <sheet name="自营报送范围" sheetId="6" r:id="rId5"/>
    <sheet name="删除的表和数据项" sheetId="4" r:id="rId6"/>
  </sheets>
  <externalReferences>
    <externalReference r:id="rId7"/>
  </externalReferences>
  <definedNames>
    <definedName name="_xlnm._FilterDatabase" localSheetId="1" hidden="1">表结构总览!$A$1:$I$87</definedName>
    <definedName name="_xlnm._FilterDatabase" localSheetId="2" hidden="1">数据元说明!$A$3:$F$316</definedName>
    <definedName name="_xlnm._FilterDatabase" localSheetId="3" hidden="1">数据结构!$A$4:$P$2055</definedName>
    <definedName name="_xlnm._FilterDatabase" localSheetId="5" hidden="1">删除的表和数据项!$A$3:$IK$488</definedName>
    <definedName name="Z_F0CFB77D_A0AA_42D2_9325_13E6710D5843_.wvu.FilterData" localSheetId="3" hidden="1">数据结构!$A$4:$M$1607</definedName>
    <definedName name="Z_F0CFB77D_A0AA_42D2_9325_13E6710D5843_.wvu.FilterData" localSheetId="2" hidden="1">数据元说明!$5:$212</definedName>
    <definedName name="_xlnm.Print_Area" localSheetId="3">数据结构!$A$1:$P$2055</definedName>
    <definedName name="_xlnm.Print_Area" localSheetId="2">数据元说明!#REF!</definedName>
    <definedName name="_xlnm.Print_Area" localSheetId="1">表结构总览!$A$1:$I$87</definedName>
    <definedName name="_xlnm.Print_Area" localSheetId="4">自营报送范围!$A$1:$C$68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<sst xmlns="http://schemas.openxmlformats.org/spreadsheetml/2006/main" count="17260" uniqueCount="6753">
  <si>
    <r>
      <rPr>
        <b/>
        <sz val="18"/>
        <rFont val="宋体"/>
        <charset val="134"/>
      </rPr>
      <t>中国银保监会银行业金融机构监管数据标准化规范</t>
    </r>
    <r>
      <rPr>
        <b/>
        <sz val="18"/>
        <rFont val="Times New Roman"/>
        <charset val="134"/>
      </rPr>
      <t xml:space="preserve">
</t>
    </r>
    <r>
      <rPr>
        <b/>
        <sz val="18"/>
        <rFont val="宋体"/>
        <charset val="134"/>
      </rPr>
      <t>数据结构一览表说明</t>
    </r>
  </si>
  <si>
    <r>
      <rPr>
        <sz val="14"/>
        <rFont val="Times New Roman"/>
        <charset val="134"/>
      </rPr>
      <t xml:space="preserve">1. </t>
    </r>
    <r>
      <rPr>
        <sz val="14"/>
        <rFont val="宋体"/>
        <charset val="134"/>
      </rPr>
      <t>标准化数据结构以表形式组织。一个或多个表归属于一个分类，每个表包含多个数据项。</t>
    </r>
  </si>
  <si>
    <r>
      <rPr>
        <sz val="14"/>
        <rFont val="Times New Roman"/>
        <charset val="134"/>
      </rPr>
      <t xml:space="preserve">2. </t>
    </r>
    <r>
      <rPr>
        <sz val="14"/>
        <rFont val="宋体"/>
        <charset val="134"/>
      </rPr>
      <t>数据项已按表进行分类组合，通过使用最左侧导航按钮，可以展开或隐藏各表数据项，便于查看。</t>
    </r>
  </si>
  <si>
    <r>
      <rPr>
        <sz val="14"/>
        <color rgb="FFFF0000"/>
        <rFont val="Times New Roman"/>
        <charset val="134"/>
      </rPr>
      <t xml:space="preserve">3. </t>
    </r>
    <r>
      <rPr>
        <sz val="14"/>
        <color rgb="FFFF0000"/>
        <rFont val="宋体"/>
        <charset val="134"/>
      </rPr>
      <t>数据结构备注中</t>
    </r>
    <r>
      <rPr>
        <sz val="14"/>
        <color rgb="FFFF0000"/>
        <rFont val="Times New Roman"/>
        <charset val="134"/>
      </rPr>
      <t>PK</t>
    </r>
    <r>
      <rPr>
        <sz val="14"/>
        <color rgb="FFFF0000"/>
        <rFont val="宋体"/>
        <charset val="134"/>
      </rPr>
      <t>为监管部门作为唯一性约束的参考条件，含有多个</t>
    </r>
    <r>
      <rPr>
        <sz val="14"/>
        <color rgb="FFFF0000"/>
        <rFont val="Times New Roman"/>
        <charset val="134"/>
      </rPr>
      <t>PK</t>
    </r>
    <r>
      <rPr>
        <sz val="14"/>
        <color rgb="FFFF0000"/>
        <rFont val="宋体"/>
        <charset val="134"/>
      </rPr>
      <t>的，表示联合主键的参考，并不作为主外键唯一性约束的要求，银行机构可根据数据实际入库情况作出调整。</t>
    </r>
  </si>
  <si>
    <r>
      <rPr>
        <sz val="14"/>
        <rFont val="Times New Roman"/>
        <charset val="134"/>
      </rPr>
      <t>4. “</t>
    </r>
    <r>
      <rPr>
        <sz val="14"/>
        <rFont val="宋体"/>
        <charset val="134"/>
      </rPr>
      <t>数据元说明</t>
    </r>
    <r>
      <rPr>
        <sz val="14"/>
        <rFont val="Times New Roman"/>
        <charset val="134"/>
      </rPr>
      <t>”</t>
    </r>
    <r>
      <rPr>
        <sz val="14"/>
        <rFont val="宋体"/>
        <charset val="134"/>
      </rPr>
      <t>定义数据项的类型及长度的表示形式。</t>
    </r>
  </si>
  <si>
    <r>
      <rPr>
        <sz val="14"/>
        <rFont val="Times New Roman"/>
        <charset val="134"/>
      </rPr>
      <t xml:space="preserve">5. </t>
    </r>
    <r>
      <rPr>
        <sz val="14"/>
        <rFont val="宋体"/>
        <charset val="134"/>
      </rPr>
      <t>数据项中备注</t>
    </r>
    <r>
      <rPr>
        <sz val="14"/>
        <rFont val="Times New Roman"/>
        <charset val="134"/>
      </rPr>
      <t>“</t>
    </r>
    <r>
      <rPr>
        <sz val="14"/>
        <rFont val="宋体"/>
        <charset val="134"/>
      </rPr>
      <t>关联数据项：</t>
    </r>
    <r>
      <rPr>
        <sz val="14"/>
        <rFont val="Times New Roman"/>
        <charset val="134"/>
      </rPr>
      <t>[</t>
    </r>
    <r>
      <rPr>
        <sz val="14"/>
        <rFont val="宋体"/>
        <charset val="134"/>
      </rPr>
      <t>表名</t>
    </r>
    <r>
      <rPr>
        <sz val="14"/>
        <rFont val="Times New Roman"/>
        <charset val="134"/>
      </rPr>
      <t>].[</t>
    </r>
    <r>
      <rPr>
        <sz val="14"/>
        <rFont val="宋体"/>
        <charset val="134"/>
      </rPr>
      <t>数据项名</t>
    </r>
    <r>
      <rPr>
        <sz val="14"/>
        <rFont val="Times New Roman"/>
        <charset val="134"/>
      </rPr>
      <t>]”</t>
    </r>
    <r>
      <rPr>
        <sz val="14"/>
        <rFont val="宋体"/>
        <charset val="134"/>
      </rPr>
      <t>表示该数据项取值的参考数据项。例如</t>
    </r>
    <r>
      <rPr>
        <sz val="14"/>
        <rFont val="Times New Roman"/>
        <charset val="134"/>
      </rPr>
      <t>“</t>
    </r>
    <r>
      <rPr>
        <sz val="14"/>
        <rFont val="宋体"/>
        <charset val="134"/>
      </rPr>
      <t>关联数据项</t>
    </r>
    <r>
      <rPr>
        <sz val="14"/>
        <rFont val="Times New Roman"/>
        <charset val="134"/>
      </rPr>
      <t>:</t>
    </r>
    <r>
      <rPr>
        <sz val="14"/>
        <rFont val="宋体"/>
        <charset val="134"/>
      </rPr>
      <t>机构信息表</t>
    </r>
    <r>
      <rPr>
        <sz val="14"/>
        <rFont val="Times New Roman"/>
        <charset val="134"/>
      </rPr>
      <t>.</t>
    </r>
    <r>
      <rPr>
        <sz val="14"/>
        <rFont val="宋体"/>
        <charset val="134"/>
      </rPr>
      <t>内部机构号</t>
    </r>
    <r>
      <rPr>
        <sz val="14"/>
        <rFont val="Times New Roman"/>
        <charset val="134"/>
      </rPr>
      <t>”</t>
    </r>
    <r>
      <rPr>
        <sz val="14"/>
        <rFont val="宋体"/>
        <charset val="134"/>
      </rPr>
      <t>表示该数据项应和</t>
    </r>
    <r>
      <rPr>
        <sz val="14"/>
        <rFont val="Times New Roman"/>
        <charset val="134"/>
      </rPr>
      <t>“</t>
    </r>
    <r>
      <rPr>
        <sz val="14"/>
        <rFont val="宋体"/>
        <charset val="134"/>
      </rPr>
      <t>机构信息表</t>
    </r>
    <r>
      <rPr>
        <sz val="14"/>
        <rFont val="Times New Roman"/>
        <charset val="134"/>
      </rPr>
      <t>”</t>
    </r>
    <r>
      <rPr>
        <sz val="14"/>
        <rFont val="宋体"/>
        <charset val="134"/>
      </rPr>
      <t>中的</t>
    </r>
    <r>
      <rPr>
        <sz val="14"/>
        <rFont val="Times New Roman"/>
        <charset val="134"/>
      </rPr>
      <t>“</t>
    </r>
    <r>
      <rPr>
        <sz val="14"/>
        <rFont val="宋体"/>
        <charset val="134"/>
      </rPr>
      <t>内部机构号</t>
    </r>
    <r>
      <rPr>
        <sz val="14"/>
        <rFont val="Times New Roman"/>
        <charset val="134"/>
      </rPr>
      <t>”</t>
    </r>
    <r>
      <rPr>
        <sz val="14"/>
        <rFont val="宋体"/>
        <charset val="134"/>
      </rPr>
      <t>数据项取值一致。</t>
    </r>
  </si>
  <si>
    <r>
      <rPr>
        <sz val="14"/>
        <rFont val="Times New Roman"/>
        <charset val="134"/>
      </rPr>
      <t xml:space="preserve">6.  Cn </t>
    </r>
    <r>
      <rPr>
        <sz val="14"/>
        <rFont val="宋体"/>
        <charset val="134"/>
      </rPr>
      <t>表示</t>
    </r>
    <r>
      <rPr>
        <sz val="14"/>
        <rFont val="Times New Roman"/>
        <charset val="134"/>
      </rPr>
      <t>n</t>
    </r>
    <r>
      <rPr>
        <sz val="14"/>
        <rFont val="宋体"/>
        <charset val="134"/>
      </rPr>
      <t>个</t>
    </r>
    <r>
      <rPr>
        <sz val="14"/>
        <color rgb="FFFF0000"/>
        <rFont val="宋体"/>
        <charset val="134"/>
      </rPr>
      <t>字符</t>
    </r>
    <r>
      <rPr>
        <sz val="14"/>
        <rFont val="宋体"/>
        <charset val="134"/>
      </rPr>
      <t>的固定长度，相应的字符长度由字符编码集确定。</t>
    </r>
    <r>
      <rPr>
        <sz val="14"/>
        <color rgb="FFFF0000"/>
        <rFont val="Times New Roman"/>
        <charset val="134"/>
      </rPr>
      <t>UTF-8</t>
    </r>
    <r>
      <rPr>
        <sz val="14"/>
        <color rgb="FFFF0000"/>
        <rFont val="宋体"/>
        <charset val="134"/>
      </rPr>
      <t>的中文字符占</t>
    </r>
    <r>
      <rPr>
        <sz val="14"/>
        <color rgb="FFFF0000"/>
        <rFont val="Times New Roman"/>
        <charset val="134"/>
      </rPr>
      <t>3</t>
    </r>
    <r>
      <rPr>
        <sz val="14"/>
        <color rgb="FFFF0000"/>
        <rFont val="宋体"/>
        <charset val="134"/>
      </rPr>
      <t>个字节。</t>
    </r>
  </si>
  <si>
    <r>
      <rPr>
        <sz val="14"/>
        <rFont val="Times New Roman"/>
        <charset val="134"/>
      </rPr>
      <t xml:space="preserve">7. C..n </t>
    </r>
    <r>
      <rPr>
        <sz val="14"/>
        <rFont val="宋体"/>
        <charset val="134"/>
      </rPr>
      <t>表示最多为</t>
    </r>
    <r>
      <rPr>
        <sz val="14"/>
        <rFont val="Times New Roman"/>
        <charset val="134"/>
      </rPr>
      <t>n</t>
    </r>
    <r>
      <rPr>
        <sz val="14"/>
        <rFont val="宋体"/>
        <charset val="134"/>
      </rPr>
      <t>个</t>
    </r>
    <r>
      <rPr>
        <sz val="14"/>
        <color rgb="FFFF0000"/>
        <rFont val="宋体"/>
        <charset val="134"/>
      </rPr>
      <t>字符</t>
    </r>
    <r>
      <rPr>
        <sz val="14"/>
        <rFont val="宋体"/>
        <charset val="134"/>
      </rPr>
      <t>的可变长度。</t>
    </r>
    <r>
      <rPr>
        <sz val="14"/>
        <color rgb="FFFF0000"/>
        <rFont val="Times New Roman"/>
        <charset val="134"/>
      </rPr>
      <t>UTF-8</t>
    </r>
    <r>
      <rPr>
        <sz val="14"/>
        <color rgb="FFFF0000"/>
        <rFont val="宋体"/>
        <charset val="134"/>
      </rPr>
      <t>的中文字符占</t>
    </r>
    <r>
      <rPr>
        <sz val="14"/>
        <color rgb="FFFF0000"/>
        <rFont val="Times New Roman"/>
        <charset val="134"/>
      </rPr>
      <t>3</t>
    </r>
    <r>
      <rPr>
        <sz val="14"/>
        <color rgb="FFFF0000"/>
        <rFont val="宋体"/>
        <charset val="134"/>
      </rPr>
      <t>个字节。</t>
    </r>
  </si>
  <si>
    <r>
      <rPr>
        <sz val="14"/>
        <rFont val="Times New Roman"/>
        <charset val="134"/>
      </rPr>
      <t xml:space="preserve">8. I </t>
    </r>
    <r>
      <rPr>
        <sz val="14"/>
        <rFont val="宋体"/>
        <charset val="134"/>
      </rPr>
      <t>表示整数可计算形式。</t>
    </r>
  </si>
  <si>
    <r>
      <rPr>
        <sz val="14"/>
        <rFont val="Times New Roman"/>
        <charset val="134"/>
      </rPr>
      <t xml:space="preserve">9. I..n </t>
    </r>
    <r>
      <rPr>
        <sz val="14"/>
        <rFont val="宋体"/>
        <charset val="134"/>
      </rPr>
      <t>表示最多为</t>
    </r>
    <r>
      <rPr>
        <sz val="14"/>
        <rFont val="Times New Roman"/>
        <charset val="134"/>
      </rPr>
      <t>n</t>
    </r>
    <r>
      <rPr>
        <sz val="14"/>
        <rFont val="宋体"/>
        <charset val="134"/>
      </rPr>
      <t>位的整数可计算形式。</t>
    </r>
  </si>
  <si>
    <r>
      <rPr>
        <sz val="14"/>
        <rFont val="Times New Roman"/>
        <charset val="134"/>
      </rPr>
      <t xml:space="preserve">10. Dw.d </t>
    </r>
    <r>
      <rPr>
        <sz val="14"/>
        <rFont val="宋体"/>
        <charset val="134"/>
      </rPr>
      <t>表示十进制小数可计算形式，</t>
    </r>
    <r>
      <rPr>
        <sz val="14"/>
        <rFont val="Times New Roman"/>
        <charset val="134"/>
      </rPr>
      <t>w</t>
    </r>
    <r>
      <rPr>
        <sz val="14"/>
        <rFont val="宋体"/>
        <charset val="134"/>
      </rPr>
      <t>表示包含小数点前后字符位在内的整个字段最多字符位数，</t>
    </r>
    <r>
      <rPr>
        <sz val="14"/>
        <rFont val="Times New Roman"/>
        <charset val="134"/>
      </rPr>
      <t>d</t>
    </r>
    <r>
      <rPr>
        <sz val="14"/>
        <rFont val="宋体"/>
        <charset val="134"/>
      </rPr>
      <t>表示小数点后的最多字符位数。</t>
    </r>
  </si>
  <si>
    <r>
      <rPr>
        <sz val="14"/>
        <rFont val="Times New Roman"/>
        <charset val="134"/>
      </rPr>
      <t xml:space="preserve">11. F </t>
    </r>
    <r>
      <rPr>
        <sz val="14"/>
        <rFont val="宋体"/>
        <charset val="134"/>
      </rPr>
      <t>表示任意长度浮点数。</t>
    </r>
  </si>
  <si>
    <r>
      <rPr>
        <sz val="14"/>
        <color rgb="FFFF0000"/>
        <rFont val="Times New Roman"/>
        <charset val="134"/>
      </rPr>
      <t>12.</t>
    </r>
    <r>
      <rPr>
        <sz val="14"/>
        <color rgb="FFFF0000"/>
        <rFont val="宋体"/>
        <charset val="134"/>
      </rPr>
      <t>本规范中涉及到的“明细科目编号”及“明细科目名称”均为该笔业务数据关联的主要会计科目名称，同一条数据涉及多个会计科目的仅报送该笔业务指向的主要会计科目，并不作为总分核对的分类指标。</t>
    </r>
  </si>
  <si>
    <t>表编号</t>
  </si>
  <si>
    <t>报送模式</t>
  </si>
  <si>
    <t>报送要求</t>
  </si>
  <si>
    <t>修改说明</t>
  </si>
  <si>
    <t>主题</t>
  </si>
  <si>
    <t>公共信息</t>
  </si>
  <si>
    <t>001</t>
  </si>
  <si>
    <t>表名</t>
  </si>
  <si>
    <t>JGXXB</t>
  </si>
  <si>
    <t>机构信息表</t>
  </si>
  <si>
    <t>全量表，报送截止采集日有效的数据以及与上一采集日期间失效的数据。</t>
  </si>
  <si>
    <t>本表报送银行机构或业务中心信息，业务中心包含管理机构、营业机构、内设机构、虚拟机构。对于营业机构、内设机构、虚拟机构，银行机构代码、金融许可证号等字段可以取上级机构或者本级实体机构对应的信息。境外机构也需要报送，根据实际情况无法填报的字段可以为空。子公司不必报送。机构永久关停、撤销等情况的，在报送最后状态的次月可不再报送。</t>
  </si>
  <si>
    <t>修改</t>
  </si>
  <si>
    <t>YGB</t>
  </si>
  <si>
    <t>员工表</t>
  </si>
  <si>
    <t>在职类正式/非正式员工需每月报送，非正式员工包括合同制、劳务派遣员工。员工状态转为离职、退休、开除、死亡、调出等的，在报送该员工最后状态的次月可不再报送。子公司员工不用报送，调动至子公司的员工按离职报送。董事、监事不用报送。</t>
  </si>
  <si>
    <t>GYB</t>
  </si>
  <si>
    <t>柜员表</t>
  </si>
  <si>
    <r>
      <rPr>
        <sz val="12"/>
        <color rgb="FFFF0000"/>
        <rFont val="宋体"/>
        <charset val="134"/>
      </rPr>
      <t>包含实体柜员和虚拟柜员。为虚拟柜员时，工号、银行机构代码等字段依业务实际填列或留为缺失值，如报送虚拟柜员，则通过</t>
    </r>
    <r>
      <rPr>
        <sz val="12"/>
        <color rgb="FFFF0000"/>
        <rFont val="Times New Roman"/>
        <charset val="134"/>
      </rPr>
      <t>“</t>
    </r>
    <r>
      <rPr>
        <sz val="12"/>
        <color rgb="FFFF0000"/>
        <rFont val="宋体"/>
        <charset val="134"/>
      </rPr>
      <t>柜员类型</t>
    </r>
    <r>
      <rPr>
        <sz val="12"/>
        <color rgb="FFFF0000"/>
        <rFont val="Times New Roman"/>
        <charset val="134"/>
      </rPr>
      <t>”</t>
    </r>
    <r>
      <rPr>
        <sz val="12"/>
        <color rgb="FFFF0000"/>
        <rFont val="宋体"/>
        <charset val="134"/>
      </rPr>
      <t>字段进行区分；柜员状态转为注销、无效等时，可在报送该条数据最终状态的次月不再报送。</t>
    </r>
  </si>
  <si>
    <t>GWXXB</t>
  </si>
  <si>
    <t>岗位信息表</t>
  </si>
  <si>
    <t>银行机构内设立的所有岗位的相关信息，至少应包括核心和人力资源系统中的所有岗位信息。撤销的岗位于次月不再报送。</t>
  </si>
  <si>
    <t>JGGXB</t>
  </si>
  <si>
    <t>机构关系表</t>
  </si>
  <si>
    <t>机构关系表报送范围应包括所有进行账务处理的机构，至少应包括总行、分行、支行等实体机构和省级汇总、地市级汇总、法人汇总、分行汇总。会计全科目表中的机构在机构关系表中都需要报送，每次全量报送。</t>
  </si>
  <si>
    <t>GDXXB</t>
  </si>
  <si>
    <t>股东信息表</t>
  </si>
  <si>
    <t>全量表，报送截止采集日银行机构最新持股股东及持股比例等信息。</t>
  </si>
  <si>
    <t>本表应填报银行自身的股东。对于已上市银行，需填报持有或控制1%以上股份或表决权，及虽不足1%但对商业银行经营管理有重大影响的股东。未上市银行机构应报送所有的对公、个人股东信息。</t>
  </si>
  <si>
    <t>客户信息</t>
  </si>
  <si>
    <t>002</t>
  </si>
  <si>
    <t>GRJCXXB</t>
  </si>
  <si>
    <t>个人基础信息表</t>
  </si>
  <si>
    <t>个人基础信息，包括本行客户及本行客户的担保、配偶、亲属关系所涉及到的个人客户信息。不再列为银行客户的数据不报送，存续业务中的所有个人信息都报送。。</t>
  </si>
  <si>
    <t>GRKHGXB</t>
  </si>
  <si>
    <t>个人客户关系表</t>
  </si>
  <si>
    <t>个人客户关系信息。所有的个人对个人的关系，包括担保、亲属、配偶等。对公客户为个人客户担保的关系也需在本表报送。本人为本人担保的关系不报送。</t>
  </si>
  <si>
    <t>DGKHXXB</t>
  </si>
  <si>
    <t>对公客户信息表</t>
  </si>
  <si>
    <t>银行机构所有对公客户的基本信息。集团类的虚拟客户的客户信息要上报，在法人代表一栏填集团客户。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t>
  </si>
  <si>
    <t>DGKHCWXXB</t>
  </si>
  <si>
    <t>对公客户财务信息表</t>
  </si>
  <si>
    <t>增量表，报送本次采集日与上一采集日期间新增的数据。</t>
  </si>
  <si>
    <t>报送本月源系统中新收集的对公客户财务信息。对于非授信客户、负债类客户、离岸对公客户、机关事业单位、未达到税务部门建账标准的个体工商户等无需报送。</t>
  </si>
  <si>
    <t>新增</t>
  </si>
  <si>
    <t>JTKHB</t>
  </si>
  <si>
    <t>集团客户表</t>
  </si>
  <si>
    <t>报送在本行纳入集团授信的客户信息，包括供应链客户信息。以集团成员为最小粒度报送。同业集团客户信息无需报送。</t>
  </si>
  <si>
    <t>GLGXB</t>
  </si>
  <si>
    <t>关联关系表</t>
  </si>
  <si>
    <t>全量表，每期报送银行机构最新的客户关联关系信息，已失效的关联关系不报送。</t>
  </si>
  <si>
    <t>报送机构收集的对公客户以及填报机构自身的关联方和关系人信息，应包括主要股东、内部人、内部人近亲属、关联法人的董事、关联法人的监事、主要股东控股企业、内部人可施加重大影响的企业、供应链上下游、共同出资组建企业、担保关系、实际控制人、共同受同一关系人控制、集团成员、法定代表人、董事长（理事长）、监事长、总经理、财务主管等关联关系。对于填报机构自身的关联关系，需与机构自身认定的关联方和关系人一致，对于对公客户的关联关系，采取能采尽采的原则，包括但不限于授信尽职调查、外部数据源查询等途径获知的关联关系。同一关联方兼任或具有多重关联关系的，分多条进行报送。非授信客户、负债类客户不报送。</t>
  </si>
  <si>
    <t>卡片信息</t>
  </si>
  <si>
    <t>003</t>
  </si>
  <si>
    <t>JJKXXB</t>
  </si>
  <si>
    <t>借记卡信息表</t>
  </si>
  <si>
    <t>个人和对公客户在银行机构开办的借记卡信息，指只能存取款而无法透支的卡片信息。本表需每月全量报送，当卡片状态为“注销”时，可在报送最后状态的次月不再报送。</t>
  </si>
  <si>
    <t>CZXXB</t>
  </si>
  <si>
    <t>存折信息表</t>
  </si>
  <si>
    <t>个人和对公客户在银行机构开办的存折信息。包括存折和存单。本表需每月全量报送，当存折状态为“注销”时，可在报送最后状态的次月不再报送。</t>
  </si>
  <si>
    <t>SDSHXXB</t>
  </si>
  <si>
    <t>收单商户信息表</t>
  </si>
  <si>
    <t>报送本行因线下线上收单业务而拓展的线下POS终端、线上终端以及二维码商户的信息。同一商户存在多个POS终端的，按多条报送。商户状态为“失效”或“注销”等状态的，在报送最后状态的次月可不再报送。</t>
  </si>
  <si>
    <t>会计记账信息</t>
  </si>
  <si>
    <t>004</t>
  </si>
  <si>
    <t>ZZKJQKMB</t>
  </si>
  <si>
    <t>总账会计全科目表</t>
  </si>
  <si>
    <r>
      <rPr>
        <sz val="12"/>
        <color rgb="FFFF0000"/>
        <rFont val="宋体"/>
        <charset val="134"/>
      </rPr>
      <t>本表报送银行机构会计记账使用的所有会计科目及余额变动情况信息。余额为零的科目也要报送，不再使用的科目可以不报送。只报境内银行（不报子公司），包括总行、一级分行、二级分行、一级支行（最多报</t>
    </r>
    <r>
      <rPr>
        <sz val="12"/>
        <color rgb="FFFF0000"/>
        <rFont val="Times New Roman"/>
        <charset val="134"/>
      </rPr>
      <t>4</t>
    </r>
    <r>
      <rPr>
        <sz val="12"/>
        <color rgb="FFFF0000"/>
        <rFont val="宋体"/>
        <charset val="134"/>
      </rPr>
      <t>级）。如果发生新老科目变更，在当期数据中报送最新科目即可。每月最后一天数据应同时报送按月和按日为周期的会计数据，每年最后一天数据应同时报送按日、按月、季、半年、年为周期的会计数据，以此类推。只报送人民币和本外币合计。</t>
    </r>
  </si>
  <si>
    <t>NBKMDZB</t>
  </si>
  <si>
    <t>内部科目对照表</t>
  </si>
  <si>
    <t>本表报送总账会计全科目的上下级对应关系，以会计科目为最小粒度报送。内部科目对照表由法人机构统一确定，分支机构按同一内容报送。报送科目必须与当期《总账会计全科目表》中的科目一致。此表首次采集为全量采集，后续采集如有变化，需全量报送。</t>
  </si>
  <si>
    <t>GRHQCKFHZ</t>
  </si>
  <si>
    <t>个人活期存款分户账</t>
  </si>
  <si>
    <t>指金融机构吸收的所有以个人名义存入的活期存款。报送范围：参照1104报表G01_III中[2.2.1个人活期存款]除去信用卡溢缴款部分填报。个体工商户的存款属于个人存款。信用卡业务不在本表中填报。以活期存款账号为最小颗粒报送，如账户注销或终结，在报送该账户最终状态后的次月可不再报送。</t>
  </si>
  <si>
    <t>GRHQCKFHZMX</t>
  </si>
  <si>
    <t>个人活期存款分户账明细记录</t>
  </si>
  <si>
    <t>除计息、扣利息税外，所有影响个人活期存款账户余额变动的交易信息，不包括查询交易。</t>
  </si>
  <si>
    <t>GRDQCKFHZ</t>
  </si>
  <si>
    <t>个人定期存款分户账</t>
  </si>
  <si>
    <t>个人客户在银行机构开设的除活期存款账户以外其他所有以个人名义划入的存款账户信息，包括定期、定活两便、通知存款、机构性存款等多种非活期的账户信息。报送范围：参照1104报表G01_III[2.2 个人存款]-[2.2.1 个人活期存款]口径填报。个体工商户的存款属于个人存款。信用卡业务不在本表中填报。以定期存款账号为最小颗粒报送，如账户注销或终结，在报送该账户最终状态后的次月可不再报送。</t>
  </si>
  <si>
    <t>GRDQCKFHZMX</t>
  </si>
  <si>
    <t>个人定期存款分户账明细记录</t>
  </si>
  <si>
    <t>除计息、扣利息税外，所有影响个人定期存款账户余额变动的交易信息，不包括查询交易。</t>
  </si>
  <si>
    <t>DGHQCKFHZ</t>
  </si>
  <si>
    <t>对公活期存款分户账</t>
  </si>
  <si>
    <t>指银行机构吸收的除个人以外的机构（包括企业、事业单位、机关、社会团体、同业机构等）开立的所有活期存款账户信息。报送范围：参照1104报表G01_III中[2.1.1单位活期存款]以及财政部门、金融机构（同业）活期存款填报。按照人行账户管理办法划分标准，包括所有对公类活期账户余额（含同业账户）。以活期存款账号为最小颗粒报送，如账户注销或终结，在报送该账户最终状态后的次月可不再报送。</t>
  </si>
  <si>
    <t>DGHQCKFHZMX</t>
  </si>
  <si>
    <t>对公活期存款分户账明细记录</t>
  </si>
  <si>
    <t>所有影响对公活期存款账户余额变动的交易信息，不包括查询交易。不包括计息和扣利息税记录。</t>
  </si>
  <si>
    <t>DGDQCKFHZ</t>
  </si>
  <si>
    <t>对公定期存款分户账</t>
  </si>
  <si>
    <t>指银行机构吸收的除个人以外的机构（包括企业、财政部门、社保基金、部队、住房公积金、社会团体、同业机构等）开立的，除活期存款以外的其他所有存款账户信息。报送范围：参照1104报表G01_III[2.1 单位存款] - [2.1.1单位活期存款] + 财政部门、金融机构除活期外存款。包括对公定期、定活两便，以及对公协议、协定、结构性存款、同业存放、吸收的保险公司存放款、社会保障基金、2009年1月1日前签署的邮政储蓄机构等的协议存款的定期存款分户账信息。以定期存款账号为最小颗粒报送，如账户注销或终结，在报送该账户最终状态后的次月可不再报送。</t>
  </si>
  <si>
    <t>DGDQCKFHZMX</t>
  </si>
  <si>
    <t>对公定期存款分户账明细记录</t>
  </si>
  <si>
    <t>所有影响对公定期存款账户余额变动的交易信息，不包括查询交易。不包括计息和扣利息税记录。</t>
  </si>
  <si>
    <t>NBFHZ</t>
  </si>
  <si>
    <t>内部分户账</t>
  </si>
  <si>
    <t>根据会计核算科目，除机关财务账、单列账之外的科目原则上都归入内部账采集；单列账、机关财务账不报送，资本账户需要报送。以内部分户账号为最小颗粒报送，如账户注销或终结，在报送该账户最终状态后的次月可不再报送。交易与核算分离的机构，应根据总账科目中划分出对应内部分户账性质的科目，自定义内部分户账号进行报送。</t>
  </si>
  <si>
    <t>NBFHZMX</t>
  </si>
  <si>
    <t>内部分户账明细记录</t>
  </si>
  <si>
    <r>
      <rPr>
        <sz val="12"/>
        <color rgb="FFFF0000"/>
        <rFont val="宋体"/>
        <charset val="134"/>
      </rPr>
      <t>根据会计核算科目，除机关财务账、单列账之外的科目原则上都归入内部账采集；机关财务账、单列账不需要在此表报送，报送至信用卡和其余六个对公</t>
    </r>
    <r>
      <rPr>
        <sz val="12"/>
        <color rgb="FFFF0000"/>
        <rFont val="Times New Roman"/>
        <charset val="134"/>
      </rPr>
      <t>/</t>
    </r>
    <r>
      <rPr>
        <sz val="12"/>
        <color rgb="FFFF0000"/>
        <rFont val="宋体"/>
        <charset val="134"/>
      </rPr>
      <t>个人分户账中；资本账户需要报送。</t>
    </r>
  </si>
  <si>
    <t>GRXDFHZ</t>
  </si>
  <si>
    <t>个人信贷分户账</t>
  </si>
  <si>
    <t>本表为开展各项表内、表外信贷业务，以个人名义在银行机构所开立的信贷账户信息。报送范围：1104报表G01_VII[2.21 个人贷款(不含个人经营性贷款)] + [4.个人经营性贷款] - [2.21.1信用卡] + G01_I_2《委托贷款投向统计表》[2.21个人贷款(不含个人经营性贷款)] 。个体工商户、私营业主以营业执照等证件开立的对公账户也计入本表。表内个人贷款不报送信用卡业务。表外业务只报送委托贷款（非现金管理项下），其他不报送。以信贷借据号为最小粒度报送，借据结清、核销或转让的，可在报送最后状态的次月不再报送。账户状态为“销户”时，也可于次月不再报送。</t>
  </si>
  <si>
    <t>GRXDFHZMX</t>
  </si>
  <si>
    <t>个人信贷分户账明细记录</t>
  </si>
  <si>
    <t>所有影响个人信贷账户余额或利息变动的交易信息，包括还本、还息，不包括查询交易。贷款核销或者转让（包括资产证券化）也应该在本表体现：明细科目填报本金科目，交易金额为核销或转让前本金余额，余额为0，交易对手填写借款人自身信息，摘要中标明核销或者转让交易。</t>
  </si>
  <si>
    <t>DGXDFHZ</t>
  </si>
  <si>
    <t>对公信贷分户账</t>
  </si>
  <si>
    <t>除个人以外的各类机构（包括企业、机关团体、社保基金、部队、住房公积金）为开展各项信贷业务，在银行机构所开立的信贷账户信息。报送范围：1104报表G01_VII[1.各项贷款] - [2.21 个人贷款(不含个人经营性贷款)] - [4.个人经营性贷款] + G01_I_2《委托贷款投向统计表》[1.委托贷款合计（非现金管理项下）] - G01_I_2[2.21个人贷款(不含个人经营性贷款)]。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t>
  </si>
  <si>
    <t>DGXDFHZMX</t>
  </si>
  <si>
    <t>对公信贷分户账明细记录</t>
  </si>
  <si>
    <t>所有影响对公信贷账户余额或利息变动的交易信息，包括还本、还息，不包括查询交易。贷款核销或者转让（包括资产证券化）也应该在本表体现：明细科目填报本金科目，交易金额为核销或转让前本金余额，余额为0，交易对手填写借款人自身信息，摘要中标明核销或者转让交易。</t>
  </si>
  <si>
    <t>各项贷款</t>
  </si>
  <si>
    <t>005</t>
  </si>
  <si>
    <t>XDHTB</t>
  </si>
  <si>
    <t>信贷合同表</t>
  </si>
  <si>
    <t>报送范围：按照1104报表G01_VII[1.各项贷款] - G01_VII[2.21.1信用卡] +  G01_I_2《委托贷款投向统计表》[1.委托贷款合计（非现金管理项下）]口径填报。报送个人贷款、对公贷款、票据贴现、买断式转贴现、贸易融资业务、融资租赁业务、委托贷款（非现金管理项下）对应的业务合同，以及各项垫款对应的原业务合同。委托贷款中现金管理项下委托贷款不报送，其他表外业务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t>
  </si>
  <si>
    <t>GRXDYWJJB</t>
  </si>
  <si>
    <t>个人信贷业务借据表</t>
  </si>
  <si>
    <r>
      <rPr>
        <sz val="12"/>
        <color rgb="FFFF0000"/>
        <rFont val="宋体"/>
        <charset val="134"/>
      </rPr>
      <t xml:space="preserve">所有以个人名义在信贷业务中签订的借据信息。报送范围：按照1104报表G01_VII[2.21 个人贷款(不含个人经营性贷款)] + [4.个人经营性贷款] - [2.21.1信用卡] + </t>
    </r>
    <r>
      <rPr>
        <sz val="12"/>
        <color rgb="FFFF0000"/>
        <rFont val="Times New Roman"/>
        <charset val="134"/>
      </rPr>
      <t>G01_I_2</t>
    </r>
    <r>
      <rPr>
        <sz val="12"/>
        <color rgb="FFFF0000"/>
        <rFont val="宋体"/>
        <charset val="134"/>
      </rPr>
      <t>《委托贷款投向统计表》[2.21个人贷款(不含个人经营性贷款)] 填报口径。委托贷款中现金管理项下委托贷款不报送，其他表外业务不报送。信用卡业务不报送。对于票据贴现和买断式转贴现，可以填报为信贷合同号=信贷借据号=票据号码；对于其他若没有对应借据号的业务，可以填报为信贷合同号=信贷借据号=业务编号。借据状态为结清、核销、转让的可在报送最后状态的次月不再报送。</t>
    </r>
  </si>
  <si>
    <t>DGXDYWJJB</t>
  </si>
  <si>
    <t>对公信贷业务借据表</t>
  </si>
  <si>
    <t>所有以机构名义在信贷业务中签订的借据信息。报送范围：1104报表G01_VII[1.各项贷款] - [2.21 个人贷款(不含个人经营性贷款)] - [4.个人经营性贷款] + G01_I_2《委托贷款投向统计表》[1.委托贷款合计（非现金管理项下）] - G01_I_2[2.21个人贷款(不含个人经营性贷款)]。委托贷款中现金管理项下委托贷款不报送，其他表外业务不报送。对于票据贴现和买断式转贴现，可以填报为信贷合同号=信贷借据号=票据号码，信用证业务可填报信用证号；对于其他若没有对应借据号的业务，可以填报为信贷合同号=信贷借据号=业务编号。借据状态为结清、核销、转让的可在报送最后状态的次月不再报送。</t>
  </si>
  <si>
    <t>STZFXXB</t>
  </si>
  <si>
    <t>受托支付信息表</t>
  </si>
  <si>
    <t>增量表，报送上一采集日至当前采集日之间新增的信贷业务借据与受托支付对象的映射信息。</t>
  </si>
  <si>
    <t>[个人信贷业务借据表]和[对公信贷业务借据表]中放款方式为“受托支付”或“混合支付”的，在该表中报送受托支付对象信息。</t>
  </si>
  <si>
    <t>XMDKXXB</t>
  </si>
  <si>
    <t>项目贷款信息表</t>
  </si>
  <si>
    <t>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t>
  </si>
  <si>
    <t>YTDKXXB</t>
  </si>
  <si>
    <t>银团贷款信息表</t>
  </si>
  <si>
    <t>银团贷款，不论本行是参贷行还是主办行，只报送本行的信贷合同，银团贷款内其他机构的信贷合同不录入本表，行内银团不在此表报送。以信贷借据号为最小颗粒报送，同一合同下多笔借据的按多条报送。如果主办行与参贷行与客户签订同一份信贷合同的，银团贷款内所有机构均需录入该信贷合同。已结清、核销的数据在次月不再报送。</t>
  </si>
  <si>
    <t>PJTXB</t>
  </si>
  <si>
    <t>票据贴现表</t>
  </si>
  <si>
    <t>报送本行经办的“票据直贴”业务的明细信息。报送范围：1104报表G01_Ⅲ中[1.3贴现及买断式转贴现]-[1.3.1其中:买断式转贴现]。票据状态为“卖断”、“解付”或“核销”的数据，在报送票据最后状态的次月可不再报送。</t>
  </si>
  <si>
    <t>PJZTXB</t>
  </si>
  <si>
    <t>票据转贴现表</t>
  </si>
  <si>
    <t>报送本行发生的转贴现买断、转贴现卖断、质押式回购正回购、质押式回购逆回购、买断式回购正回购、买断式回购逆回购、再贴现等业务的明细信息。票据状态为“卖断”、“解付”或“核销”的数据，在报送票据最后状态的次月可不再报送。</t>
  </si>
  <si>
    <t>MYRZYWB</t>
  </si>
  <si>
    <t>贸易融资业务表</t>
  </si>
  <si>
    <t>填报机构提供的各类与国际、国内贸易结算工具相关的融资或信用便利业务。报送范围：1104报表G01_Ⅲ中[1.4贸易融资]包含的业务明细。本行开出的保函及信用证在保函及信用证表中报送，不在本表中填报。贷款状态为结清、核销、转让的，于次月不再报送。</t>
  </si>
  <si>
    <t>RZZLYWB</t>
  </si>
  <si>
    <t>融资租赁业务表</t>
  </si>
  <si>
    <t>报送填报机构与租赁公司合作，购买承租人指定租赁物件，与承租人签订租赁合同，待合同期满后租赁物资产所有权转移给承租人的一类业务。报送范围：参照1104报表G01_III[1.5融资租赁]填报口径。贷款状态为结清、核销、转让的，可在报送最终状态的次月不再报送。</t>
  </si>
  <si>
    <t>DKDJB</t>
  </si>
  <si>
    <t>垫款登记表</t>
  </si>
  <si>
    <t>填报信用证、承兑汇票、保函、贵金属租赁等业务产生的各项垫款信息。报送范围：与1104报表G01_Ⅵ《各项垫款情况表》报送口径一致。垫款状态为“结清”、“转让”、“核销”的，在报送最后状态的次月可不再报送。</t>
  </si>
  <si>
    <t>表内外担保信息</t>
  </si>
  <si>
    <t>006</t>
  </si>
  <si>
    <t>BNWYWDBHTB</t>
  </si>
  <si>
    <t>表内外业务担保合同表</t>
  </si>
  <si>
    <t>601</t>
  </si>
  <si>
    <t>各项表内贷款及表外业务中所签订的各类担保合同信息，至少包括普通担保和最高额担保合同。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t>
  </si>
  <si>
    <t>BNWYWDBR</t>
  </si>
  <si>
    <t>表内外业务担保人</t>
  </si>
  <si>
    <t>602</t>
  </si>
  <si>
    <t>担保合同中约定的担保人信息。担保类型为抵押和质押的，担保人应填写抵质押物所有权人；担保类型为保证的，担保人应填写保证人。同一份担保合同有多个担保人的，每个担保人填写一条记录。失效担保合同的担保人于次月不再报送。</t>
  </si>
  <si>
    <t>BNWYWDZYW</t>
  </si>
  <si>
    <t>表内外业务抵质押物</t>
  </si>
  <si>
    <t>603</t>
  </si>
  <si>
    <t>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t>
  </si>
  <si>
    <t>信贷管理信息</t>
  </si>
  <si>
    <t>007</t>
  </si>
  <si>
    <t>SXXXB</t>
  </si>
  <si>
    <t>授信信息表</t>
  </si>
  <si>
    <r>
      <rPr>
        <sz val="12"/>
        <color rgb="FFFF0000"/>
        <rFont val="宋体"/>
        <charset val="134"/>
      </rPr>
      <t xml:space="preserve">对客户授信的信息，但不包含客户使用授信的信息。包括对公和个人、同业客户授信。个人授信额度包括个人贷款、准贷记卡透支额度和信用卡额度授信。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t>
    </r>
    <r>
      <rPr>
        <sz val="12"/>
        <color rgb="FFFF0000"/>
        <rFont val="Times New Roman"/>
        <charset val="134"/>
      </rPr>
      <t>1.</t>
    </r>
    <r>
      <rPr>
        <sz val="12"/>
        <color rgb="FFFF0000"/>
        <rFont val="宋体"/>
        <charset val="134"/>
      </rPr>
      <t xml:space="preserve">按授信协议为最细颗粒填报，有授信的客户都需要报送，如低风险额度授信都需要填报授信信息。
</t>
    </r>
    <r>
      <rPr>
        <sz val="12"/>
        <color rgb="FFFF0000"/>
        <rFont val="Times New Roman"/>
        <charset val="134"/>
      </rPr>
      <t>2.</t>
    </r>
    <r>
      <rPr>
        <sz val="12"/>
        <color rgb="FFFF0000"/>
        <rFont val="宋体"/>
        <charset val="134"/>
      </rPr>
      <t xml:space="preserve">表内、表外、代管理的信贷资产均需报送，如：本行信贷资产转让后由本行代管的授信信息仍需报送。
</t>
    </r>
    <r>
      <rPr>
        <sz val="12"/>
        <color rgb="FFFF0000"/>
        <rFont val="Times New Roman"/>
        <charset val="134"/>
      </rPr>
      <t>3.</t>
    </r>
    <r>
      <rPr>
        <sz val="12"/>
        <color rgb="FFFF0000"/>
        <rFont val="宋体"/>
        <charset val="134"/>
      </rPr>
      <t>增加授信的，应该按照单笔报送。如发生授信额度变更的，填写最新的协议授信额度。
4.无授信的无需报送。
5.授信协议失效的，报送协议最后状态的次月不再报送。</t>
    </r>
  </si>
  <si>
    <t>DKHXB</t>
  </si>
  <si>
    <t>贷款核销表</t>
  </si>
  <si>
    <t>个人信贷业务借据、对公信贷业务借据、信用卡信息表中已核销的贷款信息。
1.包含信用卡核销，信贷借据号填报为卡号，信贷合同号填报为信用卡账户号。
2.以信贷借据号或信用卡卡号为最小颗粒报送。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
4.可以参考1104G12填报口径，不包含境外，但所有账销案存的贷款均需填报，与1104统计数据不作强制核对。</t>
  </si>
  <si>
    <t>DKZQB</t>
  </si>
  <si>
    <t>贷款展期表</t>
  </si>
  <si>
    <t>所有表内信贷业务+委托贷款展期信息。不报送除委托贷款以外的表外业务。</t>
  </si>
  <si>
    <t>XDZCZRB</t>
  </si>
  <si>
    <t>信贷资产转让表</t>
  </si>
  <si>
    <r>
      <rPr>
        <sz val="12"/>
        <color rgb="FFFF0000"/>
        <rFont val="宋体"/>
        <charset val="134"/>
      </rPr>
      <t>业务范围：包含</t>
    </r>
    <r>
      <rPr>
        <sz val="12"/>
        <color rgb="FFFF0000"/>
        <rFont val="Times New Roman"/>
        <charset val="134"/>
      </rPr>
      <t>1104</t>
    </r>
    <r>
      <rPr>
        <sz val="12"/>
        <color rgb="FFFF0000"/>
        <rFont val="宋体"/>
        <charset val="134"/>
      </rPr>
      <t xml:space="preserve">报表G34《信贷资产转让情况统计表》口径业务，但还包含转入的信贷资产。仅报送行外的转让，行内机构间的转让无需报送。票据的买卖、买入返售、卖出回购不在本表填报。含已核销贷款，本金按实际填写0即可。终结的转让合同在报送最后状态后不再报送。 </t>
    </r>
  </si>
  <si>
    <t>ZCZRGXB</t>
  </si>
  <si>
    <t>资产转让关系表</t>
  </si>
  <si>
    <t>本表报送资产转让包含多张借据时，资产转让合同与的映射，以同一资产转让合同多条借据记录的方式报送。每月报送新增的转让合同于借据映射关系，已报送过的映射关系不再报送。本表报送行外的转让，行内机构间的转让不需报送。对于信用卡资产转让，以信用卡账号填报为借据号。票据的买卖、买入返售、卖出回购不在本表填报。</t>
  </si>
  <si>
    <t>DKWJXTBD</t>
  </si>
  <si>
    <t>贷款五级形态变动表</t>
  </si>
  <si>
    <t>所有表内信贷+委托贷款的五级分类变动信息，与其他表格中五级分类字段一致。不报送除委托贷款以外的表外业务。无需报送新发放业务（五级分类从无到有）的五级形态变动。</t>
  </si>
  <si>
    <t>信用卡</t>
  </si>
  <si>
    <t>008</t>
  </si>
  <si>
    <t>XYKXXB</t>
  </si>
  <si>
    <t>信用卡信息表</t>
  </si>
  <si>
    <t>除借记卡外的其他所有卡片的信息，包括信用卡、贷记卡、准贷记卡、公务卡等，以卡号为最小粒度报送。状态为“销户”的信用卡在报送最后状态的次月不再报送。状态为“销户”的账户以及账户下所属的所有信用卡在报送最后状态的次月不再报送。</t>
  </si>
  <si>
    <t>XYKJYMXB</t>
  </si>
  <si>
    <t>信用卡交易明细表</t>
  </si>
  <si>
    <t>除借记卡外的其它所有卡片影响余额变动的交易明细，包括信用卡、贷记卡、准贷记卡、公务卡等，不包括查询交易，以信用卡号为最小粒度报送。</t>
  </si>
  <si>
    <t>XYKSXQKB</t>
  </si>
  <si>
    <t>信用卡授信情况表</t>
  </si>
  <si>
    <t>报送信用卡持卡人当月授信情况，报送范围：本表中[透支金额]数据项与1104报表G01_VII中[2.21.1信用卡]报送口径一致。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t>
  </si>
  <si>
    <t>XYKFQYWB</t>
  </si>
  <si>
    <t>信用卡分期业务表</t>
  </si>
  <si>
    <t>填报每月新增的持卡人分期业务情况。</t>
  </si>
  <si>
    <t>人行金融机构资产负债项目报表</t>
  </si>
  <si>
    <t>009</t>
  </si>
  <si>
    <t>RHJRJGZCFZXMBB</t>
  </si>
  <si>
    <t>报送人民银行的资产负债科目统计表数据，内容根据最新人行全科目上报情况上报。报送范围：仅报送总行法人、分行层级汇总报表，对于无对应机构的汇总报表（如XX市XX区汇总）无需报送。报送周期与报送人行周期一致，若当月无新增则无需报送。</t>
  </si>
  <si>
    <t>表外授信业务</t>
  </si>
  <si>
    <t>010</t>
  </si>
  <si>
    <t>PJCPXXB</t>
  </si>
  <si>
    <t>票据出票信息表</t>
  </si>
  <si>
    <t>报送由出票人签发并向填报机构申请，经填报机构承兑的汇票。报送范围：参照1104报表G01_I_1《表外业务情况表》[1.承兑汇票]填报口径。票据状态为卖断（转贴现卖断），解付（票据到期且出票人已付款）的数据，在报送票据最后状态的次月可不再报送。</t>
  </si>
  <si>
    <t>BHYXYZB</t>
  </si>
  <si>
    <t>保函与信用证表</t>
  </si>
  <si>
    <t>报送本行开出的保函、信用证、购买协议等信息。报送范围：参照1104报表G01_I_1《表外业务情况表》中[2.跟单信用证]+[3.保函]+[4.信用风险仍在银行的销售与购买协议]+[5.其他担保类业务]填报口径，票据业务不在本表中报送。合同到期且已结清的数据，在报送合同最后状态的次月不再填报。</t>
  </si>
  <si>
    <t>MYBJXXB</t>
  </si>
  <si>
    <t>贸易背景信息表</t>
  </si>
  <si>
    <t>填报承兑汇票、保函、信用证、保理融资等业务为审查贸易背景真实性收集的发票、仓单、提单等信息，以能采尽采的原则，每月报送新收集的单据信息。报送范围：本行开出的票据（同《票据出票信息表》），本行开立的保函和信用证（同《保函与信用证表》），保理融资业务（同《贸易融资业务表》中的保理融资业务），其中非基于企业间贸易的保函可以不报送，业务尚未收集发票的暂时不报送。非本行开立的票据、保函、信用证的单据信息如未收集发票信息的可以不报送。同一票据或合同下对应的多个单据，以单据编号为最小粒度逐条报送。</t>
  </si>
  <si>
    <t>WTDKXXB</t>
  </si>
  <si>
    <t>委托贷款信息表</t>
  </si>
  <si>
    <t>报送范围：参照1104报表G01_I_1[13.委托贷款]口径，报送所有个人及对公委托贷款业务，包括现金管理项下委托贷款、非现金管理项下委托贷款和公积金委托贷款。对于现金管理项下委托贷款，每发生一笔放款仅报送一次，以后不再报送，贷款状态以“其他-现金管理项下”报送。结清或者终结的委托贷款，在报送合同最后状态的次月不再填报。</t>
  </si>
  <si>
    <t>DLDJYXXB</t>
  </si>
  <si>
    <t>代理代销交易信息表</t>
  </si>
  <si>
    <t>报送范围：参照1104报表G01_I中[15.代理代销业务]填报口径。填报在阶段开始日到结束日之间，银行新做的代理代销业务。根据G01_I[15.7其他]口径，代理销售他行发行的理财产品也需要报送，包括填报机构理财子公司发行的理财产品。涉及分红、付息等交易无需报送。涉及赎回、卖出的交易需要报送。</t>
  </si>
  <si>
    <t>DKZJJYXXB</t>
  </si>
  <si>
    <t>代客资金交易信息表</t>
  </si>
  <si>
    <t>填报在阶段开始日到结束日之间，银行做的代客资金交易信息。包括代客结售汇、代客衍生品交易及其他代客资金交易业务。对于衍生品交易，涉及远期交易的仅在合同签订时报送一笔远端交易信息，交割时不必报送，但代客平盘交易需要按照单笔报送。对于掉期类衍生品交易仅需填报远端交易。债券承销，以及代销信托、资管计划、基金、贵金属等填报至代理代销信息表中。自营资金不报送在本表。</t>
  </si>
  <si>
    <t>自营资金交易信息</t>
  </si>
  <si>
    <t>011</t>
  </si>
  <si>
    <t>HLXXB</t>
  </si>
  <si>
    <t>汇率信息表</t>
  </si>
  <si>
    <t>国家外汇管理局公布汇率的主要币种，填报各主要外币与人民币的折算汇率。其他货币对人民币的折算汇率，以当天美元兑人民币的基准汇率与同一天国际外汇市场其他货币兑美元汇率套算确定。机构可只填报常见的外币信息，但至少应包含其它表中填报使用过的所有外币。</t>
  </si>
  <si>
    <t>JRGJXXB</t>
  </si>
  <si>
    <t>金融工具信息表</t>
  </si>
  <si>
    <t>记录[自营资金交易信息表]和[自营资金业务余额表]中所有业务对应的标的物，如债券、非标准化债权类资产、金融衍生品工具，已结清（余额为0）/赎回/终结的业务在报送最后状态的次月不再报送。同业往来大类下的同业存单，债券和同业投资大类下的所有业务需填报基础资产相关信息，基础资产如果对应多个的话，按多条报送。票据业务不在本表报送。</t>
  </si>
  <si>
    <t>ZYZJJYXXB</t>
  </si>
  <si>
    <t>自营资金交易信息表</t>
  </si>
  <si>
    <t>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对于衍生品交易，合约交易与实物交割应该分别填报，交割时按合约规定交易物的即期交易报送，涉及远期、掉期的合约交易仅报送一笔远端信息。同业往来大类下的同业存放业务在对公存款分户账及分户账明细报表中报送，不在本表报送。</t>
  </si>
  <si>
    <t>ZYZJYWYEB</t>
  </si>
  <si>
    <t>自营资金业务余额表</t>
  </si>
  <si>
    <t>填报截止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t>
  </si>
  <si>
    <t>理财业务</t>
  </si>
  <si>
    <t>012</t>
  </si>
  <si>
    <t>LCCPXXB</t>
  </si>
  <si>
    <t>理财产品信息表</t>
  </si>
  <si>
    <t>该表体现截至统计时点所有在全国银行业理财信息登记系统中取得产品登记编码并成功发行的理财产品相关信息。</t>
  </si>
  <si>
    <t>LCCPZTB</t>
  </si>
  <si>
    <t>理财产品状态表</t>
  </si>
  <si>
    <t>该表体现统计期末存续的理财产品状态信息。</t>
  </si>
  <si>
    <t>LCCPDCCCXXB</t>
  </si>
  <si>
    <t>理财产品底层持仓信息表</t>
  </si>
  <si>
    <t>该表体现统计期末理财产品持有所有类别资产的相关信息。</t>
  </si>
  <si>
    <t>FBZCMXXXB</t>
  </si>
  <si>
    <t>非标资产明细信息表</t>
  </si>
  <si>
    <t>该表体现统计期末理财产品持有的非标准化债权类资产（目前包含信托贷款、委托贷款、信贷资产转让、收/受益权、委托债权、应收账款、带回购条款的股权性融资、债券融资类产品）明细信息。</t>
  </si>
  <si>
    <t>QTFBZCMXXXB</t>
  </si>
  <si>
    <t>其他非标资产明细信息表</t>
  </si>
  <si>
    <t>该表体现统计期末理财产品持有的其他非标准化债权类资产（包括但不限于保理、融资租赁、股票质押融资等）明细信息。</t>
  </si>
  <si>
    <t>LCCPZCJYXXB</t>
  </si>
  <si>
    <t>理财产品资产交易信息表</t>
  </si>
  <si>
    <t>该表体现统计期内理财产品发生的逐笔投资交易信息。</t>
  </si>
  <si>
    <t>LCCPXSMXB</t>
  </si>
  <si>
    <t>理财产品销售明细表</t>
  </si>
  <si>
    <t>增量表，报送上一采集日期至当前采集日期之间发生的本行理财产品交易信息。</t>
  </si>
  <si>
    <t>代销他行理财产品由银行机构在代理代销信息表中报送。</t>
  </si>
  <si>
    <t>KHLCZHXXB</t>
  </si>
  <si>
    <t>客户理财账户信息表</t>
  </si>
  <si>
    <t>本行客户开立的理财分户账信息，报送本行理财产品账户信息，代销他行理财在他行数据源下报送。买入不同理财产品的，每个产品作为一条记录。如不设置理财账户的，对应填报其他相关信息。本表为状态表，每月逐客户（理财账号）、逐产品报送月底账户信息，若同一客户月内多次购买同一产品则将金额加总后作为一条记录。</t>
  </si>
  <si>
    <t>数据元说明</t>
  </si>
  <si>
    <t>分类</t>
  </si>
  <si>
    <t>数据元编码</t>
  </si>
  <si>
    <t>数据元名称</t>
  </si>
  <si>
    <t>数据元英文</t>
  </si>
  <si>
    <t>格式</t>
  </si>
  <si>
    <t>001001</t>
  </si>
  <si>
    <t>名称</t>
  </si>
  <si>
    <t>Name</t>
  </si>
  <si>
    <t>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t>
  </si>
  <si>
    <t>C..400</t>
  </si>
  <si>
    <t>001002</t>
  </si>
  <si>
    <t>是否标志</t>
  </si>
  <si>
    <t>Yes or No</t>
  </si>
  <si>
    <t>是，否。</t>
  </si>
  <si>
    <t>C3</t>
  </si>
  <si>
    <t>001003</t>
  </si>
  <si>
    <t>比例</t>
  </si>
  <si>
    <t>Ratio</t>
  </si>
  <si>
    <t>百分比为单位，即1/100，保留两位小数。如4.5%则填报为4.50。</t>
  </si>
  <si>
    <t>D20.2</t>
  </si>
  <si>
    <t>001004</t>
  </si>
  <si>
    <t>比例（精）</t>
  </si>
  <si>
    <t>Accurate rate</t>
  </si>
  <si>
    <t>百分比为单位，即1/100，保留六位小数。4.123456%则填报为4.123456。</t>
  </si>
  <si>
    <t>D20.6</t>
  </si>
  <si>
    <t>001005</t>
  </si>
  <si>
    <t>日期</t>
  </si>
  <si>
    <t>Date</t>
  </si>
  <si>
    <t>YYYYMMDD，默认值99991231。</t>
  </si>
  <si>
    <t>C8</t>
  </si>
  <si>
    <t>001006</t>
  </si>
  <si>
    <t>年月</t>
  </si>
  <si>
    <t>Year &amp; Month</t>
  </si>
  <si>
    <t>YYYYMM，默认值999912。</t>
  </si>
  <si>
    <t>C6</t>
  </si>
  <si>
    <t>001007</t>
  </si>
  <si>
    <t>时间</t>
  </si>
  <si>
    <t>Time</t>
  </si>
  <si>
    <t>24小时制时间，精确到秒。hhmmss，默认值000000。</t>
  </si>
  <si>
    <t>001008</t>
  </si>
  <si>
    <t>地址</t>
  </si>
  <si>
    <t>Address</t>
  </si>
  <si>
    <t>中文描述。个人填报个人住址。机构填报有关部门批准的有效证件上登记的地址。参照《企业法人营业执照》中的注册地填报，要写明省（区、市）、地（区、市、州、盟）、县（区、市、旗）。境外机构及境内涉密机构不填报。</t>
  </si>
  <si>
    <t>001009</t>
  </si>
  <si>
    <t>电话</t>
  </si>
  <si>
    <t>Tel.</t>
  </si>
  <si>
    <t>手机号码或者区号-固定电话号码。</t>
  </si>
  <si>
    <t>C..30</t>
  </si>
  <si>
    <t>001010</t>
  </si>
  <si>
    <t>银行机构代码</t>
  </si>
  <si>
    <t>Bank code</t>
  </si>
  <si>
    <t>12位人行支付行号或SWIFT行号。</t>
  </si>
  <si>
    <t>001011</t>
  </si>
  <si>
    <t>金融许可证号</t>
  </si>
  <si>
    <t>Financial license number</t>
  </si>
  <si>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</si>
  <si>
    <t>001012</t>
  </si>
  <si>
    <t>内部机构号</t>
  </si>
  <si>
    <t>Inner organization number</t>
  </si>
  <si>
    <t>银行内部机构号。应具有标识机构的唯一性。</t>
  </si>
  <si>
    <t>001013</t>
  </si>
  <si>
    <t>机构类别</t>
  </si>
  <si>
    <t>Organization type</t>
  </si>
  <si>
    <t>管理机构，营业机构，虚拟机构，内设机构。</t>
  </si>
  <si>
    <t>001014</t>
  </si>
  <si>
    <t>邮政编码</t>
  </si>
  <si>
    <t>Zip code</t>
  </si>
  <si>
    <t>该机构注册地邮政编码，6位。超过6位的只取前6位。</t>
  </si>
  <si>
    <t>001015</t>
  </si>
  <si>
    <t>营业状态</t>
  </si>
  <si>
    <t>Business state</t>
  </si>
  <si>
    <t>营业，停业。</t>
  </si>
  <si>
    <t>001016</t>
  </si>
  <si>
    <t>工号</t>
  </si>
  <si>
    <t>Emp ID</t>
  </si>
  <si>
    <t>工号，银行自定义。</t>
  </si>
  <si>
    <t>001017</t>
  </si>
  <si>
    <t>姓名</t>
  </si>
  <si>
    <t>Name (people)</t>
  </si>
  <si>
    <t>姓名。</t>
  </si>
  <si>
    <t>C..200</t>
  </si>
  <si>
    <t>001018</t>
  </si>
  <si>
    <t>所属部门</t>
  </si>
  <si>
    <t>Department</t>
  </si>
  <si>
    <t>中文字典或中文描述，银行自定义。</t>
  </si>
  <si>
    <t>001019</t>
  </si>
  <si>
    <t>职务</t>
  </si>
  <si>
    <t>Post.</t>
  </si>
  <si>
    <t>001020</t>
  </si>
  <si>
    <t>状态</t>
  </si>
  <si>
    <t>Status</t>
  </si>
  <si>
    <t>001021</t>
  </si>
  <si>
    <t>柜员号</t>
  </si>
  <si>
    <t>Teller number</t>
  </si>
  <si>
    <t>柜员编号，银行自定义。</t>
  </si>
  <si>
    <t>001022</t>
  </si>
  <si>
    <t>柜员类型</t>
  </si>
  <si>
    <t>Type of teller</t>
  </si>
  <si>
    <t>001023</t>
  </si>
  <si>
    <t>柜员用户级别</t>
  </si>
  <si>
    <t>Teller level</t>
  </si>
  <si>
    <t>银行自定义。</t>
  </si>
  <si>
    <t>001024</t>
  </si>
  <si>
    <t>柜员权限级别</t>
  </si>
  <si>
    <t>Teller authority</t>
  </si>
  <si>
    <t>柜员权限级别，银行自定义。</t>
  </si>
  <si>
    <t>001025</t>
  </si>
  <si>
    <t>岗位编号</t>
  </si>
  <si>
    <t>Post number</t>
  </si>
  <si>
    <t>C..60</t>
  </si>
  <si>
    <t>001026</t>
  </si>
  <si>
    <t>岗位种类</t>
  </si>
  <si>
    <t>Post type</t>
  </si>
  <si>
    <t>岗位种类，中文字典或中文描述，银行自定义。</t>
  </si>
  <si>
    <t>001027</t>
  </si>
  <si>
    <t>岗位名称</t>
  </si>
  <si>
    <t>Post name</t>
  </si>
  <si>
    <t>岗位名称，中文字典或中文描述，银行自定义。</t>
  </si>
  <si>
    <t>001028</t>
  </si>
  <si>
    <t>岗位说明</t>
  </si>
  <si>
    <t>Post description</t>
  </si>
  <si>
    <t>对岗位工作的中文描述，银行自定义。</t>
  </si>
  <si>
    <t>001029</t>
  </si>
  <si>
    <t>金融机构代码</t>
  </si>
  <si>
    <t>Bank code for statistic</t>
  </si>
  <si>
    <t>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t>
  </si>
  <si>
    <t>001030</t>
  </si>
  <si>
    <t>地区名称</t>
  </si>
  <si>
    <t>District name</t>
  </si>
  <si>
    <t>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t>
  </si>
  <si>
    <t>001031</t>
  </si>
  <si>
    <t>地区代码</t>
  </si>
  <si>
    <t>Area code</t>
  </si>
  <si>
    <t>境内地区参照《GB/T 2260-2020 中华人民共和国行政区划代码》填写国内行政区划代码，填写至二级分类，如110100。境外地区参照《GB/T 2659 世界各国和地区名称代码》定义的三字符代码，如USA。</t>
  </si>
  <si>
    <t>C..6</t>
  </si>
  <si>
    <t>001032</t>
  </si>
  <si>
    <t>数量</t>
  </si>
  <si>
    <t>Quantity</t>
  </si>
  <si>
    <t>数量。</t>
  </si>
  <si>
    <t>D20</t>
  </si>
  <si>
    <t>001033</t>
  </si>
  <si>
    <t>名称集合</t>
  </si>
  <si>
    <t>Collection of names</t>
  </si>
  <si>
    <t>多个名称</t>
  </si>
  <si>
    <t>C..2000</t>
  </si>
  <si>
    <t>001034</t>
  </si>
  <si>
    <t>币种集合</t>
  </si>
  <si>
    <t>Collection of  Currency</t>
  </si>
  <si>
    <t>多个币种</t>
  </si>
  <si>
    <t>C..50</t>
  </si>
  <si>
    <t>001035</t>
  </si>
  <si>
    <t>代码集合</t>
  </si>
  <si>
    <t>Collection of code</t>
  </si>
  <si>
    <t>多个代码</t>
  </si>
  <si>
    <t>C..1000</t>
  </si>
  <si>
    <t>001036</t>
  </si>
  <si>
    <t>国别集合</t>
  </si>
  <si>
    <t>Collection of countrys</t>
  </si>
  <si>
    <t>多个国别</t>
  </si>
  <si>
    <t>001037</t>
  </si>
  <si>
    <t>员工状态</t>
  </si>
  <si>
    <t>State of staff</t>
  </si>
  <si>
    <t>正式员工离职，正式员工在职，非正式员工离职，非正式员工在职，内退，退休，开除，死亡，调出，其他-银行自定义。无法以枚举类型填报的，以“其他-XX”填报，其中“XX”为银行自定义类型。</t>
  </si>
  <si>
    <t>001038</t>
  </si>
  <si>
    <t>IP地址</t>
  </si>
  <si>
    <t>IP address</t>
  </si>
  <si>
    <t>点分十进制格式表示的IPV4地址或者IPV6地址。</t>
  </si>
  <si>
    <t>C..40</t>
  </si>
  <si>
    <t>001039</t>
  </si>
  <si>
    <t>MAC地址</t>
  </si>
  <si>
    <t>MAC address</t>
  </si>
  <si>
    <t>网络设备唯一的网络标识：
1.可以是MAC地址，以12个16进制数表示（6个字节），每个字节以英文半角冒号（:）隔开。
2.若交易渠道为网银、手机银行，Android7.0以上系统可填报设备IMEI码；IOS7以上系统科填报UUID码，唯一对应设备即可。</t>
  </si>
  <si>
    <t>001040</t>
  </si>
  <si>
    <t>备注</t>
  </si>
  <si>
    <t>Remark</t>
  </si>
  <si>
    <t>C..600</t>
  </si>
  <si>
    <t>002001</t>
  </si>
  <si>
    <t>客户统一编号</t>
  </si>
  <si>
    <t>Customer number</t>
  </si>
  <si>
    <t>银行自定义的唯一识别客户的标识。供应链融资的填写供应链融资编码。</t>
  </si>
  <si>
    <t>002002</t>
  </si>
  <si>
    <t>证件类别</t>
  </si>
  <si>
    <t>Document type</t>
  </si>
  <si>
    <t>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t>
  </si>
  <si>
    <t>002003</t>
  </si>
  <si>
    <t>证件号码</t>
  </si>
  <si>
    <t>Document number</t>
  </si>
  <si>
    <t>与证件类别对应的证件号码。涉及个人身份证件时需按照本规范给定规则进行脱敏处理。</t>
  </si>
  <si>
    <t>C..70</t>
  </si>
  <si>
    <t>002004</t>
  </si>
  <si>
    <t>国籍</t>
  </si>
  <si>
    <t>Nationality</t>
  </si>
  <si>
    <t>参照《GB/T 2659-2000 世界各国和地区名称》，填报中文名称。</t>
  </si>
  <si>
    <t>002005</t>
  </si>
  <si>
    <t>民族</t>
  </si>
  <si>
    <t>Ethnicity</t>
  </si>
  <si>
    <t>国家认可的在公安户籍管理部门正式登记注册的客户所属民族的名称。</t>
  </si>
  <si>
    <t>002006</t>
  </si>
  <si>
    <t>性别</t>
  </si>
  <si>
    <t>Gender</t>
  </si>
  <si>
    <t>男，女。</t>
  </si>
  <si>
    <t>002007</t>
  </si>
  <si>
    <t>学历</t>
  </si>
  <si>
    <t>Education degree</t>
  </si>
  <si>
    <r>
      <rPr>
        <sz val="12"/>
        <rFont val="宋体"/>
        <charset val="134"/>
      </rPr>
      <t>参照《</t>
    </r>
    <r>
      <rPr>
        <sz val="12"/>
        <rFont val="Times New Roman"/>
        <charset val="134"/>
      </rPr>
      <t xml:space="preserve">GB/T 4658-2006 </t>
    </r>
    <r>
      <rPr>
        <sz val="12"/>
        <rFont val="宋体"/>
        <charset val="134"/>
      </rPr>
      <t>学历代码》填写中文描述或中文字典。</t>
    </r>
  </si>
  <si>
    <t>002008</t>
  </si>
  <si>
    <t>职业</t>
  </si>
  <si>
    <t>Career</t>
  </si>
  <si>
    <t>中文描述或中文字典，银行自定义。</t>
  </si>
  <si>
    <t>C..80</t>
  </si>
  <si>
    <t>002009</t>
  </si>
  <si>
    <t>婚姻情况</t>
  </si>
  <si>
    <t>Marriage</t>
  </si>
  <si>
    <t>未婚，已婚，初婚，再婚，复婚，丧偶，离异。</t>
  </si>
  <si>
    <t>002010</t>
  </si>
  <si>
    <t>上黑名单原因</t>
  </si>
  <si>
    <t>Reason of on black list</t>
  </si>
  <si>
    <t>002011</t>
  </si>
  <si>
    <t>单位性质</t>
  </si>
  <si>
    <t>Unit property</t>
  </si>
  <si>
    <t>国有企业、民营企业、政府机关、事业单位、社会团体、境外机构、其他-银行自定义。无法以枚举类型填报的，以“其他-XX”填报，其中“XX”为银行自定义类型。</t>
  </si>
  <si>
    <t>002012</t>
  </si>
  <si>
    <t>社会关系</t>
  </si>
  <si>
    <t>Social relationship</t>
  </si>
  <si>
    <t>配偶，父母，子女，亲属关系，朋友，同事，合作伙伴，离异原配偶，其他-银行自定义。无法以枚举类型填报的，以“其他-XX”填报，其中“XX”为银行自定义类型。</t>
  </si>
  <si>
    <t>002013</t>
  </si>
  <si>
    <t>法人代表</t>
  </si>
  <si>
    <t>Legal person</t>
  </si>
  <si>
    <t>该对公客户法人代表。依照法律或者法人组织章程规定，代表法人行使职权的负责人姓名。</t>
  </si>
  <si>
    <t>002014</t>
  </si>
  <si>
    <t>营业执照号</t>
  </si>
  <si>
    <t>Business license number</t>
  </si>
  <si>
    <t>已登记统一社会信用代码的，填18位统一社会信用代码；未登记统一社会信用代码的，按原有方式填写。</t>
  </si>
  <si>
    <t>002015</t>
  </si>
  <si>
    <t>经营范围</t>
  </si>
  <si>
    <t>Business scope</t>
  </si>
  <si>
    <t>客户经营范围的简述，银行自定义。</t>
  </si>
  <si>
    <t>C..1500</t>
  </si>
  <si>
    <t>002016</t>
  </si>
  <si>
    <t>所属行业</t>
  </si>
  <si>
    <t>Industry</t>
  </si>
  <si>
    <t>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t>
  </si>
  <si>
    <t>C..100</t>
  </si>
  <si>
    <t>002017</t>
  </si>
  <si>
    <t>客户类别</t>
  </si>
  <si>
    <t>Customer type</t>
  </si>
  <si>
    <t>对公，个人。</t>
  </si>
  <si>
    <t>002018</t>
  </si>
  <si>
    <t>人数</t>
  </si>
  <si>
    <t>Number of people</t>
  </si>
  <si>
    <t>人。</t>
  </si>
  <si>
    <t>I..10</t>
  </si>
  <si>
    <t>002019</t>
  </si>
  <si>
    <t>统一社会信用代码</t>
  </si>
  <si>
    <t>Unified social credit code</t>
  </si>
  <si>
    <t>已登记统一社会信用代码的，填18位统一社会信用代码；未登记统一社会信用代码的，填组织机构代码。境外机构、临时验资户类客户填写默认值0</t>
  </si>
  <si>
    <t>002020</t>
  </si>
  <si>
    <t>关联人类别</t>
  </si>
  <si>
    <t>Associated person type</t>
  </si>
  <si>
    <t>自然人，纯国有企业，国有控股企业，国有参股企业，民营企业，政府机关，事业单位，社会团体，境外机构，其他-银行自定义。无法以枚举类型填报的，以“其他-XX”填报，其中“XX”为银行自定义类型。</t>
  </si>
  <si>
    <t>002021</t>
  </si>
  <si>
    <t>关系类型</t>
  </si>
  <si>
    <t>Relationship type</t>
  </si>
  <si>
    <t>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无法以枚举类型填报的，以“其他-XX”填报，其中“XX”为银行自定义类型。</t>
  </si>
  <si>
    <t>C..300</t>
  </si>
  <si>
    <t>002022</t>
  </si>
  <si>
    <t>企业分类</t>
  </si>
  <si>
    <t>Enterprise type</t>
  </si>
  <si>
    <t>参照《中小企业划型标准规定》（工信部联企业[2011]300号）、《统计上大中小微型企业划分办法（2017）》（国统字〔2017〕213号）和《金融业企业划型标准规定》（银发〔2015〕309号）的划分标准进行填报。分为以下枚举类型：
大型企业，中型企业，小型企业，微型企业，政府机关，事业单位，社会团体，境外机构，其他组织机构。</t>
  </si>
  <si>
    <t>002023</t>
  </si>
  <si>
    <t>个人客户类型</t>
  </si>
  <si>
    <t>Customer type of customer</t>
  </si>
  <si>
    <t>普通个人客户，个体工商户，小微企业主，境外客户，其他-银行自定义类型。无法以枚举类型填报的，以“其他-XX”填报，其中“XX”为银行自定义类型。</t>
  </si>
  <si>
    <t>002024</t>
  </si>
  <si>
    <t>对公客户类型</t>
  </si>
  <si>
    <t>集团客户，单一法人客户，同业客户，政府机关，事业单位，社会团体，境外机构，其他-银行自定义类型。无法以枚举类型填报的，以“其他-XX”填报，其中“XX”为银行自定义类型。</t>
  </si>
  <si>
    <t>C..20</t>
  </si>
  <si>
    <t>002025</t>
  </si>
  <si>
    <t>报表口径</t>
  </si>
  <si>
    <t>Report type</t>
  </si>
  <si>
    <t>本部报表，合并报表，其他-银行自定义。无法以枚举类型填报的，以“其他-XX”填报，其中“XX”为银行自定义类型。</t>
  </si>
  <si>
    <t>002026</t>
  </si>
  <si>
    <t>集团编号</t>
  </si>
  <si>
    <t>Group number</t>
  </si>
  <si>
    <t>银行为统一管理，根据既定规则生成并分配给集团客户作为唯一识别的编号。</t>
  </si>
  <si>
    <t>002027</t>
  </si>
  <si>
    <t>股东类别</t>
  </si>
  <si>
    <t>Shareholder type</t>
  </si>
  <si>
    <t>002028</t>
  </si>
  <si>
    <t>财务报表编号</t>
  </si>
  <si>
    <t>Financial statement number</t>
  </si>
  <si>
    <t>唯一标识财务报表的编号，银行自定义。</t>
  </si>
  <si>
    <t>账户</t>
  </si>
  <si>
    <t>003001</t>
  </si>
  <si>
    <t>账号</t>
  </si>
  <si>
    <t>Account number</t>
  </si>
  <si>
    <t>系统内最细一级的账号，无唯一性约束，不需要和序号、子序号等做拼接。</t>
  </si>
  <si>
    <t>003002</t>
  </si>
  <si>
    <t>会计科目编号</t>
  </si>
  <si>
    <t>Subject number of general ledger accounting</t>
  </si>
  <si>
    <t>机构实际使用的总账会计科目编码。</t>
  </si>
  <si>
    <t>003003</t>
  </si>
  <si>
    <t>会计科目名称</t>
  </si>
  <si>
    <t>Subject name of general ledger accounting</t>
  </si>
  <si>
    <t>机构实际使用的总账会计科目编码对应的名称。</t>
  </si>
  <si>
    <t>003004</t>
  </si>
  <si>
    <t>会计科目级次</t>
  </si>
  <si>
    <t>Subject grade of general ledger accounting</t>
  </si>
  <si>
    <t>总账会计科目编号在科目结构中所对应的级次。</t>
  </si>
  <si>
    <t>I..2</t>
  </si>
  <si>
    <t>003005</t>
  </si>
  <si>
    <t>会计科目大类</t>
  </si>
  <si>
    <t>Account  category</t>
  </si>
  <si>
    <t>资产、负债、所有者权益、损益、资产负债共同类、表外、其他。</t>
  </si>
  <si>
    <t>003006</t>
  </si>
  <si>
    <t>会计科目子类</t>
  </si>
  <si>
    <t>Account sub category</t>
  </si>
  <si>
    <t>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t>
  </si>
  <si>
    <t>003007</t>
  </si>
  <si>
    <t>统计科目编号</t>
  </si>
  <si>
    <t>Statistic subject number</t>
  </si>
  <si>
    <t>参照《中国人民银行关于建立金融基础数据统计制度的通知》（银发[2020]164号）中的统计指标编码填报。如：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t>
  </si>
  <si>
    <t>003008</t>
  </si>
  <si>
    <t>统计科目名称</t>
  </si>
  <si>
    <t>Statistic subject name</t>
  </si>
  <si>
    <t>参照《中国人民银行关于建立金融基础数据统计制度的通知》（银发[2020]164号）中的统计指标名称填报。如：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t>
  </si>
  <si>
    <t>C..120</t>
  </si>
  <si>
    <t>003009</t>
  </si>
  <si>
    <t>借贷标志</t>
  </si>
  <si>
    <t>D.C. flag</t>
  </si>
  <si>
    <t>借，贷，借贷并列。</t>
  </si>
  <si>
    <t>C..12</t>
  </si>
  <si>
    <t>003010</t>
  </si>
  <si>
    <t>金额</t>
  </si>
  <si>
    <t>Amount</t>
  </si>
  <si>
    <t>与币种相对应金额。</t>
  </si>
  <si>
    <t>003011</t>
  </si>
  <si>
    <t>余额</t>
  </si>
  <si>
    <t>Balance</t>
  </si>
  <si>
    <t>003012</t>
  </si>
  <si>
    <t>手续费</t>
  </si>
  <si>
    <t>Commission</t>
  </si>
  <si>
    <t>003013</t>
  </si>
  <si>
    <t>手续费率</t>
  </si>
  <si>
    <t>Commission rate</t>
  </si>
  <si>
    <t>百分比为单位，即1/100。</t>
  </si>
  <si>
    <t>D10.6</t>
  </si>
  <si>
    <t>003014</t>
  </si>
  <si>
    <t>币种</t>
  </si>
  <si>
    <t>Currency</t>
  </si>
  <si>
    <t>遵循《GB/T 12406 表示货币和资金的代码》的字母代码，如CNY。上述文件所列币种无法涵盖的，允许银行自定义填报。多个币种合计折算为人民币（本外币合计）的，填报为BWB。</t>
  </si>
  <si>
    <t>003015</t>
  </si>
  <si>
    <t>账户名称</t>
  </si>
  <si>
    <t>Account name</t>
  </si>
  <si>
    <t>账户归属者的名称。如果客户为个人，则为隐私，银行机构变形，变形规则见《采集技术接口说明》。客户是境内涉密机构的，账户名称填报为“*********”。其他情况，则为非隐私，不做变形。</t>
  </si>
  <si>
    <t>003016</t>
  </si>
  <si>
    <t>个人活期存款账户类型</t>
  </si>
  <si>
    <t>Type of individual current deposit account</t>
  </si>
  <si>
    <t>个人活期存款账户的类别。I类户，II类户，III类户，外汇账户，其他-银行自定义。无法以枚举类型填报的，以“其他-XX”填报，其中“XX”为银行自定义类型。</t>
  </si>
  <si>
    <t>003017</t>
  </si>
  <si>
    <t>账户状态</t>
  </si>
  <si>
    <t>Account state</t>
  </si>
  <si>
    <t>正常，预销户，销户，逾期，冻结，止付，已转让，其他-银行自定义。无法以枚举类型填报的，以“其他-XX”填报，其中“XX”为银行自定义类型。</t>
  </si>
  <si>
    <t>003018</t>
  </si>
  <si>
    <t>钞汇类别</t>
  </si>
  <si>
    <t>Cash or remittance</t>
  </si>
  <si>
    <t>人民币，钞，汇，可钞可汇等。</t>
  </si>
  <si>
    <t>003019</t>
  </si>
  <si>
    <t>个人定期存款账户类型</t>
  </si>
  <si>
    <t>Type of individual term deposit account</t>
  </si>
  <si>
    <t>与1104报表G01_III中[2.2 个人存款]的分类保持一致，按照以下枚举值填报：个人定期存款，定活两便存款，个人通知存款，个人协议存款，个人协定存款，个人保证金存款，个人结构性存款（不含保本理财），个人其他存款。</t>
  </si>
  <si>
    <t>003020</t>
  </si>
  <si>
    <t>存款期限</t>
  </si>
  <si>
    <t>Deposit term</t>
  </si>
  <si>
    <t>1天通知，7天通知，1个月，3个月，6个月，12个月，18个月，24个月，36个月，60个月，72个月，80个月，不固定，其他期限。</t>
  </si>
  <si>
    <t>003021</t>
  </si>
  <si>
    <t>对公活期存款账户类型</t>
  </si>
  <si>
    <t>Type of corporation current deposit</t>
  </si>
  <si>
    <t>人民币：基本户，一般户，专用户，临时户，临时户（验资注册），临时户（验资增资），待核准账户，人民币保证金账户，同业存款账户，委贷基金账户。
外币：依据国家外汇管理局《境内外汇账户管理规定》（银发［1997］416号）中规定的类型填报，如“经常项目-外汇结算账户”，“资本项目-外汇资本金账户”等。
无法以枚举类型填报的，以“其他-XX”填报，其中“XX”为银行自定义类型。</t>
  </si>
  <si>
    <t>003022</t>
  </si>
  <si>
    <t>利息</t>
  </si>
  <si>
    <t>Interest</t>
  </si>
  <si>
    <t>元。</t>
  </si>
  <si>
    <t>003023</t>
  </si>
  <si>
    <t>利率</t>
  </si>
  <si>
    <t>Interest rate</t>
  </si>
  <si>
    <t>百分比为单位，即%，如4.5%填报为4.5。</t>
  </si>
  <si>
    <t>D10.4</t>
  </si>
  <si>
    <t>003024</t>
  </si>
  <si>
    <t>对公定期存款账户类型</t>
  </si>
  <si>
    <t>Type of corporation time deposit</t>
  </si>
  <si>
    <t>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t>
  </si>
  <si>
    <t>003025</t>
  </si>
  <si>
    <t>内部分户账账户类型</t>
  </si>
  <si>
    <t>Type of Internal subsidiary ledger account</t>
  </si>
  <si>
    <t>中文描述，银行自定义。</t>
  </si>
  <si>
    <t>003026</t>
  </si>
  <si>
    <t>计息方式</t>
  </si>
  <si>
    <t>Interest method</t>
  </si>
  <si>
    <t>利息的计算方法，按月结息，按季结息，按半年结息，按年结息，不定期结息，不记利息，利随本清，其他-银行自定义。无法以枚举类型填报的，以“其他-XX”填报，其中“XX”为银行自定义类型。</t>
  </si>
  <si>
    <t>003027</t>
  </si>
  <si>
    <t>借据号</t>
  </si>
  <si>
    <t>Duebill number</t>
  </si>
  <si>
    <t>借据统一编号。</t>
  </si>
  <si>
    <t>003028</t>
  </si>
  <si>
    <t>合同号</t>
  </si>
  <si>
    <t>Contract number</t>
  </si>
  <si>
    <t>合同号。</t>
  </si>
  <si>
    <t>003029</t>
  </si>
  <si>
    <t>贷款五级分类</t>
  </si>
  <si>
    <t>The five category assets classification for bank loans</t>
  </si>
  <si>
    <t>正常，关注，次级，可疑，损失。</t>
  </si>
  <si>
    <t>003030</t>
  </si>
  <si>
    <t>会计周期</t>
  </si>
  <si>
    <t>Accounting cycle</t>
  </si>
  <si>
    <t>日报，月报，季报，半年报，年报，其他-银行自定义。无法以枚举类型填报的，以“其他-XX”填报，其中“XX”为银行自定义类型。</t>
  </si>
  <si>
    <t>003031</t>
  </si>
  <si>
    <t>交易借贷标志</t>
  </si>
  <si>
    <t>Debit record or Credit   record flag</t>
  </si>
  <si>
    <t>借，贷。</t>
  </si>
  <si>
    <t>003032</t>
  </si>
  <si>
    <t>外部账号</t>
  </si>
  <si>
    <t>Outer account number</t>
  </si>
  <si>
    <t>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t>
  </si>
  <si>
    <t>交易流水信息</t>
  </si>
  <si>
    <t>004001</t>
  </si>
  <si>
    <t>交易序列号</t>
  </si>
  <si>
    <t>Trading time stamp</t>
  </si>
  <si>
    <t>唯一标识该笔交易的编号，银行自定义。可以是业务编号，也可以是交易系统中使用的时间戳，如：时间戳(纳秒)：1530027865231834600。</t>
  </si>
  <si>
    <t>004002</t>
  </si>
  <si>
    <t>交易类型</t>
  </si>
  <si>
    <t>Trading type</t>
  </si>
  <si>
    <t>转账，取现，存现，消费，代发，代扣，代缴，结息，批量交易，贷款发放，还款-还本，还款-还息，银证业务，投资理财，其他-银行自定义类型。无法以枚举类型填报的，以“其他-XX”报送，其中“XX”为银行自定义类型。</t>
  </si>
  <si>
    <t>004003</t>
  </si>
  <si>
    <t>交易渠道</t>
  </si>
  <si>
    <t>Trading channel</t>
  </si>
  <si>
    <t>柜面，ATM，VTM，POS，网银，手机银行，银联交易，三方支付-银行自定义，其他-银行自定义。交易类型为三方支付的，以“三方支付-XX”填报，其中“XX”为第三方支付平台名称。如无法以枚举类型填报，则以“其他-XX”填报，其中“XX”为银行自定义类型。</t>
  </si>
  <si>
    <t>004004</t>
  </si>
  <si>
    <t>现转标志</t>
  </si>
  <si>
    <t>Cash or transfer</t>
  </si>
  <si>
    <t>现，转。</t>
  </si>
  <si>
    <t>004005</t>
  </si>
  <si>
    <t>摘要</t>
  </si>
  <si>
    <t>Memo</t>
  </si>
  <si>
    <t>银行自定义交易内容的简要描述。可以是转账凭证上的备注、附言。</t>
  </si>
  <si>
    <t>004006</t>
  </si>
  <si>
    <t>冲补抹标志</t>
  </si>
  <si>
    <t>Regular， strike， mend</t>
  </si>
  <si>
    <t>正常，冲补抹。</t>
  </si>
  <si>
    <t>C..9</t>
  </si>
  <si>
    <t>004007</t>
  </si>
  <si>
    <t>卡片交易类型</t>
  </si>
  <si>
    <t>Card trading type</t>
  </si>
  <si>
    <t>现金交易，还款交易，消费交易，转账交易，其他-银行自定义。以枚举类型填报，如无法以枚举类型填报，则以“其他-XX”填报，其中“XX”为银行自定义类型。</t>
  </si>
  <si>
    <t>004008</t>
  </si>
  <si>
    <t>主要担保类型</t>
  </si>
  <si>
    <t>Main guarantee type</t>
  </si>
  <si>
    <t>质押，抵押，保证，信用。</t>
  </si>
  <si>
    <t>004009</t>
  </si>
  <si>
    <t>担保说明</t>
  </si>
  <si>
    <t>Guarantee illustration</t>
  </si>
  <si>
    <t>授信交易信息</t>
  </si>
  <si>
    <t>005001</t>
  </si>
  <si>
    <t>产品名称</t>
  </si>
  <si>
    <t>Product name</t>
  </si>
  <si>
    <t>银行内部产品中文名称，银行自定义。</t>
  </si>
  <si>
    <t>005002</t>
  </si>
  <si>
    <t>合同名称</t>
  </si>
  <si>
    <t>Contract name</t>
  </si>
  <si>
    <t>信贷合同的中文名称，银行自定义。</t>
  </si>
  <si>
    <t>005003</t>
  </si>
  <si>
    <t>信贷业务种类</t>
  </si>
  <si>
    <t>Loan business type</t>
  </si>
  <si>
    <t>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t>
  </si>
  <si>
    <t>005004</t>
  </si>
  <si>
    <t>利率浮动</t>
  </si>
  <si>
    <t>Rate float</t>
  </si>
  <si>
    <t>基准点为单位。浮动比例与上浮比例均折算点数填报。如上浮1%是填100.00，下浮1%是填-100.00，精确到小数点后2位。如果利率类型是固定利率，则利率浮动填写0.00。如利率类型是浮动利率，则与利率基准结合进行计算。</t>
  </si>
  <si>
    <t>D8.5</t>
  </si>
  <si>
    <t>005005</t>
  </si>
  <si>
    <t>主要担保方式</t>
  </si>
  <si>
    <t>Main guarantee way</t>
  </si>
  <si>
    <t>质押（含保证金），抵押，保证，信用，其他。</t>
  </si>
  <si>
    <t>005006</t>
  </si>
  <si>
    <t>放款方式</t>
  </si>
  <si>
    <t>Distribute way</t>
  </si>
  <si>
    <t>自主支付，受托支付，混合支付，其他-银行自定义。以枚举类型填报，如无法以枚举类型填报，则以“其他-XX”填报，其中“XX”为银行自定义方式。</t>
  </si>
  <si>
    <t>005007</t>
  </si>
  <si>
    <t>贷款用途</t>
  </si>
  <si>
    <t>Loan purpose</t>
  </si>
  <si>
    <t>贷款使用的具体内容。</t>
  </si>
  <si>
    <t>005008</t>
  </si>
  <si>
    <t>贷款投向行业</t>
  </si>
  <si>
    <t>Invest industry</t>
  </si>
  <si>
    <t>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t>
  </si>
  <si>
    <t>005009</t>
  </si>
  <si>
    <t>项目名称</t>
  </si>
  <si>
    <t>Project name</t>
  </si>
  <si>
    <t>项目贷款名称。</t>
  </si>
  <si>
    <t xml:space="preserve">C..100 </t>
  </si>
  <si>
    <t>005010</t>
  </si>
  <si>
    <t>项目类型</t>
  </si>
  <si>
    <t>Project type</t>
  </si>
  <si>
    <t>基础设施建设项目，房地产项目，技术改造项目，科技开发项目，并购贷款，其他-银行自定义类型。如无法以枚举类型填报，则以“其他-XX”填报，其中“XX”为银行自定义类型。</t>
  </si>
  <si>
    <t>005011</t>
  </si>
  <si>
    <t>批文文号</t>
  </si>
  <si>
    <t>Approval number</t>
  </si>
  <si>
    <t xml:space="preserve">C..60 </t>
  </si>
  <si>
    <t>005012</t>
  </si>
  <si>
    <t>立项批文</t>
  </si>
  <si>
    <t>Project approval</t>
  </si>
  <si>
    <t>批文名称，可银行自定义。</t>
  </si>
  <si>
    <t>005013</t>
  </si>
  <si>
    <t>许可证编号</t>
  </si>
  <si>
    <t>Permition number</t>
  </si>
  <si>
    <t>005014</t>
  </si>
  <si>
    <t>许可证名称</t>
  </si>
  <si>
    <t>Permition Name</t>
  </si>
  <si>
    <t>005015</t>
  </si>
  <si>
    <t>票据号码</t>
  </si>
  <si>
    <t>Bill number</t>
  </si>
  <si>
    <t>票据号码。</t>
  </si>
  <si>
    <t>005016</t>
  </si>
  <si>
    <t>出票人编号</t>
  </si>
  <si>
    <t>Drawer number</t>
  </si>
  <si>
    <t>出票人客户统一编号。</t>
  </si>
  <si>
    <t>005017</t>
  </si>
  <si>
    <t>票据类型</t>
  </si>
  <si>
    <t>Bill type</t>
  </si>
  <si>
    <t>银行承兑汇票，商业承兑汇票。</t>
  </si>
  <si>
    <t>005018</t>
  </si>
  <si>
    <t>贸易融资品种</t>
  </si>
  <si>
    <t>Trade financing (TF) type</t>
  </si>
  <si>
    <t>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t>
  </si>
  <si>
    <t>005019</t>
  </si>
  <si>
    <t>单据编号</t>
  </si>
  <si>
    <t>Invoice number</t>
  </si>
  <si>
    <t>贸易背景真实性审查收集的单据编号，没有编号的单据由银行自定义一个唯一识别单据的编号。</t>
  </si>
  <si>
    <t>005020</t>
  </si>
  <si>
    <t>单据种类</t>
  </si>
  <si>
    <t>Invoice type</t>
  </si>
  <si>
    <t>银行自定义。例如：商业发票、增值税发票、提单、报关单、货物清单等。</t>
  </si>
  <si>
    <t>005021</t>
  </si>
  <si>
    <t>代理参贷标志</t>
  </si>
  <si>
    <t>Agent loan sign</t>
  </si>
  <si>
    <t>代理行，参贷行。</t>
  </si>
  <si>
    <t>C9</t>
  </si>
  <si>
    <t>005022</t>
  </si>
  <si>
    <t>协议状态</t>
  </si>
  <si>
    <t>Agreement state</t>
  </si>
  <si>
    <t>005023</t>
  </si>
  <si>
    <t>手续费方式</t>
  </si>
  <si>
    <t>Way of submit commission</t>
  </si>
  <si>
    <t>005024</t>
  </si>
  <si>
    <t>展期次数</t>
  </si>
  <si>
    <t>Times of loan extension</t>
  </si>
  <si>
    <t>贷款展期次数，未展期为0。</t>
  </si>
  <si>
    <t>I..4</t>
  </si>
  <si>
    <t>005025</t>
  </si>
  <si>
    <t>期数</t>
  </si>
  <si>
    <t>Number of terms</t>
  </si>
  <si>
    <t>期数，默认值0。</t>
  </si>
  <si>
    <t>005026</t>
  </si>
  <si>
    <t>贷款状态</t>
  </si>
  <si>
    <t>Loan state</t>
  </si>
  <si>
    <t>正常、结清、逾期、核销、转让，其他-银行自定义。以枚举类型填报，如无法以枚举类型填报，则以“其他-XX”填报，其中“XX”为银行自定义状态。</t>
  </si>
  <si>
    <t>005027</t>
  </si>
  <si>
    <t>还款方式</t>
  </si>
  <si>
    <t>Repayment way</t>
  </si>
  <si>
    <t>按月，按季，按半年，按年，利随本清，分期付息一次还本，其他-银行自定义。若无法以枚举类型填写，则以“其他-XX”填报，其中“XX”为银行自定义类型。</t>
  </si>
  <si>
    <t>005028</t>
  </si>
  <si>
    <t>被担保业务类型</t>
  </si>
  <si>
    <t>Guaranteed Contact type</t>
  </si>
  <si>
    <t>表内信贷，承兑汇票，保函，信用证，贷款承诺，委托贷款，其他-银行自定义。若无法以枚举类型填写，则以“其他-XX”填报，其中“XX”为银行自定义类型。</t>
  </si>
  <si>
    <t>005029</t>
  </si>
  <si>
    <t>担保类型</t>
  </si>
  <si>
    <t>Guarantee type</t>
  </si>
  <si>
    <t>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t>
  </si>
  <si>
    <t>005030</t>
  </si>
  <si>
    <t>担保合同类型</t>
  </si>
  <si>
    <t>Guarantee contract type</t>
  </si>
  <si>
    <t>一般担保合同，最高额担保合同。</t>
  </si>
  <si>
    <t>005031</t>
  </si>
  <si>
    <t>担保人类别</t>
  </si>
  <si>
    <t>Guarantor type</t>
  </si>
  <si>
    <t>005032</t>
  </si>
  <si>
    <t>担保合同状态</t>
  </si>
  <si>
    <t>Guarantee contract state</t>
  </si>
  <si>
    <t>有效，失效。</t>
  </si>
  <si>
    <t>005033</t>
  </si>
  <si>
    <t>抵质押物编号</t>
  </si>
  <si>
    <t>Pledge or collateral number</t>
  </si>
  <si>
    <t>能唯一识别该押品的编号，银行自定义。</t>
  </si>
  <si>
    <t>005034</t>
  </si>
  <si>
    <t>抵质押物名称</t>
  </si>
  <si>
    <t>Pledge or collateral name</t>
  </si>
  <si>
    <t>因信贷业务而成为抵质押物的名称，银行自定义。</t>
  </si>
  <si>
    <t>005035</t>
  </si>
  <si>
    <t>抵质押物类型</t>
  </si>
  <si>
    <t>Pledge or collateral type</t>
  </si>
  <si>
    <t>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t>
  </si>
  <si>
    <t>005036</t>
  </si>
  <si>
    <t>质押票证号码</t>
  </si>
  <si>
    <t>Impawn bill number</t>
  </si>
  <si>
    <t>当抵质押物类型为票据、存单等有编号的押品需要填写。</t>
  </si>
  <si>
    <t>005037</t>
  </si>
  <si>
    <t>权证登记号码</t>
  </si>
  <si>
    <t>Prop certification register number</t>
  </si>
  <si>
    <t>当抵质押物类型为商业房地产和居住用房地产时，填写不动产登记部门给银行的抵押登记证明编号。对于抵质押物类型不为房地产或无抵押登记证明编号的业务，可以填写所有权证编号、合同编号或他项权证编号。</t>
  </si>
  <si>
    <t>005038</t>
  </si>
  <si>
    <t>权证登记面积</t>
  </si>
  <si>
    <t>Prop certification register acreage</t>
  </si>
  <si>
    <t>当抵质押物类型为商业房地产和居住用房地产时，相关权证上登记的房产面积。单位：㎡，如1000平方米填报为1000.</t>
  </si>
  <si>
    <t>005039</t>
  </si>
  <si>
    <t>委托贷款类型</t>
  </si>
  <si>
    <t>Type of entrust loan</t>
  </si>
  <si>
    <t>现金管理项下委托贷款，非现金管理项下委托贷款，公积金贷款。</t>
  </si>
  <si>
    <t>005040</t>
  </si>
  <si>
    <t>担保类业务种类</t>
  </si>
  <si>
    <t>LG/LC  type</t>
  </si>
  <si>
    <t>融资性保函，非融资性保函，国内信用证、国际信用证，备用信用证，销售协议，购买协议，提货担保，其他-银行自定义。无法以枚举类型填报的，以“其他-XX”填报，其中“XX”为银行自定义的担保类业务种类。</t>
  </si>
  <si>
    <t>005041</t>
  </si>
  <si>
    <t>抵质押物状态</t>
  </si>
  <si>
    <t>Pledge or collateral state</t>
  </si>
  <si>
    <t>正常，冻结，查封，扣押，其他-银行自定义。无法以枚举类型填报的，以“其他-XX”填报，其中“XX”为银行自定义抵质押物状态。</t>
  </si>
  <si>
    <t>005042</t>
  </si>
  <si>
    <t>处置权顺位</t>
  </si>
  <si>
    <t>Collateral ranking</t>
  </si>
  <si>
    <t>第一顺位，第二顺位，第三顺位...以此类推。</t>
  </si>
  <si>
    <t>005043</t>
  </si>
  <si>
    <t>贷款发放类型</t>
  </si>
  <si>
    <t>Loan form</t>
  </si>
  <si>
    <t>新增，无还本续贷，借新还旧，重组贷款，其他-银行自定义。无法以枚举类型填报的，以“其他-XX”填报，其中“XX”为银行自定义类型。</t>
  </si>
  <si>
    <t>005044</t>
  </si>
  <si>
    <t>收回标志</t>
  </si>
  <si>
    <t>Retrieve flag</t>
  </si>
  <si>
    <t>未收回，部分收回，完全收回。</t>
  </si>
  <si>
    <t>005045</t>
  </si>
  <si>
    <t>合同状态</t>
  </si>
  <si>
    <t>Contract state</t>
  </si>
  <si>
    <t>未生效，有效，撤销，终结，其他-银行自定义。无法以枚举类型填报的，以“其他-XX”填报，其中“XX”为银行自定义状态。</t>
  </si>
  <si>
    <t>005046</t>
  </si>
  <si>
    <t>票据状态</t>
  </si>
  <si>
    <t>Bill state</t>
  </si>
  <si>
    <t>正常，卖断，解付，垫款，核销，其他-银行自定义。无法以枚举类型填报的，以“其他-XX”填报，其中“XX”为银行自定义状态。</t>
  </si>
  <si>
    <t>005047</t>
  </si>
  <si>
    <t>转贴现类别</t>
  </si>
  <si>
    <t>Rediscount type</t>
  </si>
  <si>
    <t>转贴现买断，转贴现卖断，质押式回购正回购，质押式回购逆回购，买断式回购正回购，买断式回购逆回购，再贴现。</t>
  </si>
  <si>
    <t>005048</t>
  </si>
  <si>
    <t>保函或信用证状态</t>
  </si>
  <si>
    <t>LG/LC state</t>
  </si>
  <si>
    <t>未生效，正常，失效，垫款，撤销，终结，其他-银行自定义。无法以枚举类型填报的，以“其他-XX”填报，其中“XX”为银行自定义状态。</t>
  </si>
  <si>
    <t>005049</t>
  </si>
  <si>
    <t>融资租赁类型</t>
  </si>
  <si>
    <t>Lease type</t>
  </si>
  <si>
    <t>经营性租赁，融资性租赁。</t>
  </si>
  <si>
    <t>005050</t>
  </si>
  <si>
    <t>贸易业务种类</t>
  </si>
  <si>
    <t>Trade bill type</t>
  </si>
  <si>
    <t>承兑汇票，保函，信用证，其他-银行自定义。无法以枚举类型填报的，以“其他-XX”填报，其中“XX”为银行自定义业务种类。</t>
  </si>
  <si>
    <t>005051</t>
  </si>
  <si>
    <t>核销状态</t>
  </si>
  <si>
    <t>Loan wite off state</t>
  </si>
  <si>
    <t>账销案存，完全终结。</t>
  </si>
  <si>
    <t>C12</t>
  </si>
  <si>
    <t>005052</t>
  </si>
  <si>
    <t>贸易内容</t>
  </si>
  <si>
    <t>Trade content</t>
  </si>
  <si>
    <t>贸易交易内容、货品或服务的简述信息，银行自定义。</t>
  </si>
  <si>
    <t>006001</t>
  </si>
  <si>
    <t>卡号</t>
  </si>
  <si>
    <t xml:space="preserve">Card number </t>
  </si>
  <si>
    <t>卡号，可以是借记卡号，贷记卡号等。</t>
  </si>
  <si>
    <t>006002</t>
  </si>
  <si>
    <t>借记卡产品名称</t>
  </si>
  <si>
    <t>Debit card name</t>
  </si>
  <si>
    <t>借记卡产品名称，中文字典或中文描述，银行自定义。</t>
  </si>
  <si>
    <t>006003</t>
  </si>
  <si>
    <t>卡片状态</t>
  </si>
  <si>
    <t>Card state</t>
  </si>
  <si>
    <t>未激活，正常，注销，冻结，睡眠，挂失，其他-银行自定义。以枚举类型填报，如果无法以枚举类型填报的，以“其他-XX”填报，其中XX为银行自定义的卡片状态。</t>
  </si>
  <si>
    <t>006004</t>
  </si>
  <si>
    <t>存折类型</t>
  </si>
  <si>
    <t>Passbook type</t>
  </si>
  <si>
    <t>普通存折，存单，一本通，大额定期存单，其他-银行自定义。无法以枚举类型填报的，以“其他-XX”填报，其中XX为银行自定义的类型。</t>
  </si>
  <si>
    <t>006005</t>
  </si>
  <si>
    <t>存折状态</t>
  </si>
  <si>
    <t>Passbook state</t>
  </si>
  <si>
    <t>未激活，正常，注销，冻结，睡眠，挂失，其他-银行自定义。无法以枚举类型填报的，以“其他-XX”填报，其中XX为银行自定义状态。</t>
  </si>
  <si>
    <t>006006</t>
  </si>
  <si>
    <t>卡片名称</t>
  </si>
  <si>
    <t>Card name</t>
  </si>
  <si>
    <t>信用卡片种类名称。</t>
  </si>
  <si>
    <t>006007</t>
  </si>
  <si>
    <t>卡片级别</t>
  </si>
  <si>
    <t>Card level</t>
  </si>
  <si>
    <t>006008</t>
  </si>
  <si>
    <t>发卡渠道</t>
  </si>
  <si>
    <t>Card issuing</t>
  </si>
  <si>
    <t>银行网点、银行卡中心直销、银行官方网站（含网银渠道）、手机终端（银行APP）、合作发卡、第三方机构引流、其他-银行自定义。无法以枚举类型填报的，以“其他-XX”填报，其中XX为银行自定义类型。</t>
  </si>
  <si>
    <t>006009</t>
  </si>
  <si>
    <t>商户编号</t>
  </si>
  <si>
    <t>Merchant ID</t>
  </si>
  <si>
    <t>唯一识别商户的编码。可以是商业银行自有商户编号，也可以是第三方支付机构收单交易显示的商户编号。</t>
  </si>
  <si>
    <t>006010</t>
  </si>
  <si>
    <t>商户名称</t>
  </si>
  <si>
    <t>Merchant Name</t>
  </si>
  <si>
    <t>商户注册登记的名称。</t>
  </si>
  <si>
    <t>006011</t>
  </si>
  <si>
    <t>商户MCC码</t>
  </si>
  <si>
    <t>MCC Code</t>
  </si>
  <si>
    <t>商户类别码。由四位数字代码组成。</t>
  </si>
  <si>
    <t>C4</t>
  </si>
  <si>
    <t>006012</t>
  </si>
  <si>
    <t>商户MCC名称</t>
  </si>
  <si>
    <t>MCC Name</t>
  </si>
  <si>
    <t>商户类别码对应的名称。</t>
  </si>
  <si>
    <t>006013</t>
  </si>
  <si>
    <t>分期交易类型</t>
  </si>
  <si>
    <t>Installment Trading type</t>
  </si>
  <si>
    <t>普通分期总额、普通分期单笔、专项分期总额、专项分期单笔、现金分期总额、现金分期单笔、其他-银行自定义。无法以枚举类型填报的，以“其他-XX”填报，其中XX为银行自定义类型。</t>
  </si>
  <si>
    <t>006014</t>
  </si>
  <si>
    <t>分期业务类型</t>
  </si>
  <si>
    <t>Installment  type</t>
  </si>
  <si>
    <t>账单分期，单笔消费分期，现金分期，POS商户分期，邮购电购分期，汽车分期，家装分期，车位分期，教育分期，婚庆分期，其他-银行自定义。无法以枚举类型填报的，以“其他-XX”填报，其中XX为银行自定义分期业务类型。</t>
  </si>
  <si>
    <t>006015</t>
  </si>
  <si>
    <t>线上线下交易标志</t>
  </si>
  <si>
    <t>On/off trade flag</t>
  </si>
  <si>
    <t>线上，线下</t>
  </si>
  <si>
    <t>006016</t>
  </si>
  <si>
    <t>POS终端号</t>
  </si>
  <si>
    <t>POS ID</t>
  </si>
  <si>
    <t>银行自定义的唯一标识POS终端编码。</t>
  </si>
  <si>
    <t>006017</t>
  </si>
  <si>
    <t>清算账号类型</t>
  </si>
  <si>
    <t>Banding account type</t>
  </si>
  <si>
    <t>本行卡，本行对公结算账户，他行卡，他行对公结算账户，第三方平台账户-银行自定义。清算账号为第三方平台账户的，需填报至具体平台名称。</t>
  </si>
  <si>
    <t>007001</t>
  </si>
  <si>
    <t>授信协议号</t>
  </si>
  <si>
    <t>Credit agreement number</t>
  </si>
  <si>
    <t>填报银行授予客户授信额度的授信号码（或授信合同号码），该号码唯一标识该笔授信。若银行对该客户有多笔授信，应逐笔填列。</t>
  </si>
  <si>
    <t>007002</t>
  </si>
  <si>
    <t>授信主体种类</t>
  </si>
  <si>
    <t>Credit type</t>
  </si>
  <si>
    <t>单一法人授信，集团客户授信，供应链融资，个人客户授信，同业客户授信，其他-银行自定义。无法以枚举类型填报的，以“其他-XX”填报，其中XX为银行自定义种类。</t>
  </si>
  <si>
    <t>007003</t>
  </si>
  <si>
    <t>授信种类</t>
  </si>
  <si>
    <t>Credit granting type</t>
  </si>
  <si>
    <t>综合额度授信，低风险额度授信，信用卡额度授信，临时额度授信，专项额度授信，其他-银行自定义。无法以枚举类型填报的，以“其他-XX”填报，其中XX为银行自定义种类。</t>
  </si>
  <si>
    <t>007004</t>
  </si>
  <si>
    <t>信用卡授信类型</t>
  </si>
  <si>
    <t>Credit card granting type</t>
  </si>
  <si>
    <t>新发卡授信、固定额度上调,临时额度上调,专项分期额度上调,其他-银行自定义。无法以枚举类型填报的，以“其他-XX”填报，其中XX为银行自定义类型。</t>
  </si>
  <si>
    <t>007005</t>
  </si>
  <si>
    <t>有效状态</t>
  </si>
  <si>
    <t>Validity status</t>
  </si>
  <si>
    <t>有效，无效。</t>
  </si>
  <si>
    <t>007006</t>
  </si>
  <si>
    <t>审批意见</t>
  </si>
  <si>
    <t>Decision</t>
  </si>
  <si>
    <t>007007</t>
  </si>
  <si>
    <t>贷款展期编号</t>
  </si>
  <si>
    <t>Number of loan extension</t>
  </si>
  <si>
    <t>贷款展期编号。</t>
  </si>
  <si>
    <t>007008</t>
  </si>
  <si>
    <t>信贷资产类型</t>
  </si>
  <si>
    <t>Loan asset type</t>
  </si>
  <si>
    <t>个人贷款，对公贷款，信用卡贷款。</t>
  </si>
  <si>
    <t>007009</t>
  </si>
  <si>
    <t>变动方式</t>
  </si>
  <si>
    <t>Variation way</t>
  </si>
  <si>
    <t>人工，自动。</t>
  </si>
  <si>
    <t>007010</t>
  </si>
  <si>
    <t>协议名称</t>
  </si>
  <si>
    <t>Agreement name</t>
  </si>
  <si>
    <t>007011</t>
  </si>
  <si>
    <t>变动原因</t>
  </si>
  <si>
    <t>Happen reason</t>
  </si>
  <si>
    <t>007012</t>
  </si>
  <si>
    <t>转让方式</t>
  </si>
  <si>
    <t>Transfer method</t>
  </si>
  <si>
    <t>直接转让，信贷资产证券化，信贷资产收益权转让，信贷资产受益权转让，其他-银行自定义。无法以枚举类型填报的，以“其他-XX”填报，其中“XX”为银行自定义方式。</t>
  </si>
  <si>
    <t>007013</t>
  </si>
  <si>
    <t>转让方向</t>
  </si>
  <si>
    <t>Transfer orientation</t>
  </si>
  <si>
    <t>转入，转出，买入返售，卖出回购。</t>
  </si>
  <si>
    <t>007014</t>
  </si>
  <si>
    <t>垫款类型</t>
  </si>
  <si>
    <t>Advances type</t>
  </si>
  <si>
    <t>与1104报表G01_Ⅵ《各项垫款情况表》一致。即分为（按序号+名称填报）：1.1承兑汇票，1.2融资性保函，1.3其他等同于贷款的授信业务， 2.1非融资性保函， 2.2其他与交易相关的或有项目，3.1跟单信用证，3.2其他与贸易相关的或有项目。</t>
  </si>
  <si>
    <t>007015</t>
  </si>
  <si>
    <t>垫款状态</t>
  </si>
  <si>
    <t>Advances state</t>
  </si>
  <si>
    <t>未结清，已结清，转让，核销。无法以枚举类型填报的，以“其他-XX”填报，其中“XX”为银行自定义垫款状态。</t>
  </si>
  <si>
    <t>007016</t>
  </si>
  <si>
    <t>转让交易平台</t>
  </si>
  <si>
    <t>Trading asset Registry</t>
  </si>
  <si>
    <t>银登中心，证券交易所，银行间市场，其他-银行自定义。无法以枚举类型填报的，以“其他-XX”填报，其中“XX”为银行自定义交易平台。</t>
  </si>
  <si>
    <t>资产负债及涉农统计</t>
  </si>
  <si>
    <t>008001</t>
  </si>
  <si>
    <t>期限类型</t>
  </si>
  <si>
    <t>Term type</t>
  </si>
  <si>
    <t>天，周，旬，月，季，半年，年。</t>
  </si>
  <si>
    <t>客户风险统计相关指标</t>
  </si>
  <si>
    <t>009001</t>
  </si>
  <si>
    <t>账户类型</t>
  </si>
  <si>
    <t>Account type</t>
  </si>
  <si>
    <t>银行账户，交易账户。</t>
  </si>
  <si>
    <t>009002</t>
  </si>
  <si>
    <t>风险预警信号</t>
  </si>
  <si>
    <t>Risk warning signal</t>
  </si>
  <si>
    <t>根据客户类型，以银保监会客户风险统计报表的《集团风险预警代码及预警信号对照表》、《单一法人风险预警代码及预警信号对照表》对应的预警信号代码，填报至二级指标。同一客户涉及多项预警的，应将多个代码一并填报，中间分号隔开，如：A01；B02。</t>
  </si>
  <si>
    <t>C..500</t>
  </si>
  <si>
    <t>009003</t>
  </si>
  <si>
    <t>关注事件代码</t>
  </si>
  <si>
    <t>Issue Code</t>
  </si>
  <si>
    <t>根据客户类型，以银保监会客户风险统计报表的《集团关注事件及代码对照表》、《单一法人关注事件及代码对照表》对应的预警信号代码，填报至二级指标。同一客户涉及多项关注事件的，应将多个代码一并填报，中间用分号隔开，如：A01；B02。</t>
  </si>
  <si>
    <t>资金与理财业务</t>
  </si>
  <si>
    <t>10</t>
  </si>
  <si>
    <t>010001</t>
  </si>
  <si>
    <t>金融工具编号</t>
  </si>
  <si>
    <t>Instrument Code</t>
  </si>
  <si>
    <t>能在表内唯一识别金融工具的编号，包括但不限于标准化或非标准化金融产品。在中登公司有登记的金融产品，需填报在中登公司记录的正确编号，如果不是标准产品，则由银行自定义。</t>
  </si>
  <si>
    <t>010002</t>
  </si>
  <si>
    <t>金融工具名称</t>
  </si>
  <si>
    <t>Instrument</t>
  </si>
  <si>
    <t>金融产品名称，包括但不限于标准化或非标准化金融产品。如果不是标准产品，则由银行自定义。</t>
  </si>
  <si>
    <t>010003</t>
  </si>
  <si>
    <t>资产类型</t>
  </si>
  <si>
    <t>Asset type</t>
  </si>
  <si>
    <t>现金及银行存款，外汇，证券，股权，保险产品，标准化债券，理财产品，理财直接融资工具，新增可投资资产（信贷资产流转项目、其他新增），非标准化债权类资产，权益类投资，贵金属，金融衍生品，QDII，商品类资产，另类资产（艺术品、知识产权等），公募基金，私募基金。无法以枚举类型填报的，以“其他-XX”填报，其中“XX”为银行自定义资产类型。</t>
  </si>
  <si>
    <t>010004</t>
  </si>
  <si>
    <t>国别代码</t>
  </si>
  <si>
    <t>Country code</t>
  </si>
  <si>
    <t>《GB/T 2659 世界各国和地区名称代码》定义的三字符代码，如CHN。</t>
  </si>
  <si>
    <t>010005</t>
  </si>
  <si>
    <t>交易编号</t>
  </si>
  <si>
    <t>Trade id</t>
  </si>
  <si>
    <t>识别交易的唯一编号，可以是合同号、成交编号或者其他自定义的编号。</t>
  </si>
  <si>
    <t>010006</t>
  </si>
  <si>
    <t>利率类型</t>
  </si>
  <si>
    <t>Interest type</t>
  </si>
  <si>
    <t>LPR，非LPR。</t>
  </si>
  <si>
    <t>010007</t>
  </si>
  <si>
    <t>产品代码</t>
  </si>
  <si>
    <t>Product code</t>
  </si>
  <si>
    <t>发行机构在发行登记时赋予理财产品的代码，该代码在发行机构内部具有唯一性。</t>
  </si>
  <si>
    <t>010008</t>
  </si>
  <si>
    <t>汇率</t>
  </si>
  <si>
    <t>FX Rate</t>
  </si>
  <si>
    <t>外汇汇率，以当天央行（外管局）公布汇率为准。</t>
  </si>
  <si>
    <t>010009</t>
  </si>
  <si>
    <t>买卖标志</t>
  </si>
  <si>
    <t>Buy or sell</t>
  </si>
  <si>
    <t>买入，卖出。</t>
  </si>
  <si>
    <t>010010</t>
  </si>
  <si>
    <t>信用评级</t>
  </si>
  <si>
    <t>Rating</t>
  </si>
  <si>
    <t>优先填报外部专业性的评级公司对融资人主体或资产的信用评级结果，如无，则由填报机构内部对融资人主体或资产的信用评级结果。</t>
  </si>
  <si>
    <t>010011</t>
  </si>
  <si>
    <t>期限</t>
  </si>
  <si>
    <t>Term</t>
  </si>
  <si>
    <t>约定的期限，适用于债券等业务。</t>
  </si>
  <si>
    <t>010012</t>
  </si>
  <si>
    <t>产品登记编码</t>
  </si>
  <si>
    <t>Product registration code</t>
  </si>
  <si>
    <t>登记机构赋予理财产品的标识码，该码具有唯一性。</t>
  </si>
  <si>
    <t>010013</t>
  </si>
  <si>
    <t>行内标识码</t>
  </si>
  <si>
    <t>Product inner code</t>
  </si>
  <si>
    <t>发行机构在申报登记时赋予理财产品的代码，该代码在发行机构内部具有唯一性。</t>
  </si>
  <si>
    <t>010014</t>
  </si>
  <si>
    <t>产品品牌</t>
  </si>
  <si>
    <t>Product brand</t>
  </si>
  <si>
    <t>理财产品的标记，用以和其他竞争产品相区别的名称，具有自我宣传的作用。</t>
  </si>
  <si>
    <t>010015</t>
  </si>
  <si>
    <t>资金投向地区</t>
  </si>
  <si>
    <t>Domestic/foreign investing flag</t>
  </si>
  <si>
    <t>境内，境外，境内和境外。</t>
  </si>
  <si>
    <t>C..15</t>
  </si>
  <si>
    <t>010016</t>
  </si>
  <si>
    <t>投资者类型</t>
  </si>
  <si>
    <t>Investor type</t>
  </si>
  <si>
    <t>一般个人客户、高资产净值客户、私人银行客户、机构客户、金融同业客户。</t>
  </si>
  <si>
    <t>010017</t>
  </si>
  <si>
    <t>理财产品风险等级</t>
  </si>
  <si>
    <t>Financing product risk level</t>
  </si>
  <si>
    <t>一级，二级，三级，四级，五级。</t>
  </si>
  <si>
    <t>010018</t>
  </si>
  <si>
    <t>产品运作模式</t>
  </si>
  <si>
    <t>Product operation mode</t>
  </si>
  <si>
    <t>封闭式净值型，封闭式非净值型，开放式净值型，开放式非净值型。</t>
  </si>
  <si>
    <t>010019</t>
  </si>
  <si>
    <t>产品资产配置方式</t>
  </si>
  <si>
    <t>Product asset management</t>
  </si>
  <si>
    <t>单一资产配置（一对一），资产组合配置（一对多），其他配置（多对多）。</t>
  </si>
  <si>
    <t>010020</t>
  </si>
  <si>
    <t>产品管理模式</t>
  </si>
  <si>
    <t>Product manager type</t>
  </si>
  <si>
    <t>银行为实际管理人，其他机构为实际管理人，资产管理公司，特殊目的载体（SPV）。</t>
  </si>
  <si>
    <t>010021</t>
  </si>
  <si>
    <t>产品定价方式</t>
  </si>
  <si>
    <t>Product pricing method</t>
  </si>
  <si>
    <t>公允价值定价，成本法定价，综合定价。</t>
  </si>
  <si>
    <t>010022</t>
  </si>
  <si>
    <t>投资类型</t>
  </si>
  <si>
    <t>Investment type</t>
  </si>
  <si>
    <t>结构性理财产品，货币市场工具类，债券类，非标准化债权类，基金股票类，股权类，另类投资类，混合类，代客境外理财产品。</t>
  </si>
  <si>
    <t>010023</t>
  </si>
  <si>
    <t>合作模式</t>
  </si>
  <si>
    <t>Cooperation mode</t>
  </si>
  <si>
    <t>独立运作，银信，银保，银基，银证，混合类，其他。</t>
  </si>
  <si>
    <t>010024</t>
  </si>
  <si>
    <t>投资资产种类及比例</t>
  </si>
  <si>
    <t>Investment structure</t>
  </si>
  <si>
    <t>需按照以下格式填写，例如“10%：股票（二级市场）；10%-20%：公司债券；70%-80%：信贷资产”(百分号、冒号、分号、连字号均为英文半角标点)；百分号前的数字应在[0，100]区间内。</t>
  </si>
  <si>
    <t>010025</t>
  </si>
  <si>
    <t>产品销售区域</t>
  </si>
  <si>
    <t>Product sales territory</t>
  </si>
  <si>
    <t>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t>
  </si>
  <si>
    <t>010026</t>
  </si>
  <si>
    <t>产品增信形式</t>
  </si>
  <si>
    <t>Product credit enhancement class</t>
  </si>
  <si>
    <t>内部增级，外部增级，内外增级。</t>
  </si>
  <si>
    <t>010027</t>
  </si>
  <si>
    <t>到账日</t>
  </si>
  <si>
    <t>Days of settlement</t>
  </si>
  <si>
    <r>
      <rPr>
        <sz val="12"/>
        <color rgb="FFFF0000"/>
        <rFont val="Times New Roman"/>
        <charset val="134"/>
      </rPr>
      <t>T+N</t>
    </r>
    <r>
      <rPr>
        <sz val="12"/>
        <color rgb="FFFF0000"/>
        <rFont val="宋体"/>
        <charset val="134"/>
      </rPr>
      <t>（</t>
    </r>
    <r>
      <rPr>
        <sz val="12"/>
        <color rgb="FFFF0000"/>
        <rFont val="Times New Roman"/>
        <charset val="134"/>
      </rPr>
      <t>N</t>
    </r>
    <r>
      <rPr>
        <sz val="12"/>
        <color rgb="FFFF0000"/>
        <rFont val="宋体"/>
        <charset val="134"/>
      </rPr>
      <t>为数字）</t>
    </r>
  </si>
  <si>
    <t>010028</t>
  </si>
  <si>
    <t>业务大类</t>
  </si>
  <si>
    <t>Business large class</t>
  </si>
  <si>
    <t>同《自营报送范围》中的“业务大类”清单，其中债券与同业投资部分与1104报表G31的产品种类一致，不可自定义修改。</t>
  </si>
  <si>
    <t>010029</t>
  </si>
  <si>
    <t>业务中类</t>
  </si>
  <si>
    <t>Business middle class</t>
  </si>
  <si>
    <t>同《自营报送范围》中的“业务中类”清单，其中债券与同业投资部分与1104报表G31的产品种类一致，不可自定义修改。</t>
  </si>
  <si>
    <t>010030</t>
  </si>
  <si>
    <t>业务小类</t>
  </si>
  <si>
    <t>Business little class</t>
  </si>
  <si>
    <t>同《自营报送范围》中的“业务小类”清单，其中债券与同业投资部分与1104报表G31的产品种类一致，不可自定义修改。</t>
  </si>
  <si>
    <t>010031</t>
  </si>
  <si>
    <t>基础资产编号</t>
  </si>
  <si>
    <t>Base asset number</t>
  </si>
  <si>
    <t>010032</t>
  </si>
  <si>
    <t>基础资产名称</t>
  </si>
  <si>
    <t>Base asset name</t>
  </si>
  <si>
    <t>010033</t>
  </si>
  <si>
    <t>纳税识别码</t>
  </si>
  <si>
    <t>Tax document number</t>
  </si>
  <si>
    <t>根据交易对手的营业执照是老三证还是新三证合一营业执照判断填写。如果是老三证，纳税识别码填税务登记证号；如果是三证合一的营业执照，填统一社会信用代码。</t>
  </si>
  <si>
    <t>010034</t>
  </si>
  <si>
    <t>投向类型</t>
  </si>
  <si>
    <t>Invest type</t>
  </si>
  <si>
    <t>按照1104报表G31标准填写穿透后的最终投向。当业务中类为私募基金投资、资产管理产品投资和其他投资时必填。其他业务类型允许为空。</t>
  </si>
  <si>
    <t>010035</t>
  </si>
  <si>
    <t>信用风险权重</t>
  </si>
  <si>
    <t>Credit risk weight</t>
  </si>
  <si>
    <t>信用风险加权资产计算权重，填写风险缓释后加权平均权重（即G4B-1表中的风险加权资产比例）。业务如可穿透管理则填写加权平均权重。</t>
  </si>
  <si>
    <t>010036</t>
  </si>
  <si>
    <t>产品状态</t>
  </si>
  <si>
    <t>Product status</t>
  </si>
  <si>
    <t>存续，暂存，待审阅，报告通过，报告未通过，报告通过未发行，已发行登记，发行失败，已募集登记，已终止登记。</t>
  </si>
  <si>
    <t>010037</t>
  </si>
  <si>
    <t>净值</t>
  </si>
  <si>
    <t>Net value</t>
  </si>
  <si>
    <t>理财产品份额的单位价值。</t>
  </si>
  <si>
    <t>D12.7</t>
  </si>
  <si>
    <t>010038</t>
  </si>
  <si>
    <t>开放模式</t>
  </si>
  <si>
    <t>Type of open-end period</t>
  </si>
  <si>
    <t>有规律开放，无规律开放。</t>
  </si>
  <si>
    <t>010039</t>
  </si>
  <si>
    <t>规律开放周期</t>
  </si>
  <si>
    <t>Open-end period interval</t>
  </si>
  <si>
    <t>每天开放，每周开放一次，每两周开放一次，每月开放一次，每季度开放一次，每半年开放一次，每年开放一次，其他规律开放周期。</t>
  </si>
  <si>
    <t>010040</t>
  </si>
  <si>
    <t>天数</t>
  </si>
  <si>
    <t>Number of days</t>
  </si>
  <si>
    <t>以天为单位计的时间长度。</t>
  </si>
  <si>
    <t>I..8</t>
  </si>
  <si>
    <t>010041</t>
  </si>
  <si>
    <t>平均开放次数</t>
  </si>
  <si>
    <t>Number of open-end periods</t>
  </si>
  <si>
    <t>在一个年度内开放的次数。</t>
  </si>
  <si>
    <t>D5.2</t>
  </si>
  <si>
    <t>010042</t>
  </si>
  <si>
    <t>开放期业务类型</t>
  </si>
  <si>
    <t>Option of open-end period</t>
  </si>
  <si>
    <t>申赎皆可，仅可申购无限制，仅可赎回无限制，仅可申购有限制，仅可赎回有限制，其他。</t>
  </si>
  <si>
    <t>010043</t>
  </si>
  <si>
    <t>产品募集方式</t>
  </si>
  <si>
    <t>Type of placement</t>
  </si>
  <si>
    <t>公募，私募。</t>
  </si>
  <si>
    <t>010044</t>
  </si>
  <si>
    <t>产品投资性质</t>
  </si>
  <si>
    <t>Type of portfolio</t>
  </si>
  <si>
    <t>固收类，权益类，商品及衍生品类，混合类。</t>
  </si>
  <si>
    <t>010045</t>
  </si>
  <si>
    <t>挂钩标的</t>
  </si>
  <si>
    <t>Linked subject</t>
  </si>
  <si>
    <t>利率，汇率，股票，农产品，大宗商品，贵金属，债券，指数，基金，另类资产，期货，期权，远期，互换，复合金融衍生品，其他。</t>
  </si>
  <si>
    <t>010046</t>
  </si>
  <si>
    <t>直接或间接标志</t>
  </si>
  <si>
    <t>Direct or indirect</t>
  </si>
  <si>
    <t>直接，间接。</t>
  </si>
  <si>
    <t>010047</t>
  </si>
  <si>
    <t>编码</t>
  </si>
  <si>
    <t>Serial number</t>
  </si>
  <si>
    <t>银行自定义的代码。</t>
  </si>
  <si>
    <t>010048</t>
  </si>
  <si>
    <t>资产类别（一级）</t>
  </si>
  <si>
    <t>Type of asset (Tier 1)</t>
  </si>
  <si>
    <t>所属资产类别。</t>
  </si>
  <si>
    <t>010049</t>
  </si>
  <si>
    <t>资产类别（二级）</t>
  </si>
  <si>
    <t>Type of asset (Tier 2)</t>
  </si>
  <si>
    <t>010050</t>
  </si>
  <si>
    <t>资产类别（三级）</t>
  </si>
  <si>
    <t>Type of asset (Tier 3)</t>
  </si>
  <si>
    <t>与底层资产对应。</t>
  </si>
  <si>
    <t>010051</t>
  </si>
  <si>
    <t>流通场所</t>
  </si>
  <si>
    <t>Trading exchange</t>
  </si>
  <si>
    <t>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t>
  </si>
  <si>
    <t>010052</t>
  </si>
  <si>
    <t>收/受益权类型</t>
  </si>
  <si>
    <t>Type of usufruct</t>
  </si>
  <si>
    <t>信托贷款，信贷资产转让，委托债权，应收账款，带回购条款的股权性融资，私募债权，融资融券，证券公司受益凭证，委托贷款，其他。</t>
  </si>
  <si>
    <t>010053</t>
  </si>
  <si>
    <t>月数</t>
  </si>
  <si>
    <t>Number of months</t>
  </si>
  <si>
    <t>以月为单位计的时间长度。</t>
  </si>
  <si>
    <t>010054</t>
  </si>
  <si>
    <t>计息基础</t>
  </si>
  <si>
    <t>Day-count basis</t>
  </si>
  <si>
    <t>ACT/366，ACT/360，ACT/365，ACT/ACT，30/360</t>
  </si>
  <si>
    <t xml:space="preserve">C..30 </t>
  </si>
  <si>
    <t>010055</t>
  </si>
  <si>
    <t>基准利率种类</t>
  </si>
  <si>
    <t>Type of benchmark interest rate</t>
  </si>
  <si>
    <t>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t>
  </si>
  <si>
    <t>010056</t>
  </si>
  <si>
    <t>类型（按规模划分）</t>
  </si>
  <si>
    <t>Type (Scale)</t>
  </si>
  <si>
    <t>中小微企业，大型企业，其他。</t>
  </si>
  <si>
    <t>010057</t>
  </si>
  <si>
    <t>类型（按技术领域划分）</t>
  </si>
  <si>
    <t>Type (Tech)</t>
  </si>
  <si>
    <t>高新技术企业，其他。</t>
  </si>
  <si>
    <t>010058</t>
  </si>
  <si>
    <t>类型（按经济类型划分）</t>
  </si>
  <si>
    <t>Type (Ownership)</t>
  </si>
  <si>
    <t>国有企业，集体企业，私营企业，其他。</t>
  </si>
  <si>
    <t>010059</t>
  </si>
  <si>
    <t>重点监控类别</t>
  </si>
  <si>
    <t>Type (Monitoring)</t>
  </si>
  <si>
    <t>房地产（保障房除外），地方政府融资平台，“铁公基”行业，“两高一剩”行业，其他。</t>
  </si>
  <si>
    <t>010060</t>
  </si>
  <si>
    <t>单价</t>
  </si>
  <si>
    <t>Unit price</t>
  </si>
  <si>
    <t>单位价格。</t>
  </si>
  <si>
    <t>D17.4</t>
  </si>
  <si>
    <t>010061</t>
  </si>
  <si>
    <t>层级类别</t>
  </si>
  <si>
    <t>Type of tier</t>
  </si>
  <si>
    <t>优先层级一，优先层级二，优先层级三，优先层级四，优先层级五，进取层级一，进取层级二，进取层级三，进取层级四，进取层级五。</t>
  </si>
  <si>
    <t>010062</t>
  </si>
  <si>
    <t>统一代码</t>
  </si>
  <si>
    <t>Universal code</t>
  </si>
  <si>
    <t>按照一定规则编制的，具有公开性、唯一性的资产编码</t>
  </si>
  <si>
    <t>010063</t>
  </si>
  <si>
    <t>资产或交易登记编码</t>
  </si>
  <si>
    <t>Asset registration code</t>
  </si>
  <si>
    <t>登记机构赋予资产或交易的标识码。</t>
  </si>
  <si>
    <t>010064</t>
  </si>
  <si>
    <t>中间层资产类型</t>
  </si>
  <si>
    <t>Type of intermediate asset</t>
  </si>
  <si>
    <t>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t>
  </si>
  <si>
    <t>010065</t>
  </si>
  <si>
    <t>理财中心ID</t>
  </si>
  <si>
    <t>Wemax ID</t>
  </si>
  <si>
    <t>理财中心赋予产品或资产的序号。</t>
  </si>
  <si>
    <t>010066</t>
  </si>
  <si>
    <t>份额或资产数量</t>
  </si>
  <si>
    <t>Number of units</t>
  </si>
  <si>
    <t>产品份额或资产的数量。</t>
  </si>
  <si>
    <t>D23.5</t>
  </si>
  <si>
    <t>010067</t>
  </si>
  <si>
    <t>理财产品发行机构类型</t>
  </si>
  <si>
    <t>Type of asset manager</t>
  </si>
  <si>
    <t>国有银行，股份制银行，城商行，外资银行，农村合作金融机构，政策性银行，国家开发银行，理财公司，其他。</t>
  </si>
  <si>
    <t>010068</t>
  </si>
  <si>
    <t>产品期次</t>
  </si>
  <si>
    <t>Serial number of product</t>
  </si>
  <si>
    <t>数字。</t>
  </si>
  <si>
    <t>010069</t>
  </si>
  <si>
    <t>理财业务备注</t>
  </si>
  <si>
    <t>Remark of asset managemet product</t>
  </si>
  <si>
    <t>发行机构自定义。</t>
  </si>
  <si>
    <t>010070</t>
  </si>
  <si>
    <t>外部评级</t>
  </si>
  <si>
    <t>Standard internal rating</t>
  </si>
  <si>
    <t>外部专业性的评级公司对融资人主体或资产的信用评级结果，以如下枚举值填报：AAA+，AAA，AAA-，AA+，AA，AA-，A+，A，A-，A-1，A-2，A-3，BBB+，BBB，BBB-，BB+，BB，BB-，B+，B，B-，CCC+，CCC，CCC-，CC+，CC，CC-，C+，C，C-，D。</t>
  </si>
  <si>
    <t>010071</t>
  </si>
  <si>
    <t>内部评级</t>
  </si>
  <si>
    <t>Non-standard internal rating</t>
  </si>
  <si>
    <t>填报机构内部对融资人主体或资产的信用评级结果，银行自定义。</t>
  </si>
  <si>
    <t>010072</t>
  </si>
  <si>
    <t>资金流动类型</t>
  </si>
  <si>
    <t>Type of transaction</t>
  </si>
  <si>
    <t>资产买入，资产卖出或到期，存入银行存款，银行存款到期，拆放同业和买入返售首期，同业拆入和卖出回购首期，拆放同业和买入返售到期，同业拆入和卖出回购到期，投资资产所得收益，投资资产支出，其他收入，其他支出。</t>
  </si>
  <si>
    <t>010073</t>
  </si>
  <si>
    <t>综合评级</t>
  </si>
  <si>
    <t>Comprehensive rating</t>
  </si>
  <si>
    <t>与底层资产对应的资产评级。</t>
  </si>
  <si>
    <t>010074</t>
  </si>
  <si>
    <t>托管机构名称</t>
  </si>
  <si>
    <t>Name of custodian</t>
  </si>
  <si>
    <t>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t>
  </si>
  <si>
    <t>010075</t>
  </si>
  <si>
    <t>行政区划</t>
  </si>
  <si>
    <t>Administrative division</t>
  </si>
  <si>
    <t>根据《中华人民共和国行政区划代码》，填写至二级分类。</t>
  </si>
  <si>
    <t>010076</t>
  </si>
  <si>
    <t>发行机构代码</t>
  </si>
  <si>
    <t>Issuer Code</t>
  </si>
  <si>
    <t>取自金融机构代码证前6位。</t>
  </si>
  <si>
    <t>010077</t>
  </si>
  <si>
    <t>理财业务种类</t>
  </si>
  <si>
    <t>Business Type</t>
  </si>
  <si>
    <t>募集期认购，存续期申购，存续期赎回，分红，红利再投资，质押融资首期，质押融资到期，冻结，解冻，交易过户转入，交易过户转出，非交易过户转入，非交易过户转出，份额强增，份额强减，到期兑付。</t>
  </si>
  <si>
    <t>010078</t>
  </si>
  <si>
    <t>管理方式</t>
  </si>
  <si>
    <t>Type of account</t>
  </si>
  <si>
    <t>集合管理，单独管理</t>
  </si>
  <si>
    <t>010079</t>
  </si>
  <si>
    <t>资产计量方式</t>
  </si>
  <si>
    <t>Method of asset measurement</t>
  </si>
  <si>
    <t>公允价值，摊余成本。</t>
  </si>
  <si>
    <t>010080</t>
  </si>
  <si>
    <t>担保方式</t>
  </si>
  <si>
    <t>Type of guarantee</t>
  </si>
  <si>
    <t>信用担保，第三方保证，抵押，质押，信用增级，其他。</t>
  </si>
  <si>
    <t>010081</t>
  </si>
  <si>
    <t>各层名称</t>
  </si>
  <si>
    <t>Name of layers</t>
  </si>
  <si>
    <t>持有的资管及委外资产的名称。</t>
  </si>
  <si>
    <t>C..800</t>
  </si>
  <si>
    <t>010082</t>
  </si>
  <si>
    <t>计息类型</t>
  </si>
  <si>
    <t>Type of coupon</t>
  </si>
  <si>
    <t>贴现式，利随本清固定利率，利随本清浮动利率，附息式固定利率，附息式浮动利率，零息式。</t>
  </si>
  <si>
    <t>010083</t>
  </si>
  <si>
    <t>利息分布方式</t>
  </si>
  <si>
    <r>
      <rPr>
        <sz val="12"/>
        <rFont val="Times New Roman"/>
        <charset val="134"/>
      </rPr>
      <t>Coupon</t>
    </r>
    <r>
      <rPr>
        <sz val="11"/>
        <rFont val="Times New Roman"/>
        <charset val="134"/>
      </rPr>
      <t xml:space="preserve"> allocation type</t>
    </r>
  </si>
  <si>
    <t>平均分配，实际天数分配。</t>
  </si>
  <si>
    <t>010084</t>
  </si>
  <si>
    <t>结构档次</t>
  </si>
  <si>
    <r>
      <rPr>
        <sz val="12"/>
        <rFont val="Times New Roman"/>
        <charset val="134"/>
      </rPr>
      <t>Structure</t>
    </r>
    <r>
      <rPr>
        <sz val="11"/>
        <rFont val="Times New Roman"/>
        <charset val="134"/>
      </rPr>
      <t xml:space="preserve"> grade</t>
    </r>
  </si>
  <si>
    <t>优先，优先A，优先B，优先C，优先D，中间，次优先，次级。</t>
  </si>
  <si>
    <t>010085</t>
  </si>
  <si>
    <t>还本方式</t>
  </si>
  <si>
    <r>
      <rPr>
        <sz val="12"/>
        <rFont val="Times New Roman"/>
        <charset val="134"/>
      </rPr>
      <t>Principal</t>
    </r>
    <r>
      <rPr>
        <sz val="11"/>
        <rFont val="Times New Roman"/>
        <charset val="134"/>
      </rPr>
      <t xml:space="preserve"> payment type</t>
    </r>
  </si>
  <si>
    <t>过手摊还，固定摊还。</t>
  </si>
  <si>
    <t>010086</t>
  </si>
  <si>
    <t>含权类型</t>
  </si>
  <si>
    <t>Option type</t>
  </si>
  <si>
    <t>发行人赎回选择权，发行人利息递延支付选择权，发行人续期选择权，投资人回售选择权，票面利率调整选择权，协商续期选择权，提前到期选择权。</t>
  </si>
  <si>
    <t>010087</t>
  </si>
  <si>
    <t>行权方式</t>
  </si>
  <si>
    <t>Exercise date type</t>
  </si>
  <si>
    <t>美式期权，欧式期权，百慕大期权。</t>
  </si>
  <si>
    <t>010088</t>
  </si>
  <si>
    <t>永续条款类型</t>
  </si>
  <si>
    <t>Perpetual type</t>
  </si>
  <si>
    <t>无，可续期条款，永续条款。</t>
  </si>
  <si>
    <t>010089</t>
  </si>
  <si>
    <t>利息递延条款类型</t>
  </si>
  <si>
    <t>Deferred interest type</t>
  </si>
  <si>
    <t>无利息递延条款，有利息递延条款，非利息递延条款引起的递延。</t>
  </si>
  <si>
    <t>010090</t>
  </si>
  <si>
    <t>分期还本条款标识</t>
  </si>
  <si>
    <t>Installment repay type</t>
  </si>
  <si>
    <t>分期还本，到期一次还本，其他。</t>
  </si>
  <si>
    <t>010091</t>
  </si>
  <si>
    <t>Type of collateral</t>
  </si>
  <si>
    <t>现金及其等价物，贵金属，有价凭证，应收账款，房地产及土地使用权，存货，收费(益)权，其他。</t>
  </si>
  <si>
    <t>010092</t>
  </si>
  <si>
    <t>担保性质</t>
  </si>
  <si>
    <t>Nature of Guarantee</t>
  </si>
  <si>
    <t>有限责任，无限责任。</t>
  </si>
  <si>
    <t>010093</t>
  </si>
  <si>
    <t>担保人与融资人关系</t>
  </si>
  <si>
    <t>Relationship of borrower and guarantee</t>
  </si>
  <si>
    <t>主要股东，控股股东，实际控制人，一致行动人，最终受益人，其他。</t>
  </si>
  <si>
    <t>010094</t>
  </si>
  <si>
    <t>对手方类型</t>
  </si>
  <si>
    <t>Type of counterparty</t>
  </si>
  <si>
    <t>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t>
  </si>
  <si>
    <t>010095</t>
  </si>
  <si>
    <t>所属监管机构</t>
  </si>
  <si>
    <t>Supervisory Department</t>
  </si>
  <si>
    <t>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t>
  </si>
  <si>
    <t>010096</t>
  </si>
  <si>
    <t>金融工具利率类型</t>
  </si>
  <si>
    <t>Interest type of instrument</t>
  </si>
  <si>
    <t>固定，浮动，互换，其他。</t>
  </si>
  <si>
    <t>010097</t>
  </si>
  <si>
    <t>资金交易产品种类</t>
  </si>
  <si>
    <t>Contract type of derivatives</t>
  </si>
  <si>
    <t>利率类产品，汇率类产品，商品及其他类产品，股权相关类产品，信用类产品，贵金属类产品，复合类产品</t>
  </si>
  <si>
    <t>010098</t>
  </si>
  <si>
    <t>资金交易业务种类</t>
  </si>
  <si>
    <t>Business type of derivatives</t>
  </si>
  <si>
    <t>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银行自定义。无法以枚举类型填报的，以“其他-XX”填报，其中“XX”为银行自定义类型。</t>
  </si>
  <si>
    <t>010099</t>
  </si>
  <si>
    <t>交易对手类别</t>
  </si>
  <si>
    <t>Type of counterparties</t>
  </si>
  <si>
    <t>政府机关，银行业金融机构，非银行业金融机构，境外金融机构，公司客户，个人客户。</t>
  </si>
  <si>
    <t>010100</t>
  </si>
  <si>
    <t>代理代销交易类型</t>
  </si>
  <si>
    <t>Type of agency transaction</t>
  </si>
  <si>
    <t>债券承销，代理代销信托计划，代理代销资产管理计划，代理代销保险产品，代理代销基金，代理贵金属交易，代销他行理财产品，其他-银行自定义类型。无法以枚举类型填报的，以“其他-XX”填报，其中XX为银行自定义类型。</t>
  </si>
  <si>
    <t>010101</t>
  </si>
  <si>
    <t>基础资产类型</t>
  </si>
  <si>
    <t>Type of  underlying assets</t>
  </si>
  <si>
    <t>010102</t>
  </si>
  <si>
    <t>说明</t>
  </si>
  <si>
    <t>010103</t>
  </si>
  <si>
    <t>杠杆率</t>
  </si>
  <si>
    <t>Leverage ratio</t>
  </si>
  <si>
    <t>所在月末统计时点理财产品的杠杆率。结果保留四位小数。</t>
  </si>
  <si>
    <t>D20.4</t>
  </si>
  <si>
    <t>中国银保监会银行业金融机构监管数据标准化规范（2021版）</t>
  </si>
  <si>
    <t>分类编号</t>
  </si>
  <si>
    <t>传输文件名称</t>
  </si>
  <si>
    <t>数据项名称</t>
  </si>
  <si>
    <t>数据项代码</t>
  </si>
  <si>
    <t>数据项编号</t>
  </si>
  <si>
    <t>数据元</t>
  </si>
  <si>
    <t>变更类型</t>
  </si>
  <si>
    <t>变更规范列</t>
  </si>
  <si>
    <t>变更说明</t>
  </si>
  <si>
    <t>YHJGDM</t>
  </si>
  <si>
    <t>10101</t>
  </si>
  <si>
    <t>需填报人行大小额支付系统中登记的“人行支付行号”；允许多个内部机构号对应同一个“人行支付行号”；该字段不可为空，内设机构、虚拟机构等无“人行支付行号”的，填报上一级机构的“人行支付行号”。</t>
  </si>
  <si>
    <t>NBJGH</t>
  </si>
  <si>
    <t>10102</t>
  </si>
  <si>
    <t>PK</t>
  </si>
  <si>
    <t>JRXKZH</t>
  </si>
  <si>
    <t>10103</t>
  </si>
  <si>
    <t>营业机构、管理机构必须填报“金融许可证号”，内设机构、虚拟机构及营业部取上一级管理机构的金融许可证号。</t>
  </si>
  <si>
    <t>YYZZH</t>
  </si>
  <si>
    <t>10104</t>
  </si>
  <si>
    <t>营业机构、管理机构必须填报“营业执照号”，内设机构、虚拟机构及营业部取上一级管理机构的营业执照号</t>
  </si>
  <si>
    <t>银行机构名称</t>
  </si>
  <si>
    <t>YHJGMC</t>
  </si>
  <si>
    <t>10105</t>
  </si>
  <si>
    <t>需填写全称，有金融许可证号的需与金融许可证上的机构名称保持一致。例如：应填报“XX银行股份有限公司XX省分行”，不应填报为“XX省分行”。无独立金融机构许可证的机构，可在本名称中体现出机构特征。</t>
  </si>
  <si>
    <t>JGLB</t>
  </si>
  <si>
    <t>10106</t>
  </si>
  <si>
    <t>仅允许填报为：管理机构，营业机构，虚拟机构，内设机构。
各行根据实际情况进行映射：
管理机构：总行、一级分行、专营机构；
营业机构：除总行、一级分行、专营机构以外的有金融许可证的实体机构。专营机构分支机构作为营业机构。营业部也作为营业机构，填报上一级管理机构的金融许可证号；
虚拟机构：指自助银行、ATM、网银、手机银行等渠道；
内设机构：如清算中心等内设部门。</t>
  </si>
  <si>
    <t>数据元说明、备注</t>
  </si>
  <si>
    <t>行政区划代码</t>
  </si>
  <si>
    <t>XZQHDM</t>
  </si>
  <si>
    <t>10107</t>
  </si>
  <si>
    <t>营业机构、管理机构必须填报实际的“行政区划代码”（要求到区县一级，6位代码），内设机构、虚拟机构，营业部取上一级管理机构的行政区划代码</t>
  </si>
  <si>
    <t>YYZT</t>
  </si>
  <si>
    <t>10108</t>
  </si>
  <si>
    <t>营业：正常、拟撤销等状态的机构
停业：歇业、筹建中等状态的机构</t>
  </si>
  <si>
    <t>成立日期</t>
  </si>
  <si>
    <t>CLRQ</t>
  </si>
  <si>
    <t>10109</t>
  </si>
  <si>
    <t>数据项名称、数据项代码</t>
  </si>
  <si>
    <t>机构地址</t>
  </si>
  <si>
    <t>JGDZ</t>
  </si>
  <si>
    <t>10110</t>
  </si>
  <si>
    <t>虚拟机构可为空</t>
  </si>
  <si>
    <t>机构联系电话</t>
  </si>
  <si>
    <t>JGLXDH</t>
  </si>
  <si>
    <t>10111</t>
  </si>
  <si>
    <t>机构办公联系电话，区号-座机电话，虚拟机构、自助银行及自助设备机构、机构本部和仅承担内部核算职能的机构可为空。非隐私，不做变形。</t>
  </si>
  <si>
    <t>负责人姓名</t>
  </si>
  <si>
    <t>FZRXM</t>
  </si>
  <si>
    <t>10112</t>
  </si>
  <si>
    <t>非隐私，不做变形。虚拟机构、自助银行及自助设备机构、机构本部和仅承担内部核算职能的机构可为空。</t>
  </si>
  <si>
    <t>负责人职务</t>
  </si>
  <si>
    <t>FZRZW</t>
  </si>
  <si>
    <t>10113</t>
  </si>
  <si>
    <t>虚拟机构、自助银行及自助设备机构、机构本部和仅承担内部核算职能的机构可为空。</t>
  </si>
  <si>
    <t>负责人联系电话</t>
  </si>
  <si>
    <t>FZRLXDH</t>
  </si>
  <si>
    <t>10114</t>
  </si>
  <si>
    <t>负责人联系电话，区号-座机电话/手机，虚拟机构、自助银行及自助设备机构、机构本部和仅承担内部核算职能的机构可为空。非隐私，不做变形</t>
  </si>
  <si>
    <t>BBZ</t>
  </si>
  <si>
    <t>10115</t>
  </si>
  <si>
    <t>描述其他字段未能详尽说明的情况，如是否是历史数据、未通过校验原因等可在备注栏说明，简述即可，不必详述，不同备注事项用分号或句号分隔开。</t>
  </si>
  <si>
    <t>采集日期</t>
  </si>
  <si>
    <t>CJRQ</t>
  </si>
  <si>
    <t>10116</t>
  </si>
  <si>
    <t>PK。采集日期指该期（批次）数据报送的期末日期，例如：按日采集的表，采集日期应为每日；按月采集的表，采集日期应为月末最后一天；以此类推。有特殊报送要求的，应以报送要求的截至日期为采集日期。</t>
  </si>
  <si>
    <t>10201</t>
  </si>
  <si>
    <t>关联数据项：机构信息表.银行机构代码</t>
  </si>
  <si>
    <t>10202</t>
  </si>
  <si>
    <t>10203</t>
  </si>
  <si>
    <t>关联数据项：机构信息表.内部机构号。员工如果采集区间发生过更换机构，按采集时点的最后填报内部机构号。</t>
  </si>
  <si>
    <t>10204</t>
  </si>
  <si>
    <t>需填写全称，有金融许可证号的需与金融许可证上的机构名称保持一致。关联数据项：机构信息表.银行机构名称</t>
  </si>
  <si>
    <t>GH</t>
  </si>
  <si>
    <t>10205</t>
  </si>
  <si>
    <t>PK。</t>
  </si>
  <si>
    <t>调整数据项位置</t>
  </si>
  <si>
    <t>XM</t>
  </si>
  <si>
    <t>10206</t>
  </si>
  <si>
    <t>员工姓名为非隐私，不做变形。</t>
  </si>
  <si>
    <t>ZJLB</t>
  </si>
  <si>
    <t>10207</t>
  </si>
  <si>
    <t>ZJHM</t>
  </si>
  <si>
    <t>10208</t>
  </si>
  <si>
    <t>隐私，银行机构变形。变形规则见《采集技术接口说明》。</t>
  </si>
  <si>
    <t>联系电话</t>
  </si>
  <si>
    <t>LXDH</t>
  </si>
  <si>
    <t>10209</t>
  </si>
  <si>
    <t>非隐私，不做变形。</t>
  </si>
  <si>
    <t>SSBM</t>
  </si>
  <si>
    <t>10210</t>
  </si>
  <si>
    <t>GWBH</t>
  </si>
  <si>
    <t>10211</t>
  </si>
  <si>
    <t>PK。存在多个岗位时，按照多条报送。关联数据项：岗位信息表.岗位编号。</t>
  </si>
  <si>
    <t>增加备注说明</t>
  </si>
  <si>
    <t>GWMC</t>
  </si>
  <si>
    <t>10212</t>
  </si>
  <si>
    <t>存在多个岗位时，按照多条报送。关联数据项：岗位信息表.岗位名称</t>
  </si>
  <si>
    <t>YGZT</t>
  </si>
  <si>
    <t>10213</t>
  </si>
  <si>
    <t>正式员工停职属于正式员工在职,借调、挂职、病休等均属于正式员工在职类,非正式员工停职属于非正式员工在职,开除包括劝退、辞退等员工非主动离职，调出指本行系统内调动，如从北京分行调至总行。</t>
  </si>
  <si>
    <t>数据元、备注</t>
  </si>
  <si>
    <t>10214</t>
  </si>
  <si>
    <t>10215</t>
  </si>
  <si>
    <t>10301</t>
  </si>
  <si>
    <t>10302</t>
  </si>
  <si>
    <t>10303</t>
  </si>
  <si>
    <t>PK。关联数据项：机构信息表.内部机构号</t>
  </si>
  <si>
    <t>10304</t>
  </si>
  <si>
    <t>GYH</t>
  </si>
  <si>
    <t>10305</t>
  </si>
  <si>
    <t>PK，根据实际情况填写，虚拟柜员可填写渠道号。</t>
  </si>
  <si>
    <t>10306</t>
  </si>
  <si>
    <t>虚拟柜员员工号允许为空。关联数据项：员工表.工号。</t>
  </si>
  <si>
    <t>GYLX</t>
  </si>
  <si>
    <t>10307</t>
  </si>
  <si>
    <t>银行自定义，“柜员类型”需体现具体虚拟柜员，如自助银行，网银等。</t>
  </si>
  <si>
    <t>是否实体柜员</t>
  </si>
  <si>
    <t>SFSTGY</t>
  </si>
  <si>
    <t>10308</t>
  </si>
  <si>
    <t>必填，实体柜员填是，其他填否。</t>
  </si>
  <si>
    <t>客户经理标志</t>
  </si>
  <si>
    <t>KHJLBZ</t>
  </si>
  <si>
    <t>10309</t>
  </si>
  <si>
    <t>必填。</t>
  </si>
  <si>
    <t>信贷员标志</t>
  </si>
  <si>
    <t>XDYBZ</t>
  </si>
  <si>
    <t>10310</t>
  </si>
  <si>
    <t>10311</t>
  </si>
  <si>
    <t>关联数据项：岗位信息表.岗位编号</t>
  </si>
  <si>
    <t>GYQXJB</t>
  </si>
  <si>
    <t>10312</t>
  </si>
  <si>
    <t>上岗日期</t>
  </si>
  <si>
    <t>SGRQ</t>
  </si>
  <si>
    <t>10313</t>
  </si>
  <si>
    <t>柜员状态</t>
  </si>
  <si>
    <t>GYZT</t>
  </si>
  <si>
    <t>10314</t>
  </si>
  <si>
    <t>10315</t>
  </si>
  <si>
    <t>10316</t>
  </si>
  <si>
    <t>GWZL</t>
  </si>
  <si>
    <t>外资银行允许用英文描述。</t>
  </si>
  <si>
    <t>GWSM</t>
  </si>
  <si>
    <t>岗位状态</t>
  </si>
  <si>
    <t>GWZT</t>
  </si>
  <si>
    <t>10501</t>
  </si>
  <si>
    <t>10502</t>
  </si>
  <si>
    <t>10503</t>
  </si>
  <si>
    <t>10504</t>
  </si>
  <si>
    <t>上级管理机构代码</t>
  </si>
  <si>
    <t>SJGLJGDM</t>
  </si>
  <si>
    <t>10505</t>
  </si>
  <si>
    <t>没有上级机构的该项填写为0，其中总行本级上级机构代码为总行法人。</t>
  </si>
  <si>
    <t>上级管理内部机构号</t>
  </si>
  <si>
    <t>SJGLNBJGH</t>
  </si>
  <si>
    <t>10506</t>
  </si>
  <si>
    <t>没有上级机构的该项填写为0，其中总行本级上级机构号为总行法人。</t>
  </si>
  <si>
    <t>上级管理机构名称</t>
  </si>
  <si>
    <t>SJGLJGMC</t>
  </si>
  <si>
    <t>10507</t>
  </si>
  <si>
    <t>没有上级机构的该项填写为空，其中总行本级上级机构为总行法人。</t>
  </si>
  <si>
    <t>格式、备注</t>
  </si>
  <si>
    <t>10508</t>
  </si>
  <si>
    <t>10509</t>
  </si>
  <si>
    <t>10601</t>
  </si>
  <si>
    <t>填报本行法人机构代码。关联数据项：机构信息表.银行机构代码</t>
  </si>
  <si>
    <t>10602</t>
  </si>
  <si>
    <t>填报本行法人机构名称。关联数据项：机构信息表.银行机构名称</t>
  </si>
  <si>
    <t>KHTYBH</t>
  </si>
  <si>
    <t>10603</t>
  </si>
  <si>
    <t>如果股东不是本银行客户，填为空值。</t>
  </si>
  <si>
    <t>股东名称</t>
  </si>
  <si>
    <t>GDMC</t>
  </si>
  <si>
    <t>10604</t>
  </si>
  <si>
    <t>PK。股东名称：对个人股东，为股东姓名；对法人股东，为股东经有关部门批准正式使用的客户全称，与客户公章所使用的名称完全一致。股东顺序按持股比例确定。非隐私，不做变形。</t>
  </si>
  <si>
    <t>股东类型</t>
  </si>
  <si>
    <t>GDLX</t>
  </si>
  <si>
    <t>10605</t>
  </si>
  <si>
    <t>股东证件类别</t>
  </si>
  <si>
    <t>GDZJLB</t>
  </si>
  <si>
    <t>10606</t>
  </si>
  <si>
    <t>不可为空。如未收集证件号码，可以填写为其他任意能识别该股东的编号,如“其他-客户编号”。</t>
  </si>
  <si>
    <t>股东证件号码</t>
  </si>
  <si>
    <t>GDZJHM</t>
  </si>
  <si>
    <t>10607</t>
  </si>
  <si>
    <t>如包含个人身份证件号码，则为隐私，银行机构需做变形，变形规则见《采集技术接口说明》。</t>
  </si>
  <si>
    <t>持股数量</t>
  </si>
  <si>
    <t>CGSL</t>
  </si>
  <si>
    <t>10608</t>
  </si>
  <si>
    <t>股东持有银行股数，以股为单位。填报机构为非股份法人的可以为空。</t>
  </si>
  <si>
    <t>持股比例</t>
  </si>
  <si>
    <t>CGBL</t>
  </si>
  <si>
    <t>10609</t>
  </si>
  <si>
    <t>入股日期</t>
  </si>
  <si>
    <t>RGRQ</t>
  </si>
  <si>
    <t>10610</t>
  </si>
  <si>
    <t>最近一次持股份额由0变为非0的日期。</t>
  </si>
  <si>
    <t>质押比例</t>
  </si>
  <si>
    <t>ZYBL</t>
  </si>
  <si>
    <t>10611</t>
  </si>
  <si>
    <t>填报该股东截至报送日股权质押的比例，质押比例分母为股东持有股份数量。未质押股权的填0，未采集质押比例的填报为空。</t>
  </si>
  <si>
    <t>是否驻派董监事</t>
  </si>
  <si>
    <t>SFZPDJS</t>
  </si>
  <si>
    <t>10612</t>
  </si>
  <si>
    <t>该股东是否为银行机构的驻派董事、监事。</t>
  </si>
  <si>
    <t>股东状态</t>
  </si>
  <si>
    <t>GDZT</t>
  </si>
  <si>
    <t>10613</t>
  </si>
  <si>
    <t>表示一条记录是否已经无效。默认为有效，当需要删除一条股东信息时，更新为无效。</t>
  </si>
  <si>
    <t>最近一次变动日期</t>
  </si>
  <si>
    <t>ZJYCBDRQ</t>
  </si>
  <si>
    <t>10614</t>
  </si>
  <si>
    <t>报送最近一次入股、增资扩股或股权转让等影响持股比例的日期。</t>
  </si>
  <si>
    <t>10615</t>
  </si>
  <si>
    <t>10616</t>
  </si>
  <si>
    <t>20101</t>
  </si>
  <si>
    <t>填报客户归属的银行机构。关联数据项：机构信息表.银行机构代码</t>
  </si>
  <si>
    <t>20102</t>
  </si>
  <si>
    <t>填报客户归属的银行机构。营业机构、管理机构必须填报“金融许可证号”，内设机构、虚拟机构及营业部取上一级管理机构的金融许可证号。</t>
  </si>
  <si>
    <t>20103</t>
  </si>
  <si>
    <t>填报客户归属的银行机构。关联数据项：机构信息表.内部机构号</t>
  </si>
  <si>
    <t>20104</t>
  </si>
  <si>
    <t>填报客户归属的银行机构。关联数据项：机构信息表.银行机构名称</t>
  </si>
  <si>
    <t>20105</t>
  </si>
  <si>
    <t>PK。如包含个人身份证件号码，则为隐私，银行机构需做变形，变形规则见《采集技术接口说明》。</t>
  </si>
  <si>
    <t>客户姓名</t>
  </si>
  <si>
    <t>KHXM</t>
  </si>
  <si>
    <t>20106</t>
  </si>
  <si>
    <t>隐私，银行机构变形，变形规则见《采集技术接口说明》。</t>
  </si>
  <si>
    <t>20107</t>
  </si>
  <si>
    <t>20108</t>
  </si>
  <si>
    <t>客户类型</t>
  </si>
  <si>
    <t>BXYGBZ</t>
  </si>
  <si>
    <t>20109</t>
  </si>
  <si>
    <t>多个身份的，中间用逗号分隔填报。识别为个体工商户或小为企业主的，不必填普通个人客户身份。</t>
  </si>
  <si>
    <t>GJ</t>
  </si>
  <si>
    <t>20110</t>
  </si>
  <si>
    <t>MZ</t>
  </si>
  <si>
    <t>20111</t>
  </si>
  <si>
    <t>外籍客户允许为空。</t>
  </si>
  <si>
    <t>XB</t>
  </si>
  <si>
    <t>20112</t>
  </si>
  <si>
    <t>不可为空。</t>
  </si>
  <si>
    <t>XL</t>
  </si>
  <si>
    <t>20113</t>
  </si>
  <si>
    <t>未采集的允许为空。</t>
  </si>
  <si>
    <t>出生年月</t>
  </si>
  <si>
    <t>CSNY</t>
  </si>
  <si>
    <t>20114</t>
  </si>
  <si>
    <t>客户的出生年月，无需精确到日。不可为空。</t>
  </si>
  <si>
    <t>数据元，备注</t>
  </si>
  <si>
    <t>HYQK</t>
  </si>
  <si>
    <t>20115</t>
  </si>
  <si>
    <t>工作单位名称</t>
  </si>
  <si>
    <t>GZDWMC</t>
  </si>
  <si>
    <t>20116</t>
  </si>
  <si>
    <t>未采集或无工作单位的客户，允许为空。工作单位是境内涉密机构的，客户名称填报为“*********”。</t>
  </si>
  <si>
    <t>工作单位地址</t>
  </si>
  <si>
    <t>GZDWDZ</t>
  </si>
  <si>
    <t>20117</t>
  </si>
  <si>
    <t>未采集或无工作单位的客户，允许为空。工作单位是境内涉密机构的填报为空。</t>
  </si>
  <si>
    <t>工作单位电话</t>
  </si>
  <si>
    <t>GZDWDH</t>
  </si>
  <si>
    <t>20118</t>
  </si>
  <si>
    <t>DWXZ</t>
  </si>
  <si>
    <t>20119</t>
  </si>
  <si>
    <t>未采集或无工作单位的客户，允许为空。</t>
  </si>
  <si>
    <t>ZY</t>
  </si>
  <si>
    <t>20120</t>
  </si>
  <si>
    <t>ZW</t>
  </si>
  <si>
    <t>20121</t>
  </si>
  <si>
    <t>数据项代码、数据元</t>
  </si>
  <si>
    <t>个人年收入</t>
  </si>
  <si>
    <t>GRNSR</t>
  </si>
  <si>
    <t>20122</t>
  </si>
  <si>
    <t>折算人民币报送。小微个人客户填报经营收入指标。学生等无收入的客户，个人年收入可填报为0。未采集的允许为空。</t>
  </si>
  <si>
    <t>通讯地址</t>
  </si>
  <si>
    <t>TXDZ</t>
  </si>
  <si>
    <t>20123</t>
  </si>
  <si>
    <t>对于未采集通讯地址的客户，允许为空。</t>
  </si>
  <si>
    <t>20124</t>
  </si>
  <si>
    <t>隐私，银行机构变形，变形规则见《采集技术接口说明》，应采尽采。</t>
  </si>
  <si>
    <t>信贷客户标志</t>
  </si>
  <si>
    <t>XDKHBZ</t>
  </si>
  <si>
    <t>20125</t>
  </si>
  <si>
    <t>有信贷业务余额，或者开展过信贷业务的客户均为本行信贷客户。</t>
  </si>
  <si>
    <t>首次建立信贷关系年月</t>
  </si>
  <si>
    <t>SCJLXDGXNY</t>
  </si>
  <si>
    <t>20126</t>
  </si>
  <si>
    <t>信贷标志为“是”时，首次建立信贷关系年月不能为默认值。</t>
  </si>
  <si>
    <t>授信币种</t>
  </si>
  <si>
    <t>SXBZ</t>
  </si>
  <si>
    <t>20127</t>
  </si>
  <si>
    <t>多个币种授信的，折算为本外币合计（BWB）。</t>
  </si>
  <si>
    <t>授信额度</t>
  </si>
  <si>
    <t>SXED</t>
  </si>
  <si>
    <t>20128</t>
  </si>
  <si>
    <t>授信额度应与授信信息表中授信状态为“有效”的授信额度一致。包括个人贷款、准贷记卡透支额度和信用卡额度。</t>
  </si>
  <si>
    <t>已用额度</t>
  </si>
  <si>
    <t>YYED</t>
  </si>
  <si>
    <t>20129</t>
  </si>
  <si>
    <t>以个人贷款、准贷记卡和信用卡透支的余额填报。</t>
  </si>
  <si>
    <t>是否农户</t>
  </si>
  <si>
    <t>SFNH</t>
  </si>
  <si>
    <t>20130</t>
  </si>
  <si>
    <t>统计口径参照人行涉农口径。</t>
  </si>
  <si>
    <t>本行员工标志</t>
  </si>
  <si>
    <t>BHYGBZ</t>
  </si>
  <si>
    <t>20131</t>
  </si>
  <si>
    <t>上本行黑名单标志</t>
  </si>
  <si>
    <t>SBHHMDBZ</t>
  </si>
  <si>
    <t>20132</t>
  </si>
  <si>
    <t>指贷款黑名单、信用卡黑名单等。</t>
  </si>
  <si>
    <t>上黑名单日期</t>
  </si>
  <si>
    <t>SHMDRQ</t>
  </si>
  <si>
    <t>20133</t>
  </si>
  <si>
    <t>20134</t>
  </si>
  <si>
    <t>20135</t>
  </si>
  <si>
    <t>修改表名、备注</t>
  </si>
  <si>
    <t>20201</t>
  </si>
  <si>
    <t>20202</t>
  </si>
  <si>
    <t>20203</t>
  </si>
  <si>
    <t>关联数据项：机构信息表.内部机构号</t>
  </si>
  <si>
    <t>20204</t>
  </si>
  <si>
    <t>PK。如包含个人身份证件号码，则为隐私，银行机构需做变形，变形规则见《采集技术接口说明》。关联数据项：个人基础信息.客户统一编号</t>
  </si>
  <si>
    <t>20205</t>
  </si>
  <si>
    <t>20206</t>
  </si>
  <si>
    <t>20207</t>
  </si>
  <si>
    <t>GXLX</t>
  </si>
  <si>
    <t>20208</t>
  </si>
  <si>
    <t>关系人客户统一编号</t>
  </si>
  <si>
    <t>GXRKHTYBH</t>
  </si>
  <si>
    <t>20209</t>
  </si>
  <si>
    <t>关系人姓名</t>
  </si>
  <si>
    <t>GXRXM</t>
  </si>
  <si>
    <t>20210</t>
  </si>
  <si>
    <t>关系人证件类别</t>
  </si>
  <si>
    <t>GXRZJLB</t>
  </si>
  <si>
    <t>20211</t>
  </si>
  <si>
    <t>不可为空。如未收集证件号码，可以填写为其他任意能识别该关系人的编号,如“其他-客户编号”。</t>
  </si>
  <si>
    <t>关系人证件号码</t>
  </si>
  <si>
    <t>GXRZJHM</t>
  </si>
  <si>
    <t>20212</t>
  </si>
  <si>
    <t>20213</t>
  </si>
  <si>
    <t>20214</t>
  </si>
  <si>
    <t>203</t>
  </si>
  <si>
    <t>表名、备注</t>
  </si>
  <si>
    <t>20301</t>
  </si>
  <si>
    <t>20302</t>
  </si>
  <si>
    <t>20303</t>
  </si>
  <si>
    <t>20304</t>
  </si>
  <si>
    <t>20305</t>
  </si>
  <si>
    <t>客户名称</t>
  </si>
  <si>
    <t>KHMC</t>
  </si>
  <si>
    <t>20306</t>
  </si>
  <si>
    <t>非隐私，不做变形。境内涉密机构的客户名称填报为“*********”。</t>
  </si>
  <si>
    <t>KHLX</t>
  </si>
  <si>
    <t>20307</t>
  </si>
  <si>
    <t>同业客户的范围与银保监会非现场监管统计一致。银行对企业分公司等非法人机构授信的，视同单一法人客户填报。纳入集团统一授信的客户，均填报为集团客户。</t>
  </si>
  <si>
    <t>20308</t>
  </si>
  <si>
    <t>对于对公客户：已登记统一社会信用代码的，填18位统一社会信用代码；未登记统一社会信用代码的，选择其他方式填写。</t>
  </si>
  <si>
    <t>20309</t>
  </si>
  <si>
    <t>没单位的部门，填报其上级单位或母公司的统一社会信用代码（或组织机构代码）。特殊单位的，填报其上级单位的统一社会信用代码（或组织机构代码）或人民银行开户许可证号。对于同业客户，如未纳入客户管理，报唯一识别码。境内涉密机构填报为空。</t>
  </si>
  <si>
    <t>FRDB</t>
  </si>
  <si>
    <t>20310</t>
  </si>
  <si>
    <t>非隐私，不做变形。没有法人代表的允许为空。</t>
  </si>
  <si>
    <t>法人代表证件类别</t>
  </si>
  <si>
    <t>FRDBZJLB</t>
  </si>
  <si>
    <t>20311</t>
  </si>
  <si>
    <t>没有法人代表的允许为空。</t>
  </si>
  <si>
    <t>法人代表证件号码</t>
  </si>
  <si>
    <t>FRDBZJHM</t>
  </si>
  <si>
    <t>20312</t>
  </si>
  <si>
    <t>隐私，银行机构变形。变形规则见《采集技术接口说明》。没有法人代表的允许为空。</t>
  </si>
  <si>
    <t>财务人员</t>
  </si>
  <si>
    <t>CWRY</t>
  </si>
  <si>
    <t>20313</t>
  </si>
  <si>
    <t>非隐私，不做变形。填报高级财务管理人员，无高级财务管理人员的填报财务经办人员，应尽量填报，没有可以为空。</t>
  </si>
  <si>
    <t>财务人员证件类别</t>
  </si>
  <si>
    <t>CWRYZJLB</t>
  </si>
  <si>
    <t>20314</t>
  </si>
  <si>
    <t>部分客户未采集财务人员信息，应尽量填报，没有可以为空。</t>
  </si>
  <si>
    <t>财务人员证件号码</t>
  </si>
  <si>
    <t>CWRYZJHM</t>
  </si>
  <si>
    <t>20315</t>
  </si>
  <si>
    <t>隐私，银行机构变形。变形规则见《采集技术接口说明》。部分客户未采集财务人员信息，应尽量填报，没有可以为空。</t>
  </si>
  <si>
    <t>基本存款账号</t>
  </si>
  <si>
    <t>JBCKZH</t>
  </si>
  <si>
    <t>20316</t>
  </si>
  <si>
    <t>属于客户的基本账户账号，是指企业客户可以进行现金存取的账号。如他行开立的基本账号，可以为空。</t>
  </si>
  <si>
    <t>基本账户开户行号</t>
  </si>
  <si>
    <t>JBZHKHHH</t>
  </si>
  <si>
    <t>20317</t>
  </si>
  <si>
    <t>客户的基本账户所在行机构代码。</t>
  </si>
  <si>
    <t>基本账户开户行名称</t>
  </si>
  <si>
    <t>JBZHKHHMC</t>
  </si>
  <si>
    <t>20318</t>
  </si>
  <si>
    <t>客户的基本账户所在行名称。</t>
  </si>
  <si>
    <t>注册资本</t>
  </si>
  <si>
    <t>ZCZB</t>
  </si>
  <si>
    <t>20319</t>
  </si>
  <si>
    <t>非企业客户，未采集的允许为空。</t>
  </si>
  <si>
    <t>注册资本币种</t>
  </si>
  <si>
    <t>ZCZBBZ</t>
  </si>
  <si>
    <t>20320</t>
  </si>
  <si>
    <t>实收资本</t>
  </si>
  <si>
    <t>SSZB</t>
  </si>
  <si>
    <t>20321</t>
  </si>
  <si>
    <t>根据《公司法》规定，注册资本可实行认缴的企业或组织，填报认缴金额。非企业客户，未采集的允许为空。</t>
  </si>
  <si>
    <t>实收资本币种</t>
  </si>
  <si>
    <t>SSZBBZ</t>
  </si>
  <si>
    <t>20322</t>
  </si>
  <si>
    <t>注册地址</t>
  </si>
  <si>
    <t>ZCDZ</t>
  </si>
  <si>
    <t>20323</t>
  </si>
  <si>
    <t>客户的工商登记注册地址。没有的允许为空。</t>
  </si>
  <si>
    <t>20324</t>
  </si>
  <si>
    <t>非隐私，不做变形。未采集的允许为空。</t>
  </si>
  <si>
    <t>JYFW</t>
  </si>
  <si>
    <t>20325</t>
  </si>
  <si>
    <t>非企业客户允许为空。</t>
  </si>
  <si>
    <t>20326</t>
  </si>
  <si>
    <t>客户公司的注册成立日期。行政单位等开立对公账户时因所持证件未记载成立日期的，允许为空。</t>
  </si>
  <si>
    <t>SSHY</t>
  </si>
  <si>
    <t>20327</t>
  </si>
  <si>
    <t>填报中文名称，不填报行业代码。</t>
  </si>
  <si>
    <t>QYFL</t>
  </si>
  <si>
    <t>20328</t>
  </si>
  <si>
    <t>信贷标志为“是”时，企业分类不可为空。</t>
  </si>
  <si>
    <t>20329</t>
  </si>
  <si>
    <t>20330</t>
  </si>
  <si>
    <t>20331</t>
  </si>
  <si>
    <t>20332</t>
  </si>
  <si>
    <t>授信额度应与授信信息表中授信状态为“有效”的授信一致。包括但不限于流动资金贷款、固定资产贷款、项目融资、贸易融资、透支、保理、票据、保函、信用证、债券投资、特定目的载体投资、买入返售、同业拆借、同业存款等产品额度。</t>
  </si>
  <si>
    <t>20333</t>
  </si>
  <si>
    <t>填报已使用的表内资金余额。</t>
  </si>
  <si>
    <t>上市公司标志</t>
  </si>
  <si>
    <t>SSGSBZ</t>
  </si>
  <si>
    <t>20334</t>
  </si>
  <si>
    <t>XYPJ</t>
  </si>
  <si>
    <t>20335</t>
  </si>
  <si>
    <t>非企业客户可以为空。企业客户信贷标志为“是”时，信用评级不可为空。</t>
  </si>
  <si>
    <t>员工人数</t>
  </si>
  <si>
    <t>YGRS</t>
  </si>
  <si>
    <t>20336</t>
  </si>
  <si>
    <t>非企业客户可以为空。企业客户信贷标志为“是”时，员工人数不可为空。</t>
  </si>
  <si>
    <t>20337</t>
  </si>
  <si>
    <t>FXYJXH</t>
  </si>
  <si>
    <t>20338</t>
  </si>
  <si>
    <t>如未在客户风险统计报表中填报相关指标的，允许为空。多个风险预警信号的，用分号隔开填报。</t>
  </si>
  <si>
    <t>数据元说明、格式</t>
  </si>
  <si>
    <t>GZSJDM</t>
  </si>
  <si>
    <t>20339</t>
  </si>
  <si>
    <t>如未在客户风险统计报表中填报相关指标的，允许为空。多个关注事件的，用分号隔开填报。</t>
  </si>
  <si>
    <t>20340</t>
  </si>
  <si>
    <t>20341</t>
  </si>
  <si>
    <t>204</t>
  </si>
  <si>
    <t>20401</t>
  </si>
  <si>
    <t>20402</t>
  </si>
  <si>
    <t>20403</t>
  </si>
  <si>
    <t>20404</t>
  </si>
  <si>
    <t>CWBBBH</t>
  </si>
  <si>
    <t>20405</t>
  </si>
  <si>
    <t>20406</t>
  </si>
  <si>
    <t>20407</t>
  </si>
  <si>
    <t>财务报表日期</t>
  </si>
  <si>
    <t>CWBBRQ</t>
  </si>
  <si>
    <t>20408</t>
  </si>
  <si>
    <t>是否审计</t>
  </si>
  <si>
    <t>SFSJ</t>
  </si>
  <si>
    <t>20409</t>
  </si>
  <si>
    <t>审计机构</t>
  </si>
  <si>
    <t>SJJG</t>
  </si>
  <si>
    <t>20410</t>
  </si>
  <si>
    <t>按实际情况填写，优先填报外部审计机构，其次填报内部审计机构，如果没有审计机构的允许为空。</t>
  </si>
  <si>
    <t>BBKJ</t>
  </si>
  <si>
    <t>20411</t>
  </si>
  <si>
    <t>BZ</t>
  </si>
  <si>
    <t>20412</t>
  </si>
  <si>
    <t>资产总额</t>
  </si>
  <si>
    <t>ZCZE</t>
  </si>
  <si>
    <t>20413</t>
  </si>
  <si>
    <t>负债总额</t>
  </si>
  <si>
    <t>FZZE</t>
  </si>
  <si>
    <t>20414</t>
  </si>
  <si>
    <t>税前利润</t>
  </si>
  <si>
    <t>SQLR</t>
  </si>
  <si>
    <t>20415</t>
  </si>
  <si>
    <t>所得税</t>
  </si>
  <si>
    <t>SDS</t>
  </si>
  <si>
    <t>20416</t>
  </si>
  <si>
    <t>净利润</t>
  </si>
  <si>
    <t>JLR</t>
  </si>
  <si>
    <t>20417</t>
  </si>
  <si>
    <t>主营业务收入</t>
  </si>
  <si>
    <t>ZYYWSR</t>
  </si>
  <si>
    <t>20418</t>
  </si>
  <si>
    <t>现金流量净额</t>
  </si>
  <si>
    <t>XJLLJE</t>
  </si>
  <si>
    <t>20419</t>
  </si>
  <si>
    <t>应收账款</t>
  </si>
  <si>
    <t>YSZK</t>
  </si>
  <si>
    <t>20420</t>
  </si>
  <si>
    <t>其他应收款</t>
  </si>
  <si>
    <t>QTYSK</t>
  </si>
  <si>
    <t>20421</t>
  </si>
  <si>
    <t>报表周期</t>
  </si>
  <si>
    <t>BBZQ</t>
  </si>
  <si>
    <t>20422</t>
  </si>
  <si>
    <t>20423</t>
  </si>
  <si>
    <t>20424</t>
  </si>
  <si>
    <t>205</t>
  </si>
  <si>
    <t>20501</t>
  </si>
  <si>
    <t>20502</t>
  </si>
  <si>
    <t>20503</t>
  </si>
  <si>
    <t>20504</t>
  </si>
  <si>
    <t>JTBH</t>
  </si>
  <si>
    <t>20505</t>
  </si>
  <si>
    <r>
      <rPr>
        <sz val="12"/>
        <color rgb="FFFF0000"/>
        <rFont val="宋体"/>
        <charset val="134"/>
        <scheme val="minor"/>
      </rPr>
      <t>PK</t>
    </r>
    <r>
      <rPr>
        <sz val="12"/>
        <rFont val="宋体"/>
        <charset val="134"/>
        <scheme val="minor"/>
      </rPr>
      <t>。</t>
    </r>
  </si>
  <si>
    <t>集团名称</t>
  </si>
  <si>
    <t>JTMC</t>
  </si>
  <si>
    <t>20506</t>
  </si>
  <si>
    <t>母公司客户统一编号</t>
  </si>
  <si>
    <t>MGSKHTYBH</t>
  </si>
  <si>
    <t>20507</t>
  </si>
  <si>
    <t>对于没有母公司的集团，母公司允许为空。关联数据项：对公客户.客户统一编号</t>
  </si>
  <si>
    <t>母公司名称</t>
  </si>
  <si>
    <t>MGSMC</t>
  </si>
  <si>
    <t>20508</t>
  </si>
  <si>
    <t>供应链融资情况下“母公司名称”填报为核心企业客户。对于没有母公司的集团，母公司允许为空。关联数据项：对公客户.客户名称。</t>
  </si>
  <si>
    <t>实控人名称</t>
  </si>
  <si>
    <t>SKRMC</t>
  </si>
  <si>
    <t>20509</t>
  </si>
  <si>
    <t>供应链融资情况下“实控人名称”填报为核心企业客户。</t>
  </si>
  <si>
    <t>实控人类型</t>
  </si>
  <si>
    <t>SKRLX</t>
  </si>
  <si>
    <t>20510</t>
  </si>
  <si>
    <t>20511</t>
  </si>
  <si>
    <t>集团资产总额</t>
  </si>
  <si>
    <t>JTZCZE</t>
  </si>
  <si>
    <t>20512</t>
  </si>
  <si>
    <t>指集团合并报表资产总额，以最近一次财报披露的信息填报。供应链客户无合并报表的，填报本部报表资产。</t>
  </si>
  <si>
    <t>集团负债总额</t>
  </si>
  <si>
    <t>JTFZZE</t>
  </si>
  <si>
    <t>20513</t>
  </si>
  <si>
    <t>指集团合并报表负债总额，以最近一次财报披露的信息填报。供应链客户无合并报表的，填报本部报表负债金额。</t>
  </si>
  <si>
    <t>集团授信额度</t>
  </si>
  <si>
    <t>JTSXED</t>
  </si>
  <si>
    <t>20514</t>
  </si>
  <si>
    <t>指集团敞口授信总额度。</t>
  </si>
  <si>
    <t>集团已用额度</t>
  </si>
  <si>
    <t>JTYYED</t>
  </si>
  <si>
    <t>20515</t>
  </si>
  <si>
    <t>指集团敞口授信已用额度。</t>
  </si>
  <si>
    <t>成员客户统一编号</t>
  </si>
  <si>
    <t>CYKHTYBH</t>
  </si>
  <si>
    <t>20516</t>
  </si>
  <si>
    <t>PK。关联数据项：对公客户.客户统一编号</t>
  </si>
  <si>
    <t>成员名称</t>
  </si>
  <si>
    <t>CYMC</t>
  </si>
  <si>
    <t>20517</t>
  </si>
  <si>
    <t>关联数据项：对公客户.客户名称</t>
  </si>
  <si>
    <t>成员已用额度</t>
  </si>
  <si>
    <t>CYYYED</t>
  </si>
  <si>
    <t>20518</t>
  </si>
  <si>
    <t>20519</t>
  </si>
  <si>
    <t>20520</t>
  </si>
  <si>
    <t>206</t>
  </si>
  <si>
    <t>20601</t>
  </si>
  <si>
    <t>20602</t>
  </si>
  <si>
    <t>20603</t>
  </si>
  <si>
    <t>20604</t>
  </si>
  <si>
    <t>PK。若非本行客户，则填报为空。</t>
  </si>
  <si>
    <t>20605</t>
  </si>
  <si>
    <t>客户证件类别</t>
  </si>
  <si>
    <t>KHZJLB</t>
  </si>
  <si>
    <t>20606</t>
  </si>
  <si>
    <t>客户证件号码</t>
  </si>
  <si>
    <t>KHZJHM</t>
  </si>
  <si>
    <t>20607</t>
  </si>
  <si>
    <t>对公统一社会信用代码（组织机构代码）或对私个人身份证件号码。如是个人身份证件号码，则为隐私，银行机构需做变形，变形规则见《采集技术接口说明》。</t>
  </si>
  <si>
    <t>20608</t>
  </si>
  <si>
    <t>PK。同一关联人具有多重关联关系的，以多条分别填报。</t>
  </si>
  <si>
    <t>关联人客户统一编号</t>
  </si>
  <si>
    <t>GLRKHTYBH</t>
  </si>
  <si>
    <t>20609</t>
  </si>
  <si>
    <t>关联人如果不是本行客户，则填空。</t>
  </si>
  <si>
    <t>关联人名称</t>
  </si>
  <si>
    <t>GLRMC</t>
  </si>
  <si>
    <t>20610</t>
  </si>
  <si>
    <t>PK。若关系人类别为个人，则为隐私，银行机构变形，变形规则见《采集技术接口说明》。若关系人类别为对公，则非隐私，不作变形。</t>
  </si>
  <si>
    <t>GLRLB</t>
  </si>
  <si>
    <t>20611</t>
  </si>
  <si>
    <t>关联人证件类别</t>
  </si>
  <si>
    <t>GLRZJLB</t>
  </si>
  <si>
    <t>20612</t>
  </si>
  <si>
    <t>不可为空。如未收集证件号码，可以填写为其他任意能识别关联人的编号,如“其他-客户编号”。</t>
  </si>
  <si>
    <t>关联人证件号码</t>
  </si>
  <si>
    <t>GLRZJHM</t>
  </si>
  <si>
    <t>20613</t>
  </si>
  <si>
    <t>关联关系状态</t>
  </si>
  <si>
    <t>GLGXZT</t>
  </si>
  <si>
    <t>20614</t>
  </si>
  <si>
    <t>表示一条记录是否已经失效。默认为有效，当需要删除一条关联关系时，更新为无效。</t>
  </si>
  <si>
    <t>20615</t>
  </si>
  <si>
    <t>20616</t>
  </si>
  <si>
    <t>30101</t>
  </si>
  <si>
    <t>填报卡片归属的银行机构。关联数据项：机构信息表.银行机构代码；没有支付行号时归属到最近一级有支付行号的上级记账机构</t>
  </si>
  <si>
    <t>30102</t>
  </si>
  <si>
    <t>填报卡片归属的银行机构。营业机构、管理机构必须填报“金融许可证号”，内设机构、虚拟机构及营业部取上一级管理机构的金融许可证号。</t>
  </si>
  <si>
    <t>30103</t>
  </si>
  <si>
    <t>填报卡片归属的银行机构。关联数据项：机构信息表.内部机构号</t>
  </si>
  <si>
    <t>30104</t>
  </si>
  <si>
    <t>30105</t>
  </si>
  <si>
    <t>30106</t>
  </si>
  <si>
    <t>30107</t>
  </si>
  <si>
    <t>如为个人身份证件号码，则为隐私，银行机构需做变形，变形规则见《采集技术接口说明》。</t>
  </si>
  <si>
    <t>KH</t>
  </si>
  <si>
    <t>30108</t>
  </si>
  <si>
    <t>活期存款账号</t>
  </si>
  <si>
    <t>HQCKZH</t>
  </si>
  <si>
    <t>30109</t>
  </si>
  <si>
    <t>PK。银行个人客户开立活期存款账户的账号；无关联活期存款账号时不填；关联多个活期账号，每一个活期存款账号填一条记录。有多个账号时填多条记录</t>
  </si>
  <si>
    <t>JJKCPMC</t>
  </si>
  <si>
    <t>30110</t>
  </si>
  <si>
    <t>虚拟卡标志</t>
  </si>
  <si>
    <t>XNKBZ</t>
  </si>
  <si>
    <t>30111</t>
  </si>
  <si>
    <t>若为虚拟卡，则填写“是”；若为实体卡，则填写“否”。</t>
  </si>
  <si>
    <t>员工标志</t>
  </si>
  <si>
    <t>YGBZ</t>
  </si>
  <si>
    <t>30112</t>
  </si>
  <si>
    <t>若为员工卡，则填写“是”。</t>
  </si>
  <si>
    <t>开卡日期</t>
  </si>
  <si>
    <t>KKRQ</t>
  </si>
  <si>
    <t>30113</t>
  </si>
  <si>
    <t>开卡柜员号</t>
  </si>
  <si>
    <t>KKGYH</t>
  </si>
  <si>
    <t>30114</t>
  </si>
  <si>
    <t>关联数据项：柜员表.柜员号，自动办理的柜员号允许为空。</t>
  </si>
  <si>
    <t>KPZT</t>
  </si>
  <si>
    <t>30115</t>
  </si>
  <si>
    <t>以枚举类型填报，如果无法以枚举类型填报的，以“其他-XX”填报，其中XX为银行自定义的卡片状态。</t>
  </si>
  <si>
    <t>30116</t>
  </si>
  <si>
    <t>30117</t>
  </si>
  <si>
    <t>30201</t>
  </si>
  <si>
    <t>填报存折归属的银行机构。关联数据项：机构信息表.银行机构代码</t>
  </si>
  <si>
    <t>30202</t>
  </si>
  <si>
    <t>填报存折归属的银行机构。营业机构、管理机构必须填报“金融许可证号”，内设机构、虚拟机构及营业部取上一级管理机构的金融许可证号。</t>
  </si>
  <si>
    <t>30203</t>
  </si>
  <si>
    <t>填报存折归属的银行机构。关联数据项：机构信息表.内部机构号</t>
  </si>
  <si>
    <t>30204</t>
  </si>
  <si>
    <t>30205</t>
  </si>
  <si>
    <t>30206</t>
  </si>
  <si>
    <t>30207</t>
  </si>
  <si>
    <t>存折号</t>
  </si>
  <si>
    <t>CZH</t>
  </si>
  <si>
    <t>30208</t>
  </si>
  <si>
    <t>PK。无存折号时填存款账号</t>
  </si>
  <si>
    <t>存款账号</t>
  </si>
  <si>
    <t>30209</t>
  </si>
  <si>
    <t>PK。银行个人客户开立活期或定期存款账户的账号，一个定期存折下面有多个存单的情况，每一个形成一条记录。</t>
  </si>
  <si>
    <t>CZLX</t>
  </si>
  <si>
    <t>30210</t>
  </si>
  <si>
    <t>30211</t>
  </si>
  <si>
    <t>启用日期</t>
  </si>
  <si>
    <t>QYRQ</t>
  </si>
  <si>
    <t>30212</t>
  </si>
  <si>
    <t>启用存折日期。</t>
  </si>
  <si>
    <t>启用柜员号</t>
  </si>
  <si>
    <t>QYGYH</t>
  </si>
  <si>
    <t>30213</t>
  </si>
  <si>
    <t>启用存折柜员号。关联数据项：柜员表.柜员号，自动办理的柜员号允许为空。</t>
  </si>
  <si>
    <t>CZZT</t>
  </si>
  <si>
    <t>30214</t>
  </si>
  <si>
    <t>30215</t>
  </si>
  <si>
    <t>30216</t>
  </si>
  <si>
    <t>303</t>
  </si>
  <si>
    <t>30301</t>
  </si>
  <si>
    <t>填报收集该商户的银行机构。关联数据项：机构信息表.银行机构代码。</t>
  </si>
  <si>
    <t>30302</t>
  </si>
  <si>
    <t>填报收集该商户的银行机构。营业机构、管理机构必须填报“金融许可证号”，内设机构、虚拟机构及营业部取上一级管理机构的金融许可证号。</t>
  </si>
  <si>
    <t>30303</t>
  </si>
  <si>
    <t>填报收集该商户的银行机构。关联数据项：机构信息表.内部机构号。填写商户归属的的银行机构。</t>
  </si>
  <si>
    <t>SHBH</t>
  </si>
  <si>
    <t>30304</t>
  </si>
  <si>
    <t>PK.</t>
  </si>
  <si>
    <t>SHMC</t>
  </si>
  <si>
    <t>30305</t>
  </si>
  <si>
    <t>对公客户填报商户注册登记证件上记载的法定名称全称。个人客户若未收集商户注册登记证件信息的，允许填报客户名称。</t>
  </si>
  <si>
    <t>是否POS商户</t>
  </si>
  <si>
    <t>SFPOS</t>
  </si>
  <si>
    <t>30306</t>
  </si>
  <si>
    <t>若为POS商户填报为是，其他情况无pos终端的填报为否。</t>
  </si>
  <si>
    <t>POSZDH</t>
  </si>
  <si>
    <t>30307</t>
  </si>
  <si>
    <t>PK。若为POS商户，填报终端号，其他情况允许为空。存在多个POS终端的，以多条报送。</t>
  </si>
  <si>
    <t>SHMCCM</t>
  </si>
  <si>
    <t>30308</t>
  </si>
  <si>
    <t>特指银联MCC码，用于标明银联卡交易环境、所在商户的主营业务范围和行业归属的商户类别码。</t>
  </si>
  <si>
    <t>SHMCCMC</t>
  </si>
  <si>
    <t>30309</t>
  </si>
  <si>
    <t>商户地区</t>
  </si>
  <si>
    <t>SHDQ</t>
  </si>
  <si>
    <t>30310</t>
  </si>
  <si>
    <t>清算账号</t>
  </si>
  <si>
    <t>QSZH</t>
  </si>
  <si>
    <t>30311</t>
  </si>
  <si>
    <t>POS商户绑定的收款账号，以外部账号报送。外部账号报送规则参考个人活期存款分户账明细.对方账号。</t>
  </si>
  <si>
    <t>QSZHLX</t>
  </si>
  <si>
    <t>30312</t>
  </si>
  <si>
    <t>清算账户名称</t>
  </si>
  <si>
    <t>QSZHMC</t>
  </si>
  <si>
    <t>30313</t>
  </si>
  <si>
    <t>指POS绑定的商户收款账户名称</t>
  </si>
  <si>
    <t>清算账号开户行名称</t>
  </si>
  <si>
    <t>QSZHKHHMC</t>
  </si>
  <si>
    <t>30314</t>
  </si>
  <si>
    <t>填报清算账号所属行名。第三方支付平台填写第三方支付平台名称。</t>
  </si>
  <si>
    <t>起效日期</t>
  </si>
  <si>
    <t>QXRQ</t>
  </si>
  <si>
    <t>30315</t>
  </si>
  <si>
    <t>商户生效日期</t>
  </si>
  <si>
    <t>失效日期</t>
  </si>
  <si>
    <t>SXRQ</t>
  </si>
  <si>
    <t>30316</t>
  </si>
  <si>
    <t>商户失效或不可用的日期</t>
  </si>
  <si>
    <t>商户状态</t>
  </si>
  <si>
    <t>SHZT</t>
  </si>
  <si>
    <t>30317</t>
  </si>
  <si>
    <t>30318</t>
  </si>
  <si>
    <t>30319</t>
  </si>
  <si>
    <t>采集日期指该期（批次）数据报送的期末日期，例如：按日采集的表，采集日期应为每日；按月采集的表，采集日期应为月末最后一天；以此类推。有特殊报送要求的，应以报送要求的截至日期为采集日期。</t>
  </si>
  <si>
    <t>40101</t>
  </si>
  <si>
    <t>40102</t>
  </si>
  <si>
    <t>40103</t>
  </si>
  <si>
    <t>PK。该列中的值应与机构信息表中的[内部机构号]字段保持一致。填报的各机构层级应为总分各级机构汇总及其下属作为独立核算单位的各营业机构（法人汇总、省级和地市分行汇总、支行汇总及下属网点，如内部机构号标识某省分行的数据应为该级汇总，包括本级和下属机构）。关联数据项：机构关系表.内部机构号</t>
  </si>
  <si>
    <t>40104</t>
  </si>
  <si>
    <t>KJKMBH</t>
  </si>
  <si>
    <t>40105</t>
  </si>
  <si>
    <t>PK。该列应包含机构设置的全部级次会计科目，其他会计类表中的[明细科目编号]字段填列的值应与本表中最底层科目的编号保持一致。关联数据项：内部科目对照表.总账会计科目编号</t>
  </si>
  <si>
    <t>KJKMMC</t>
  </si>
  <si>
    <t>40106</t>
  </si>
  <si>
    <t>关联数据项：内部科目对照表.总账会计科目名称</t>
  </si>
  <si>
    <t>40107</t>
  </si>
  <si>
    <t>期初借方余额</t>
  </si>
  <si>
    <t>QCJFYE</t>
  </si>
  <si>
    <t>40108</t>
  </si>
  <si>
    <t>当前科目本期期初余额</t>
  </si>
  <si>
    <t>期初贷方余额</t>
  </si>
  <si>
    <t>QCDFYE</t>
  </si>
  <si>
    <t>40109</t>
  </si>
  <si>
    <t>本期借方发生额</t>
  </si>
  <si>
    <t>JFFSE</t>
  </si>
  <si>
    <t>40110</t>
  </si>
  <si>
    <t>本期借方发生额。最底层科目的借方发生额应为对应的其他会计类分户账发生明细表中[明细科目编号]等于该[总账会计科目编号]的所有交易记录的借方发生额的汇总。</t>
  </si>
  <si>
    <t>本期贷方发生额</t>
  </si>
  <si>
    <t>DFFSE</t>
  </si>
  <si>
    <t>40111</t>
  </si>
  <si>
    <t>本期贷方发生额。最底层科目的贷方发生额应为对应的其他会计类分户账发生明细表中[明细科目编号]等于该[总账会计科目编号]的所有交易记录的贷方发生额的汇总。</t>
  </si>
  <si>
    <t>期末借方余额</t>
  </si>
  <si>
    <t>QMJFYE</t>
  </si>
  <si>
    <t>40112</t>
  </si>
  <si>
    <t>当前科目本期期末余额</t>
  </si>
  <si>
    <t>期末贷方余额</t>
  </si>
  <si>
    <t>QMDFYE</t>
  </si>
  <si>
    <t>40113</t>
  </si>
  <si>
    <t>报送周期</t>
  </si>
  <si>
    <t>BSZQ</t>
  </si>
  <si>
    <t>40114</t>
  </si>
  <si>
    <t>会计日期</t>
  </si>
  <si>
    <t>KJRQ</t>
  </si>
  <si>
    <t>40115</t>
  </si>
  <si>
    <t>PK。会计记账日期</t>
  </si>
  <si>
    <t>40116</t>
  </si>
  <si>
    <t>40117</t>
  </si>
  <si>
    <t>40201</t>
  </si>
  <si>
    <t>PK。关联数据项：总账会计全科目表.会计科目编号。</t>
  </si>
  <si>
    <t>数据项代码、备注</t>
  </si>
  <si>
    <t>40202</t>
  </si>
  <si>
    <t>关联数据项：总账会计全科目表.会计科目名称。</t>
  </si>
  <si>
    <t>KJKMJC</t>
  </si>
  <si>
    <t>40203</t>
  </si>
  <si>
    <t>允许按实际科目级次填，长度不可超过2位/总账系统是树形或扁平设置的会计科目模式,按实际情况填报</t>
  </si>
  <si>
    <t>上级科目编号</t>
  </si>
  <si>
    <t>SJKMBH</t>
  </si>
  <si>
    <t>40204</t>
  </si>
  <si>
    <t>上级科目的编号与名称必须一致，一级科目的上级科目填报为0。非一级科目的上级科目编号需关联数据项：总账会计全科目表.会计科目编号。</t>
  </si>
  <si>
    <t>上级科目名称</t>
  </si>
  <si>
    <t>SJKMMC</t>
  </si>
  <si>
    <t>40205</t>
  </si>
  <si>
    <t>上级科目的编号与名称必须一致，一级科目的上级科目为空。非一级科目的上级科目名称关联数据项：总账会计全科目表.会计科目名称。</t>
  </si>
  <si>
    <t>科目借贷标志</t>
  </si>
  <si>
    <t>KMJDBZ</t>
  </si>
  <si>
    <t>40206</t>
  </si>
  <si>
    <t>借方科目填借，贷方科目填贷。</t>
  </si>
  <si>
    <t>归属业务大类</t>
  </si>
  <si>
    <t>GSYWDL</t>
  </si>
  <si>
    <t>40207</t>
  </si>
  <si>
    <t>必填项。按七大类业务填报类型名称，不得重复填报。</t>
  </si>
  <si>
    <t>归属业务子类</t>
  </si>
  <si>
    <t>GSYWZL</t>
  </si>
  <si>
    <t>40208</t>
  </si>
  <si>
    <t>与1104报表G01、G04、G01_I的科目和填报口径一致，按照[序号+中文名称]的格式报送。1104无对应科目的可以为空。</t>
  </si>
  <si>
    <t>40209</t>
  </si>
  <si>
    <t>40301</t>
  </si>
  <si>
    <t>填报账户归属的银行机构。关联数据项：机构信息表.银行机构代码</t>
  </si>
  <si>
    <t>40302</t>
  </si>
  <si>
    <t>填报账户归属的银行机构。营业机构、管理机构必须填报“金融许可证号”，内设机构、虚拟机构及营业部取上一级管理机构的金融许可证号。</t>
  </si>
  <si>
    <t>40303</t>
  </si>
  <si>
    <t>填报账户归属的银行机构。关联数据项：机构信息表.内部机构号</t>
  </si>
  <si>
    <t>40304</t>
  </si>
  <si>
    <t>填报账户归属的银行机构。关联数据项：机构信息表.银行机构名称</t>
  </si>
  <si>
    <t>明细科目编号</t>
  </si>
  <si>
    <t>MXKMBH</t>
  </si>
  <si>
    <t>40305</t>
  </si>
  <si>
    <t>同一条数据涉及多个明细科目的，仅填报该笔业务指向的主要科目，如：一笔贷款仅包含正常本金时，填报正常本金科目，如一笔贷款既包含正常本金也包含逾期本金时，填报逾期本金科目。关联数据项：总账会计全科目表.会计科目编号。</t>
  </si>
  <si>
    <t>明细科目名称</t>
  </si>
  <si>
    <t>MXKMMC</t>
  </si>
  <si>
    <t>40306</t>
  </si>
  <si>
    <t>40307</t>
  </si>
  <si>
    <t>如包含个人身份证件号码，则为隐私，银行机构需做变形，变形规则见《采集技术接口说明》。关联数据项：个人基础信息.客户统一编号</t>
  </si>
  <si>
    <t>ZHMC</t>
  </si>
  <si>
    <t>40308</t>
  </si>
  <si>
    <t>账户归属者的名称。隐私，银行机构变形，变形规则见《采集技术接口说明》。</t>
  </si>
  <si>
    <t>40309</t>
  </si>
  <si>
    <t>GRHQCKZHLX</t>
  </si>
  <si>
    <t>40310</t>
  </si>
  <si>
    <t>保证金账户标志</t>
  </si>
  <si>
    <t>BZJZHBZ</t>
  </si>
  <si>
    <t>40311</t>
  </si>
  <si>
    <t>LL</t>
  </si>
  <si>
    <t>40312</t>
  </si>
  <si>
    <t>40313</t>
  </si>
  <si>
    <t>存款余额</t>
  </si>
  <si>
    <t>CKYE</t>
  </si>
  <si>
    <t>40314</t>
  </si>
  <si>
    <t>存款账户到采集日期为止的余额的金额。</t>
  </si>
  <si>
    <t>开户日期</t>
  </si>
  <si>
    <t>KHRQ</t>
  </si>
  <si>
    <t>40315</t>
  </si>
  <si>
    <t>办理开户的日期</t>
  </si>
  <si>
    <t>开户柜员号</t>
  </si>
  <si>
    <t>KHGYH</t>
  </si>
  <si>
    <t>40316</t>
  </si>
  <si>
    <t>上次动户日期</t>
  </si>
  <si>
    <t>SCDHRQ</t>
  </si>
  <si>
    <t>40317</t>
  </si>
  <si>
    <t>销户日期</t>
  </si>
  <si>
    <t>XHRQ</t>
  </si>
  <si>
    <t>40318</t>
  </si>
  <si>
    <t>账户销户的日期。账户状态正常时，填默认值。</t>
  </si>
  <si>
    <t>CHLB</t>
  </si>
  <si>
    <t>40319</t>
  </si>
  <si>
    <t>ZHZT</t>
  </si>
  <si>
    <t>40320</t>
  </si>
  <si>
    <t>40321</t>
  </si>
  <si>
    <t>40322</t>
  </si>
  <si>
    <t>JYXLH</t>
  </si>
  <si>
    <t>40401</t>
  </si>
  <si>
    <t>40402</t>
  </si>
  <si>
    <t>40403</t>
  </si>
  <si>
    <t>40404</t>
  </si>
  <si>
    <t>业务办理机构号</t>
  </si>
  <si>
    <t>YWBLJGH</t>
  </si>
  <si>
    <t>40405</t>
  </si>
  <si>
    <t>填报办理业务的银行机构。关联数据项：机构信息表.内部机构号</t>
  </si>
  <si>
    <t>40406</t>
  </si>
  <si>
    <t>40407</t>
  </si>
  <si>
    <t>40408</t>
  </si>
  <si>
    <t>40409</t>
  </si>
  <si>
    <t>40410</t>
  </si>
  <si>
    <t>40411</t>
  </si>
  <si>
    <t>40412</t>
  </si>
  <si>
    <t>PK。如为个人身份证件号码，则为隐私，银行机构需做变形，变形规则见《采集技术接口说明》。</t>
  </si>
  <si>
    <t>40413</t>
  </si>
  <si>
    <t>PK。关联数据项：个人活期存款分户账.活期存款账号</t>
  </si>
  <si>
    <t>WBZH</t>
  </si>
  <si>
    <t>40414</t>
  </si>
  <si>
    <t>JYLX</t>
  </si>
  <si>
    <t>40415</t>
  </si>
  <si>
    <t>JYJDBZ</t>
  </si>
  <si>
    <t>40416</t>
  </si>
  <si>
    <t>核心交易日期</t>
  </si>
  <si>
    <t>HXJYRQ</t>
  </si>
  <si>
    <t>40417</t>
  </si>
  <si>
    <t>PK。本笔交易在核心系统的交易日期。</t>
  </si>
  <si>
    <t>核心交易时间</t>
  </si>
  <si>
    <t>HXJYSJ</t>
  </si>
  <si>
    <t>40418</t>
  </si>
  <si>
    <t>PK。本笔交易在核心系统的交易时间。</t>
  </si>
  <si>
    <t>40419</t>
  </si>
  <si>
    <t>交易金额</t>
  </si>
  <si>
    <t>JYJE</t>
  </si>
  <si>
    <t>40420</t>
  </si>
  <si>
    <t>账户余额</t>
  </si>
  <si>
    <t>ZHYE</t>
  </si>
  <si>
    <t>40421</t>
  </si>
  <si>
    <t>本笔交易时点完成后该时点的账户余额。</t>
  </si>
  <si>
    <t>对方账号</t>
  </si>
  <si>
    <t>DFZH</t>
  </si>
  <si>
    <t>40422</t>
  </si>
  <si>
    <t>客户往账业务对应传票上记载的最终交易对手账号。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</si>
  <si>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对方户名</t>
  </si>
  <si>
    <t>DFHM</t>
  </si>
  <si>
    <t>40423</t>
  </si>
  <si>
    <t>交易对手的开户名称。若交易对手为个人，则为隐私，银行机构变形，变形规则见《采集技术接口说明》。其他情况则为非隐私，不做变形。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</si>
  <si>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对方行号</t>
  </si>
  <si>
    <t>DFXH</t>
  </si>
  <si>
    <t>40424</t>
  </si>
  <si>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</si>
  <si>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对方行名</t>
  </si>
  <si>
    <t>DFXM</t>
  </si>
  <si>
    <t>40425</t>
  </si>
  <si>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</si>
  <si>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40426</t>
  </si>
  <si>
    <t>CBMBZ</t>
  </si>
  <si>
    <t>40427</t>
  </si>
  <si>
    <t>冲正，补账，抹账交易统一填报“冲补抹”，被撤销的交易无需在本表报送。</t>
  </si>
  <si>
    <t>XZBZ</t>
  </si>
  <si>
    <t>40428</t>
  </si>
  <si>
    <t>把现金交易识别出来放入“现”，其他都放入“转”。</t>
  </si>
  <si>
    <t>JYQD</t>
  </si>
  <si>
    <t>40429</t>
  </si>
  <si>
    <t>交易类型为三方支付的，以“三方支付-XX”填报，其中“XX”为第三方支付平台名称。</t>
  </si>
  <si>
    <t>IPDZ</t>
  </si>
  <si>
    <t>40430</t>
  </si>
  <si>
    <t>若交易渠道为网银、手机银行，填写交易发起终端的IP地址。其他情况允许为空。</t>
  </si>
  <si>
    <t>MACDZ</t>
  </si>
  <si>
    <t>40431</t>
  </si>
  <si>
    <t>若交易渠道为网银、手机银行，需填写交易发起终端的设备地址，其他情况允许为空。</t>
  </si>
  <si>
    <t>代办人姓名</t>
  </si>
  <si>
    <t>DBRXM</t>
  </si>
  <si>
    <t>40432</t>
  </si>
  <si>
    <t>隐私，银行机构变形，个人变性规则见《采集技术接口说明》。无代办人的，可以为空。</t>
  </si>
  <si>
    <t>代办人证件类别</t>
  </si>
  <si>
    <t>DBRZJLB</t>
  </si>
  <si>
    <t>40433</t>
  </si>
  <si>
    <t>无代办人的，可以为空</t>
  </si>
  <si>
    <t>代办人证件号码</t>
  </si>
  <si>
    <t>DBRZJHM</t>
  </si>
  <si>
    <t>40434</t>
  </si>
  <si>
    <t>如为个人身份证件号码，则为隐私，银行机构变形。变形规则见《采集技术接口说明》。无代办人的，可以为空</t>
  </si>
  <si>
    <t>备注、格式</t>
  </si>
  <si>
    <t>交易柜员号</t>
  </si>
  <si>
    <t>JYGYH</t>
  </si>
  <si>
    <t>40435</t>
  </si>
  <si>
    <t>授权柜员号</t>
  </si>
  <si>
    <t>SQGYH</t>
  </si>
  <si>
    <t>40436</t>
  </si>
  <si>
    <t>关联数据项：柜员表.柜员号，无需授权的柜员号允许为空。</t>
  </si>
  <si>
    <t>40437</t>
  </si>
  <si>
    <t>40438</t>
  </si>
  <si>
    <t>40501</t>
  </si>
  <si>
    <t>40502</t>
  </si>
  <si>
    <t>40503</t>
  </si>
  <si>
    <t>40504</t>
  </si>
  <si>
    <t>40505</t>
  </si>
  <si>
    <t>40506</t>
  </si>
  <si>
    <t>40507</t>
  </si>
  <si>
    <t>40508</t>
  </si>
  <si>
    <t>定期存款账号</t>
  </si>
  <si>
    <t>DQCKZH</t>
  </si>
  <si>
    <t>40509</t>
  </si>
  <si>
    <t>GRDQCKZHLX</t>
  </si>
  <si>
    <t>40510</t>
  </si>
  <si>
    <t>CKQX</t>
  </si>
  <si>
    <t>40511</t>
  </si>
  <si>
    <t>40512</t>
  </si>
  <si>
    <t>40513</t>
  </si>
  <si>
    <t>40514</t>
  </si>
  <si>
    <t>开户金额</t>
  </si>
  <si>
    <t>KHJE</t>
  </si>
  <si>
    <t>40515</t>
  </si>
  <si>
    <t>40516</t>
  </si>
  <si>
    <t>40517</t>
  </si>
  <si>
    <t>40518</t>
  </si>
  <si>
    <t>40519</t>
  </si>
  <si>
    <t>到期日期</t>
  </si>
  <si>
    <t>DQRQ</t>
  </si>
  <si>
    <t>40520</t>
  </si>
  <si>
    <t>存款到期日期。通知存款填默认值。</t>
  </si>
  <si>
    <t>数据项名称、数据项代码、备注</t>
  </si>
  <si>
    <t>40521</t>
  </si>
  <si>
    <t>40522</t>
  </si>
  <si>
    <t>40523</t>
  </si>
  <si>
    <t>40524</t>
  </si>
  <si>
    <t>40525</t>
  </si>
  <si>
    <t>40601</t>
  </si>
  <si>
    <t>40602</t>
  </si>
  <si>
    <t>40603</t>
  </si>
  <si>
    <t>40604</t>
  </si>
  <si>
    <t>40605</t>
  </si>
  <si>
    <t>40606</t>
  </si>
  <si>
    <t>40607</t>
  </si>
  <si>
    <t>40608</t>
  </si>
  <si>
    <t>40609</t>
  </si>
  <si>
    <t>40610</t>
  </si>
  <si>
    <t>40611</t>
  </si>
  <si>
    <t>40612</t>
  </si>
  <si>
    <t>40613</t>
  </si>
  <si>
    <t>PK。关联数据项：个人定期存款分户账.定期存款账号</t>
  </si>
  <si>
    <t>40614</t>
  </si>
  <si>
    <t>40615</t>
  </si>
  <si>
    <t>40616</t>
  </si>
  <si>
    <t>40617</t>
  </si>
  <si>
    <t>40618</t>
  </si>
  <si>
    <t>40619</t>
  </si>
  <si>
    <t>40620</t>
  </si>
  <si>
    <t>40621</t>
  </si>
  <si>
    <t>客户往账业务对应传票上记载的最终交易对手信息。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</si>
  <si>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40622</t>
  </si>
  <si>
    <t>40623</t>
  </si>
  <si>
    <t>40624</t>
  </si>
  <si>
    <t>40625</t>
  </si>
  <si>
    <t>40626</t>
  </si>
  <si>
    <t>40627</t>
  </si>
  <si>
    <t>提前支取标志</t>
  </si>
  <si>
    <t>TQZQBZ</t>
  </si>
  <si>
    <t>40628</t>
  </si>
  <si>
    <t>40629</t>
  </si>
  <si>
    <t>40630</t>
  </si>
  <si>
    <t>隐私，银行机构变形，变形规则见《采集技术接口说明》。无代办人情况，可以为空</t>
  </si>
  <si>
    <t>40631</t>
  </si>
  <si>
    <t>40632</t>
  </si>
  <si>
    <t>40633</t>
  </si>
  <si>
    <t>40634</t>
  </si>
  <si>
    <t>40635</t>
  </si>
  <si>
    <t>40636</t>
  </si>
  <si>
    <t>40701</t>
  </si>
  <si>
    <t>40702</t>
  </si>
  <si>
    <t>40703</t>
  </si>
  <si>
    <t>40704</t>
  </si>
  <si>
    <t>40705</t>
  </si>
  <si>
    <t>40706</t>
  </si>
  <si>
    <t>40707</t>
  </si>
  <si>
    <t>关联数据项：对公客户.客户统一编号</t>
  </si>
  <si>
    <t>40708</t>
  </si>
  <si>
    <t>40709</t>
  </si>
  <si>
    <t>DGHQCKZHLX</t>
  </si>
  <si>
    <t>40710</t>
  </si>
  <si>
    <t>40711</t>
  </si>
  <si>
    <t>40712</t>
  </si>
  <si>
    <t>40713</t>
  </si>
  <si>
    <t>40714</t>
  </si>
  <si>
    <t>40715</t>
  </si>
  <si>
    <t>40716</t>
  </si>
  <si>
    <t>40717</t>
  </si>
  <si>
    <t>40718</t>
  </si>
  <si>
    <t>40719</t>
  </si>
  <si>
    <t>40720</t>
  </si>
  <si>
    <t>40721</t>
  </si>
  <si>
    <t>40722</t>
  </si>
  <si>
    <t>40801</t>
  </si>
  <si>
    <t>40802</t>
  </si>
  <si>
    <t>40803</t>
  </si>
  <si>
    <t>40804</t>
  </si>
  <si>
    <t>40805</t>
  </si>
  <si>
    <t>40806</t>
  </si>
  <si>
    <t>40807</t>
  </si>
  <si>
    <t>40808</t>
  </si>
  <si>
    <t>40809</t>
  </si>
  <si>
    <t>40810</t>
  </si>
  <si>
    <t>40811</t>
  </si>
  <si>
    <t>PK。关联数据项：对公活期存款分户账.活期存款账号</t>
  </si>
  <si>
    <t>40812</t>
  </si>
  <si>
    <t>40813</t>
  </si>
  <si>
    <t>40814</t>
  </si>
  <si>
    <t>40815</t>
  </si>
  <si>
    <t>40816</t>
  </si>
  <si>
    <t>40817</t>
  </si>
  <si>
    <t>40818</t>
  </si>
  <si>
    <t>40819</t>
  </si>
  <si>
    <t>40820</t>
  </si>
  <si>
    <t>40821</t>
  </si>
  <si>
    <t>40822</t>
  </si>
  <si>
    <t>40823</t>
  </si>
  <si>
    <t>40824</t>
  </si>
  <si>
    <t>40825</t>
  </si>
  <si>
    <t>40826</t>
  </si>
  <si>
    <t>40827</t>
  </si>
  <si>
    <t>40828</t>
  </si>
  <si>
    <t>40829</t>
  </si>
  <si>
    <t>40830</t>
  </si>
  <si>
    <t>40831</t>
  </si>
  <si>
    <t>40832</t>
  </si>
  <si>
    <t>40833</t>
  </si>
  <si>
    <t>40901</t>
  </si>
  <si>
    <t>填报账号归属的银行机构。关联数据项：机构信息表.银行机构代码</t>
  </si>
  <si>
    <t>40902</t>
  </si>
  <si>
    <t>填报账号归属的银行机构。营业机构、管理机构必须填报“金融许可证号”，内设机构、虚拟机构及营业部取上一级管理机构的金融许可证号。</t>
  </si>
  <si>
    <t>40903</t>
  </si>
  <si>
    <t>填报账号归属的银行机构。关联数据项：机构信息表.内部机构号</t>
  </si>
  <si>
    <t>40904</t>
  </si>
  <si>
    <t>填报账号归属的银行机构。关联数据项：机构信息表.银行机构名称</t>
  </si>
  <si>
    <t>40905</t>
  </si>
  <si>
    <t>40906</t>
  </si>
  <si>
    <t>40907</t>
  </si>
  <si>
    <t>40908</t>
  </si>
  <si>
    <t>40909</t>
  </si>
  <si>
    <t>DGDQCKZHLX</t>
  </si>
  <si>
    <t>40910</t>
  </si>
  <si>
    <t>40911</t>
  </si>
  <si>
    <t>40912</t>
  </si>
  <si>
    <t>40913</t>
  </si>
  <si>
    <t>40914</t>
  </si>
  <si>
    <t>40915</t>
  </si>
  <si>
    <t>40916</t>
  </si>
  <si>
    <t>40917</t>
  </si>
  <si>
    <t>40918</t>
  </si>
  <si>
    <t>40919</t>
  </si>
  <si>
    <t>40920</t>
  </si>
  <si>
    <t>40921</t>
  </si>
  <si>
    <t>40922</t>
  </si>
  <si>
    <t>40923</t>
  </si>
  <si>
    <t>40924</t>
  </si>
  <si>
    <t>40925</t>
  </si>
  <si>
    <t>41001</t>
  </si>
  <si>
    <t>41002</t>
  </si>
  <si>
    <t>41003</t>
  </si>
  <si>
    <t>41004</t>
  </si>
  <si>
    <t>41005</t>
  </si>
  <si>
    <t>41006</t>
  </si>
  <si>
    <t>41007</t>
  </si>
  <si>
    <t>41008</t>
  </si>
  <si>
    <t>41009</t>
  </si>
  <si>
    <t>41010</t>
  </si>
  <si>
    <t>41011</t>
  </si>
  <si>
    <t>PK。关联数据项：对公定期存款分户账.定期存款账号</t>
  </si>
  <si>
    <t>41012</t>
  </si>
  <si>
    <t>PK。。本笔交易在核心系统的交易日期。</t>
  </si>
  <si>
    <t>41013</t>
  </si>
  <si>
    <t>41014</t>
  </si>
  <si>
    <t>41015</t>
  </si>
  <si>
    <t>41016</t>
  </si>
  <si>
    <t>41017</t>
  </si>
  <si>
    <t>41018</t>
  </si>
  <si>
    <t>41019</t>
  </si>
  <si>
    <t>41020</t>
  </si>
  <si>
    <t>41021</t>
  </si>
  <si>
    <t>41022</t>
  </si>
  <si>
    <t>41023</t>
  </si>
  <si>
    <t>41024</t>
  </si>
  <si>
    <t>41025</t>
  </si>
  <si>
    <t>41026</t>
  </si>
  <si>
    <t>41027</t>
  </si>
  <si>
    <t>41028</t>
  </si>
  <si>
    <t>41029</t>
  </si>
  <si>
    <t>41030</t>
  </si>
  <si>
    <t>41031</t>
  </si>
  <si>
    <t>41101</t>
  </si>
  <si>
    <t>41102</t>
  </si>
  <si>
    <t>41103</t>
  </si>
  <si>
    <t>41104</t>
  </si>
  <si>
    <t>41105</t>
  </si>
  <si>
    <t>41106</t>
  </si>
  <si>
    <t>41107</t>
  </si>
  <si>
    <t>非隐私，不做变形。如果为境内涉密机构的，填报为“*********”。</t>
  </si>
  <si>
    <t>内部分户账账号</t>
  </si>
  <si>
    <t>NBFHZZH</t>
  </si>
  <si>
    <t>41108</t>
  </si>
  <si>
    <t>41109</t>
  </si>
  <si>
    <t>JDBZ</t>
  </si>
  <si>
    <t>41110</t>
  </si>
  <si>
    <t>借方余额</t>
  </si>
  <si>
    <t>JFYE</t>
  </si>
  <si>
    <t>41111</t>
  </si>
  <si>
    <t>贷方余额</t>
  </si>
  <si>
    <t>DFYE</t>
  </si>
  <si>
    <t>41112</t>
  </si>
  <si>
    <t>计息标志</t>
  </si>
  <si>
    <t>JXBZ</t>
  </si>
  <si>
    <t>41113</t>
  </si>
  <si>
    <t>JXFS</t>
  </si>
  <si>
    <t>41114</t>
  </si>
  <si>
    <t>无法按枚举类型填报的，填写“XX”，XX为银行自定义的计息方式</t>
  </si>
  <si>
    <t>41115</t>
  </si>
  <si>
    <t>41116</t>
  </si>
  <si>
    <t>41117</t>
  </si>
  <si>
    <t>41118</t>
  </si>
  <si>
    <t>41119</t>
  </si>
  <si>
    <t>41120</t>
  </si>
  <si>
    <t>41201</t>
  </si>
  <si>
    <t>41202</t>
  </si>
  <si>
    <t>41203</t>
  </si>
  <si>
    <t>41204</t>
  </si>
  <si>
    <t>41205</t>
  </si>
  <si>
    <t>41206</t>
  </si>
  <si>
    <t>41207</t>
  </si>
  <si>
    <t>41208</t>
  </si>
  <si>
    <t>41209</t>
  </si>
  <si>
    <t>PK。关联数据项：内部分户账.内部分户账账号</t>
  </si>
  <si>
    <t>41210</t>
  </si>
  <si>
    <t>41211</t>
  </si>
  <si>
    <t>41212</t>
  </si>
  <si>
    <t>41213</t>
  </si>
  <si>
    <t>41214</t>
  </si>
  <si>
    <t>41215</t>
  </si>
  <si>
    <t>41216</t>
  </si>
  <si>
    <t>41217</t>
  </si>
  <si>
    <t>41218</t>
  </si>
  <si>
    <t>交易对手的账号，优先填报外部账号。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</si>
  <si>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对方科目编号</t>
  </si>
  <si>
    <t>DFKMBH</t>
  </si>
  <si>
    <t>41219</t>
  </si>
  <si>
    <t>仅当交易对手是本行账户时填写，其他情况允许为空。对方科目编号经常是一对多，多对多的关系，填报的时候填主要的科目，例如，资金交易类的填本金科目</t>
  </si>
  <si>
    <t>对方科目名称</t>
  </si>
  <si>
    <t>DFKMMC</t>
  </si>
  <si>
    <t>41220</t>
  </si>
  <si>
    <t>仅当交易对手是本行账户时填写，其他情况允许为空。同一条数据涉及多个明细科目的，仅填报主要科目，如：一笔贷款仅包含正常本金时，填报正常本金科目，如一笔贷款既包含正常本金也包含逾期本金时，填报逾期本金科目。关联数据项：总账会计全科目表.会计科目名称。</t>
  </si>
  <si>
    <t>41221</t>
  </si>
  <si>
    <t>交易对手的开户名称。若交易对手为个人，则为隐私，银行机构变形，填写个人姓名最后一个字。其他情况则为非隐私，不做变形。
1. 现转标志为“转”时，交易对手信息必填，不可为空。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</si>
  <si>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41222</t>
  </si>
  <si>
    <t>41223</t>
  </si>
  <si>
    <t>41224</t>
  </si>
  <si>
    <t>41225</t>
  </si>
  <si>
    <t>41226</t>
  </si>
  <si>
    <t>41227</t>
  </si>
  <si>
    <t>41228</t>
  </si>
  <si>
    <t>41229</t>
  </si>
  <si>
    <t>进账日期</t>
  </si>
  <si>
    <t>JZRQ</t>
  </si>
  <si>
    <t>41230</t>
  </si>
  <si>
    <t>销账日期</t>
  </si>
  <si>
    <t>XZRQ</t>
  </si>
  <si>
    <t>41231</t>
  </si>
  <si>
    <t>41232</t>
  </si>
  <si>
    <t>41233</t>
  </si>
  <si>
    <t>413</t>
  </si>
  <si>
    <t>41301</t>
  </si>
  <si>
    <t>41302</t>
  </si>
  <si>
    <t>41303</t>
  </si>
  <si>
    <t>41304</t>
  </si>
  <si>
    <t>41305</t>
  </si>
  <si>
    <t>41306</t>
  </si>
  <si>
    <t>41307</t>
  </si>
  <si>
    <t>41308</t>
  </si>
  <si>
    <t>贷款分户账号</t>
  </si>
  <si>
    <t>DKFHZH</t>
  </si>
  <si>
    <t>41309</t>
  </si>
  <si>
    <t>信贷借据号</t>
  </si>
  <si>
    <t>XDJJH</t>
  </si>
  <si>
    <t>41310</t>
  </si>
  <si>
    <t>PK。关联数据项：个人信贷业务借据.信贷借据号</t>
  </si>
  <si>
    <t>实际利率</t>
  </si>
  <si>
    <t>DKLL</t>
  </si>
  <si>
    <t>41311</t>
  </si>
  <si>
    <t>按业务实际填写，利率类型为LPR时填报最新执行利率。百分比为单位，即1/100，为年利，精确到小数点后4位。若利率为0，允许填报为0。</t>
  </si>
  <si>
    <t>41312</t>
  </si>
  <si>
    <t>贷款金额</t>
  </si>
  <si>
    <t>DKJE</t>
  </si>
  <si>
    <t>41313</t>
  </si>
  <si>
    <t>借款人应还本金总额。票据填报票面金额，信用证填报信用证金额。</t>
  </si>
  <si>
    <t>贷款余额</t>
  </si>
  <si>
    <t>DKYE</t>
  </si>
  <si>
    <t>41314</t>
  </si>
  <si>
    <t>贷款账户截止到目前未还的本金余额，包括逾期未还本金，已转让/核销贷款余额为0。</t>
  </si>
  <si>
    <t>发放日期</t>
  </si>
  <si>
    <t>FFRQ</t>
  </si>
  <si>
    <t>41315</t>
  </si>
  <si>
    <t>填写贷款实际发放日期，YYYYMMDD。</t>
  </si>
  <si>
    <t>41316</t>
  </si>
  <si>
    <t>填写贷款合同约定的到期日期（包含展期），YYYYMMDD。</t>
  </si>
  <si>
    <t>41317</t>
  </si>
  <si>
    <t>41318</t>
  </si>
  <si>
    <t>DKZT</t>
  </si>
  <si>
    <t>41319</t>
  </si>
  <si>
    <t>41320</t>
  </si>
  <si>
    <t>41321</t>
  </si>
  <si>
    <t>41322</t>
  </si>
  <si>
    <t>414</t>
  </si>
  <si>
    <t>41401</t>
  </si>
  <si>
    <t>41402</t>
  </si>
  <si>
    <t>填报经办的银行机构。关联数据项：机构信息表.银行机构代码</t>
  </si>
  <si>
    <t>41403</t>
  </si>
  <si>
    <t>填报经办的银行机构。营业机构、管理机构必须填报“金融许可证号”，内设机构、虚拟机构及营业部取上一级管理机构的金融许可证号。</t>
  </si>
  <si>
    <t>41404</t>
  </si>
  <si>
    <t>填报经办的银行机构。关联数据项：机构信息表.内部机构号</t>
  </si>
  <si>
    <t>41405</t>
  </si>
  <si>
    <t>41406</t>
  </si>
  <si>
    <t>填报经办的银行机构。关联数据项：机构信息表.银行机构名称</t>
  </si>
  <si>
    <t>41407</t>
  </si>
  <si>
    <t>41408</t>
  </si>
  <si>
    <t>41409</t>
  </si>
  <si>
    <t>41410</t>
  </si>
  <si>
    <t>41411</t>
  </si>
  <si>
    <t>41412</t>
  </si>
  <si>
    <t>41413</t>
  </si>
  <si>
    <t>PK。关联数据项：个人信贷分户账.贷款分户账号</t>
  </si>
  <si>
    <t>41414</t>
  </si>
  <si>
    <t>41415</t>
  </si>
  <si>
    <t>41416</t>
  </si>
  <si>
    <t>41417</t>
  </si>
  <si>
    <t>41418</t>
  </si>
  <si>
    <t>41419</t>
  </si>
  <si>
    <t>41420</t>
  </si>
  <si>
    <t>贷款核销或者转让（包括资产证券化）时，交易金额为核销或转让前本金余额。</t>
  </si>
  <si>
    <t>41421</t>
  </si>
  <si>
    <t>本笔交易时点完成后贷款剩余未还本金总额（不含利息），统一用负数填报。贷款核销或者转让（包括资产证券化）时，账户余额为0。</t>
  </si>
  <si>
    <t>41422</t>
  </si>
  <si>
    <t>41423</t>
  </si>
  <si>
    <t>41424</t>
  </si>
  <si>
    <t>41425</t>
  </si>
  <si>
    <t>41426</t>
  </si>
  <si>
    <t>41427</t>
  </si>
  <si>
    <t>41428</t>
  </si>
  <si>
    <t>41429</t>
  </si>
  <si>
    <t>41430</t>
  </si>
  <si>
    <t>无代办人的，允许为空</t>
  </si>
  <si>
    <t>41431</t>
  </si>
  <si>
    <t>如为个人身份证件号码，则为隐私，银行机构变形。变形规则见《采集技术接口说明》。无代办人的，允许为空</t>
  </si>
  <si>
    <t>41432</t>
  </si>
  <si>
    <t>41433</t>
  </si>
  <si>
    <t>41434</t>
  </si>
  <si>
    <t>41435</t>
  </si>
  <si>
    <t>41436</t>
  </si>
  <si>
    <t>415</t>
  </si>
  <si>
    <t>41501</t>
  </si>
  <si>
    <t>41502</t>
  </si>
  <si>
    <t>41503</t>
  </si>
  <si>
    <t>41504</t>
  </si>
  <si>
    <t>41505</t>
  </si>
  <si>
    <t>41506</t>
  </si>
  <si>
    <t>41507</t>
  </si>
  <si>
    <t>41508</t>
  </si>
  <si>
    <t>41509</t>
  </si>
  <si>
    <t>41510</t>
  </si>
  <si>
    <t>PK。关联数据项：对公信贷业务借据.信贷借据号</t>
  </si>
  <si>
    <t>SJLL</t>
  </si>
  <si>
    <t>41511</t>
  </si>
  <si>
    <t>数据项代码、数据</t>
  </si>
  <si>
    <t>41512</t>
  </si>
  <si>
    <t>41513</t>
  </si>
  <si>
    <t>41514</t>
  </si>
  <si>
    <t>41515</t>
  </si>
  <si>
    <t>41516</t>
  </si>
  <si>
    <t>41517</t>
  </si>
  <si>
    <t>41518</t>
  </si>
  <si>
    <t>41519</t>
  </si>
  <si>
    <t>41520</t>
  </si>
  <si>
    <t>41521</t>
  </si>
  <si>
    <t>41522</t>
  </si>
  <si>
    <t>416</t>
  </si>
  <si>
    <t>41601</t>
  </si>
  <si>
    <t>41602</t>
  </si>
  <si>
    <t>41603</t>
  </si>
  <si>
    <t>41604</t>
  </si>
  <si>
    <t>41605</t>
  </si>
  <si>
    <t>41606</t>
  </si>
  <si>
    <t>41607</t>
  </si>
  <si>
    <t>41608</t>
  </si>
  <si>
    <t>41609</t>
  </si>
  <si>
    <t>41610</t>
  </si>
  <si>
    <t>41611</t>
  </si>
  <si>
    <t>PK。关联数据项：对公信贷分户账.贷款分户账号</t>
  </si>
  <si>
    <t>41612</t>
  </si>
  <si>
    <t>41613</t>
  </si>
  <si>
    <t>41614</t>
  </si>
  <si>
    <t>41615</t>
  </si>
  <si>
    <t>41616</t>
  </si>
  <si>
    <t>41617</t>
  </si>
  <si>
    <t>41618</t>
  </si>
  <si>
    <t>41619</t>
  </si>
  <si>
    <t>41620</t>
  </si>
  <si>
    <t>41621</t>
  </si>
  <si>
    <t>41622</t>
  </si>
  <si>
    <t>41623</t>
  </si>
  <si>
    <t>交易对手的银行机构名称。
1. 交易对手为境外账户时，对方行名可填报英文名称。
2. 该笔明细交易是转账交易的，对方账号和对方户名必须填实际收款人，不可填中间过渡账户或清算账户。3.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还款-还息、还款-还本、手续费、系统转存等交易，交易对手填实际转入的信贷分户账或内部分户账，并在摘要中注明，不可为空。</t>
  </si>
  <si>
    <t>41624</t>
  </si>
  <si>
    <t>41625</t>
  </si>
  <si>
    <t>41626</t>
  </si>
  <si>
    <t>41627</t>
  </si>
  <si>
    <t>41628</t>
  </si>
  <si>
    <t>41629</t>
  </si>
  <si>
    <t>41630</t>
  </si>
  <si>
    <t>41631</t>
  </si>
  <si>
    <t>501</t>
  </si>
  <si>
    <t>50101</t>
  </si>
  <si>
    <t>50102</t>
  </si>
  <si>
    <t>50103</t>
  </si>
  <si>
    <t>50104</t>
  </si>
  <si>
    <t>50105</t>
  </si>
  <si>
    <t>关联数据项：个人基础信息.客户姓名 或 对公客户.客户名称</t>
  </si>
  <si>
    <t>信贷合同号</t>
  </si>
  <si>
    <t>XDHTH</t>
  </si>
  <si>
    <t>50106</t>
  </si>
  <si>
    <t>PK。当业务为票据贴现和买断式转贴现时，可以填报为信贷合同号=信贷借据号=票据号码；对于其他若没有对应合同号的业务，可以填报为信贷合同号=信贷借据号=业务编号</t>
  </si>
  <si>
    <t>主合同号</t>
  </si>
  <si>
    <t>ZHTH</t>
  </si>
  <si>
    <t>50107</t>
  </si>
  <si>
    <t>此项填写信贷合同对应的主合同号，如果没有主合同则填报此记录的信贷合同号，不可为空。</t>
  </si>
  <si>
    <t>HTMC</t>
  </si>
  <si>
    <t>50108</t>
  </si>
  <si>
    <t>必填项。</t>
  </si>
  <si>
    <t>XDYWZL</t>
  </si>
  <si>
    <t>50109</t>
  </si>
  <si>
    <t>一般固定资产贷款指除了项目贷款外的固定资产贷款。个人经营性贷款不包括个人商用房贷款，消费贷款不包括住房按揭贷款、汽车贷款、助学贷款。</t>
  </si>
  <si>
    <t>50110</t>
  </si>
  <si>
    <t>合同金额</t>
  </si>
  <si>
    <t>HTJE</t>
  </si>
  <si>
    <t>50111</t>
  </si>
  <si>
    <t>合同起始日期</t>
  </si>
  <si>
    <t>HTQSRQ</t>
  </si>
  <si>
    <t>50112</t>
  </si>
  <si>
    <t>若合同约定签订日生效，则填写签订日日期，若合同约定非签订日生效，则填写约定的生效日期。</t>
  </si>
  <si>
    <t>合同到期日期</t>
  </si>
  <si>
    <t>HTDQRQ</t>
  </si>
  <si>
    <t>50113</t>
  </si>
  <si>
    <t>合同原始到期日期。</t>
  </si>
  <si>
    <t>ZYDBFS</t>
  </si>
  <si>
    <t>50114</t>
  </si>
  <si>
    <t>有多种担保方式，无法区分主次的，全部填入，使用英文半角分号隔开。</t>
  </si>
  <si>
    <t>合同贷款用途</t>
  </si>
  <si>
    <t>HTDKYT</t>
  </si>
  <si>
    <t>50115</t>
  </si>
  <si>
    <t>填报信贷合同中约定的贷款用途，非借据贷款用途。票据、信用证等填报贸易交易内容。</t>
  </si>
  <si>
    <t>客户经理工号</t>
  </si>
  <si>
    <t>KHJLGH</t>
  </si>
  <si>
    <t>50116</t>
  </si>
  <si>
    <t>关联数据项：员工表.工号。</t>
  </si>
  <si>
    <t>HTZT</t>
  </si>
  <si>
    <t>50117</t>
  </si>
  <si>
    <t>50118</t>
  </si>
  <si>
    <t>50119</t>
  </si>
  <si>
    <t>502</t>
  </si>
  <si>
    <t>50201</t>
  </si>
  <si>
    <t>50202</t>
  </si>
  <si>
    <t>50203</t>
  </si>
  <si>
    <t>50204</t>
  </si>
  <si>
    <t>50205</t>
  </si>
  <si>
    <t>50206</t>
  </si>
  <si>
    <t>50207</t>
  </si>
  <si>
    <t>50208</t>
  </si>
  <si>
    <t>即借款主体（最终债务人）名称，非本行开出的银行承兑汇票借款主体为开票行，非本行开出的信用证借款主体填报为开证行。关联数据项：个人基础信息.客户姓名。隐私，银行机构变形，变形规则见《采集技术接口说明》。</t>
  </si>
  <si>
    <t>50209</t>
  </si>
  <si>
    <t>借款人证件类别。</t>
  </si>
  <si>
    <t>50210</t>
  </si>
  <si>
    <t>借款人证件号码。隐私，银行机构变形。变形规则见《采集技术接口说明》。</t>
  </si>
  <si>
    <t>50211</t>
  </si>
  <si>
    <t>关联数据项：信贷合同表.信贷合同号</t>
  </si>
  <si>
    <t>50212</t>
  </si>
  <si>
    <t>50213</t>
  </si>
  <si>
    <t>个人贷款在会计系统中的记账号。关联数据项：个人信贷分户账.贷款分户账号</t>
  </si>
  <si>
    <t>50214</t>
  </si>
  <si>
    <t>DKFFLX</t>
  </si>
  <si>
    <t>50215</t>
  </si>
  <si>
    <t>票据贴现、转贴现、贸易融资、融资租赁、垫款均填报至“其他”项中。</t>
  </si>
  <si>
    <t>数据项名称、数据元说明</t>
  </si>
  <si>
    <t>FKFS</t>
  </si>
  <si>
    <t>50216</t>
  </si>
  <si>
    <t>贷款实际发放方式</t>
  </si>
  <si>
    <t>50217</t>
  </si>
  <si>
    <t>50218</t>
  </si>
  <si>
    <t>50219</t>
  </si>
  <si>
    <t>数据项名称、备注</t>
  </si>
  <si>
    <t>DKWJFL</t>
  </si>
  <si>
    <t>50220</t>
  </si>
  <si>
    <t>核销、转让、结清，填报核销、转让、结清前的五级分类。与其他表格中五级分类字段一致。</t>
  </si>
  <si>
    <t>总期数</t>
  </si>
  <si>
    <t>ZQS</t>
  </si>
  <si>
    <t>50221</t>
  </si>
  <si>
    <t>贷款总期数为计划还款的总次数。</t>
  </si>
  <si>
    <t>当前期数</t>
  </si>
  <si>
    <t>DQQS</t>
  </si>
  <si>
    <t>50222</t>
  </si>
  <si>
    <t>贷款目前的期数</t>
  </si>
  <si>
    <t>ZQCS</t>
  </si>
  <si>
    <t>50223</t>
  </si>
  <si>
    <t>贷款发放日期</t>
  </si>
  <si>
    <t>DKFFRQ</t>
  </si>
  <si>
    <t>50224</t>
  </si>
  <si>
    <t>填写贷款实际发放的日期，非贷款合同日期。</t>
  </si>
  <si>
    <t>贷款到期日期</t>
  </si>
  <si>
    <t>DKDQRQ</t>
  </si>
  <si>
    <t>50225</t>
  </si>
  <si>
    <t>贷款借据实际到期的日期。如发生展期，则实际到期日期变更为展期后的到期日期。如发生贷款逾期，贷款到期日期为包含展期的借据到期日期。</t>
  </si>
  <si>
    <t>终结日期</t>
  </si>
  <si>
    <t>ZJRQ</t>
  </si>
  <si>
    <t>50226</t>
  </si>
  <si>
    <t>贷款结清、核销或转让的日期，可以提前还款。若尚未终结，填报默认值。</t>
  </si>
  <si>
    <t>欠本金额</t>
  </si>
  <si>
    <t>QBJE</t>
  </si>
  <si>
    <t>50227</t>
  </si>
  <si>
    <t>仅当截止报送日贷款仍为逾期状态时填报，若无欠本则填0。</t>
  </si>
  <si>
    <t>欠本日期</t>
  </si>
  <si>
    <t>QBRQ</t>
  </si>
  <si>
    <t>50228</t>
  </si>
  <si>
    <t>仅当截止报送日借据仍为逾期状态时填报，如贷款人已将当期应还金额彻底还清，可以将该字段重置为默认日期。</t>
  </si>
  <si>
    <t>表内欠息余额</t>
  </si>
  <si>
    <t>BNQXYE</t>
  </si>
  <si>
    <t>50229</t>
  </si>
  <si>
    <t>贷款表内的欠息余额，若无则填0</t>
  </si>
  <si>
    <t>表外欠息余额</t>
  </si>
  <si>
    <t>BWQXYE</t>
  </si>
  <si>
    <t>50230</t>
  </si>
  <si>
    <t>贷款表外的欠息余额，若无则填0</t>
  </si>
  <si>
    <t>欠息日期</t>
  </si>
  <si>
    <t>50231</t>
  </si>
  <si>
    <t>仅当截止报送日贷款仍为逾期状态时填报，如贷款人已将当期应还金额彻底还清，可以将该字段重置为默认日期。</t>
  </si>
  <si>
    <t>连续欠款期数</t>
  </si>
  <si>
    <t>LXQKQS</t>
  </si>
  <si>
    <t>50232</t>
  </si>
  <si>
    <t>连续欠款期数，仅当截止报送日贷款仍为逾期状态时填报，填写与当前期数连续起来的欠款期数，如已归还，重置为0。</t>
  </si>
  <si>
    <t>累计欠款期数</t>
  </si>
  <si>
    <t>LJQKQS</t>
  </si>
  <si>
    <t>50233</t>
  </si>
  <si>
    <t>在整个业务期间，已经出现过欠款的的期数的合计，不论是否连续。欠款包括欠息。</t>
  </si>
  <si>
    <t>上笔信贷借据号</t>
  </si>
  <si>
    <t>SBXDJJH</t>
  </si>
  <si>
    <t>50234</t>
  </si>
  <si>
    <t>当贷款发放类型为借新还旧时，此项必填。其他情况允许为空。归还的上笔借据号为多笔时，填报最早发放的一笔借据。</t>
  </si>
  <si>
    <t>贷款入账账号</t>
  </si>
  <si>
    <t>DKRZZH</t>
  </si>
  <si>
    <t>50235</t>
  </si>
  <si>
    <t>填写贷款实际入账的账号，不可填中间过渡账户或清算账户，优先填报外部账号。票据转贴现、承兑汇票垫款、二级市场福费廷等业务填写资金转入的银行机构账号；收款人是境外机构的填写SWIFT代码；收款人是第三方平台账号的，填写第三方平台账号。如果为受托支付，则填报最早一笔放款的支付对象账号，不必多条报送。多条受托支付对象在受托支付信息表中填报。</t>
  </si>
  <si>
    <t>贷款入账户名</t>
  </si>
  <si>
    <t>DKRZHM</t>
  </si>
  <si>
    <t>50236</t>
  </si>
  <si>
    <t>填写贷款实际入账的户名，不可填中间过渡账户或清算账户。票据转贴现、承兑汇票垫款、二级市场福费廷业务填写交易的同业客户名称。如果为受托支付，则填报最早一笔放款的支付对象户名，不必多条报送。多条受托支付对象在受托支付信息表中填报。</t>
  </si>
  <si>
    <t>入账账号所属行名称</t>
  </si>
  <si>
    <t>RZZHSSHMC</t>
  </si>
  <si>
    <t>50237</t>
  </si>
  <si>
    <t>填入账账号所属行全称，收款人是第三方平台的，填写第三方平台名称。</t>
  </si>
  <si>
    <t>LLLX</t>
  </si>
  <si>
    <t>50238</t>
  </si>
  <si>
    <t>50239</t>
  </si>
  <si>
    <t>HKFS</t>
  </si>
  <si>
    <t>50240</t>
  </si>
  <si>
    <t>若无法以枚举类型填写，则填报“其他-XX”，XX为银行自定义类型。</t>
  </si>
  <si>
    <t>还款账号</t>
  </si>
  <si>
    <t>HKZH</t>
  </si>
  <si>
    <t>50241</t>
  </si>
  <si>
    <t>填写贷款实际还款的账号，不可填中间过渡账户或清算账户，优先填报外部账号。</t>
  </si>
  <si>
    <t>还款账号所属行名称</t>
  </si>
  <si>
    <t>HKZHSSHMC</t>
  </si>
  <si>
    <t>50242</t>
  </si>
  <si>
    <t>填还款账号所属行全称，收款人是第三方平台的，填写第三方平台名称。</t>
  </si>
  <si>
    <t>50243</t>
  </si>
  <si>
    <t>下期还款日期</t>
  </si>
  <si>
    <t>XQHKRQ</t>
  </si>
  <si>
    <t>50244</t>
  </si>
  <si>
    <t>按照还款计划下期还款的日期。若本期为最后一期，还款日期填写默认值。若如计划下期还款日期的填写默认值。</t>
  </si>
  <si>
    <t>下期应还本金</t>
  </si>
  <si>
    <t>XQYHBJ</t>
  </si>
  <si>
    <t>50245</t>
  </si>
  <si>
    <t>按照还款计划下期应还的本金总额。若本期为最后一期，还款金额可填写0。垫款填写实际应还本金总额。若无计划下期应还本金的允许为空。</t>
  </si>
  <si>
    <t>下期应还利息</t>
  </si>
  <si>
    <t>XQYHLX</t>
  </si>
  <si>
    <t>50246</t>
  </si>
  <si>
    <t>按照还款计划下期应还的利息总额。若本期为最后一期，还款金额可填写0。垫款填写实际应还利息总额。若无计划下期应还利息的允许为空。</t>
  </si>
  <si>
    <t>借据贷款用途</t>
  </si>
  <si>
    <t>JJDKYT</t>
  </si>
  <si>
    <t>50247</t>
  </si>
  <si>
    <t>填报该笔借据（放款）下资金使用的具体用途，非信贷合同贷款用途。</t>
  </si>
  <si>
    <t xml:space="preserve">  </t>
  </si>
  <si>
    <t>贷款投向地区</t>
  </si>
  <si>
    <t>DKTXDQ</t>
  </si>
  <si>
    <t>50248</t>
  </si>
  <si>
    <t>如贷款用于购房，则填报购房所在地。难以判断贷款投向地区的，填报入账账号归属地。投向多个地区的，按比重最多的地区填报。</t>
  </si>
  <si>
    <t>DKTXHY</t>
  </si>
  <si>
    <t>50249</t>
  </si>
  <si>
    <t>与1104报表G01_VII《贷款分行业情况表》口径一致，不可为空。委托贷款也按该规则填报。</t>
  </si>
  <si>
    <t>是否绿色贷款</t>
  </si>
  <si>
    <t>SFLSDK</t>
  </si>
  <si>
    <t>50250</t>
  </si>
  <si>
    <t>按照《关于绿色融资统计制度有关工作的通知》(银保监办便函[2020]739号)，填报口径与T115报表一致。</t>
  </si>
  <si>
    <t>是否涉农贷款</t>
  </si>
  <si>
    <t>SFSNDK</t>
  </si>
  <si>
    <t>50251</t>
  </si>
  <si>
    <t>涉农贷款与人民银行涉农贷款统计口径一致。</t>
  </si>
  <si>
    <t>是否普惠型涉农贷款</t>
  </si>
  <si>
    <t>SFPHXSNDK</t>
  </si>
  <si>
    <t>50252</t>
  </si>
  <si>
    <t>普惠性涉农贷款参照1104报表S71填报口径，包括：单户授信总额500万元（含）以下的农户经营性贷款和单户授信总额1000万元（含）以下的涉农小微企业法人贷款（含农村集体经济组织贷款、农民专业合作社贷款。</t>
  </si>
  <si>
    <t>是否普惠型小微企业贷款</t>
  </si>
  <si>
    <t>SFPHXXWQYDK</t>
  </si>
  <si>
    <t>50253</t>
  </si>
  <si>
    <t>普惠型小微企业贷款参照1104报表S71填报口径，包括：向小型微型企业法人、小微企业主、个体工商户发放的、用于从事生产经营活动，单户授信总额1000万元（含）以下的贷款。</t>
  </si>
  <si>
    <t>是否科技贷款</t>
  </si>
  <si>
    <t>SFKJDK</t>
  </si>
  <si>
    <t>50254</t>
  </si>
  <si>
    <t>科技金融填报口径参照1104报表S70_I《科技金融基本情况表》第II部分：科技贷款情况表。</t>
  </si>
  <si>
    <t>信贷员工号</t>
  </si>
  <si>
    <t>XDYGH</t>
  </si>
  <si>
    <t>50255</t>
  </si>
  <si>
    <t>填写在该笔信贷业务中承担主要责任的员工号。关联数据项：员工表.工号。</t>
  </si>
  <si>
    <t>50256</t>
  </si>
  <si>
    <t>50257</t>
  </si>
  <si>
    <t>50258</t>
  </si>
  <si>
    <t>503</t>
  </si>
  <si>
    <t>50301</t>
  </si>
  <si>
    <t>50302</t>
  </si>
  <si>
    <t>50303</t>
  </si>
  <si>
    <t>50304</t>
  </si>
  <si>
    <t>50305</t>
  </si>
  <si>
    <t>50306</t>
  </si>
  <si>
    <t>50307</t>
  </si>
  <si>
    <t>如包含个人身份证件号码，则为隐私，银行机构需做变形，变形规则见《采集技术接口说明》。关联数据项：对公客户.客户统一编号</t>
  </si>
  <si>
    <t>50308</t>
  </si>
  <si>
    <t>即借款主体（最终债务人）名称，非本行开出的银行承兑汇票借款主体为开票行，非本行开出的信用证借款主体填报为开证行。关联数据项：对公客户.客户名称。非隐私，不做变形。</t>
  </si>
  <si>
    <t>50309</t>
  </si>
  <si>
    <t>50310</t>
  </si>
  <si>
    <t>50311</t>
  </si>
  <si>
    <t>对公贷款在会计系统中的记账号。关联数据项：对公信贷分户账.贷款分户账号</t>
  </si>
  <si>
    <t>50312</t>
  </si>
  <si>
    <t>50313</t>
  </si>
  <si>
    <t>50314</t>
  </si>
  <si>
    <t>50315</t>
  </si>
  <si>
    <t>50316</t>
  </si>
  <si>
    <t>50317</t>
  </si>
  <si>
    <t>50318</t>
  </si>
  <si>
    <t>50319</t>
  </si>
  <si>
    <t>贷款的总期数</t>
  </si>
  <si>
    <t>50320</t>
  </si>
  <si>
    <t>50321</t>
  </si>
  <si>
    <t>50322</t>
  </si>
  <si>
    <t>50323</t>
  </si>
  <si>
    <t>50324</t>
  </si>
  <si>
    <t>50325</t>
  </si>
  <si>
    <t>50326</t>
  </si>
  <si>
    <t>50327</t>
  </si>
  <si>
    <t>50328</t>
  </si>
  <si>
    <t>50329</t>
  </si>
  <si>
    <t>50330</t>
  </si>
  <si>
    <t>连续欠款期数，仅当截止报送日贷款仍为逾期状态时填报，填写与当前期数连续起来的欠款期数，如已归还，重置为0</t>
  </si>
  <si>
    <t>50331</t>
  </si>
  <si>
    <t>50332</t>
  </si>
  <si>
    <t>50333</t>
  </si>
  <si>
    <t>50334</t>
  </si>
  <si>
    <t>填写贷款实际入账的户名，不可填中间过渡账户或清算账户。票据转贴现、承兑汇票垫款、二级市场福费廷业务填写资金转入的银行机构名称。如果为受托支付，则填报最早一笔放款的支付对象户名，不必多条报送。多条受托支付对象在受托支付信息表中填报。</t>
  </si>
  <si>
    <t>50335</t>
  </si>
  <si>
    <t>50336</t>
  </si>
  <si>
    <t>50337</t>
  </si>
  <si>
    <t>50338</t>
  </si>
  <si>
    <t>50339</t>
  </si>
  <si>
    <t>50340</t>
  </si>
  <si>
    <t>50341</t>
  </si>
  <si>
    <t>50342</t>
  </si>
  <si>
    <t>50343</t>
  </si>
  <si>
    <t>50344</t>
  </si>
  <si>
    <t>50345</t>
  </si>
  <si>
    <t>50346</t>
  </si>
  <si>
    <t>50347</t>
  </si>
  <si>
    <t>委托贷款与1104报表G01_I_2:《委托贷款投向统计表》口径一致</t>
  </si>
  <si>
    <t>50348</t>
  </si>
  <si>
    <t>50349</t>
  </si>
  <si>
    <t>50350</t>
  </si>
  <si>
    <t>50351</t>
  </si>
  <si>
    <t>50352</t>
  </si>
  <si>
    <t>50353</t>
  </si>
  <si>
    <t>50354</t>
  </si>
  <si>
    <t>50355</t>
  </si>
  <si>
    <t>50356</t>
  </si>
  <si>
    <t>504</t>
  </si>
  <si>
    <t>50401</t>
  </si>
  <si>
    <t>50402</t>
  </si>
  <si>
    <t>营业机构、管理机构必须填报金融许可证号，内设机构、虚拟机构及营业部取上一级管理机构的金融许可证号。</t>
  </si>
  <si>
    <t>50403</t>
  </si>
  <si>
    <t>50404</t>
  </si>
  <si>
    <t>50405</t>
  </si>
  <si>
    <t>PK。关联数据项：个人信贷业务借据.信贷借据号 或 对公信贷业务借据.信贷借据号</t>
  </si>
  <si>
    <t>50406</t>
  </si>
  <si>
    <t>50407</t>
  </si>
  <si>
    <t>受托支付金额</t>
  </si>
  <si>
    <t>STZFJE</t>
  </si>
  <si>
    <t>50408</t>
  </si>
  <si>
    <t>PK。填写单笔受托支付金额</t>
  </si>
  <si>
    <t>受托支付日期</t>
  </si>
  <si>
    <t>STZFRQ</t>
  </si>
  <si>
    <t>50409</t>
  </si>
  <si>
    <t>指该笔受托支付实际划转给交易对手的日期。</t>
  </si>
  <si>
    <t>受托支付对象账号</t>
  </si>
  <si>
    <t>STZFDXZH</t>
  </si>
  <si>
    <t>50410</t>
  </si>
  <si>
    <t>PK。必须填最终支付对象的收款账号，不可填中间过渡账户或清算账户，优先填报外部账号。</t>
  </si>
  <si>
    <t>受托支付对象户名</t>
  </si>
  <si>
    <t>STZFDXHM</t>
  </si>
  <si>
    <t>50411</t>
  </si>
  <si>
    <t>必须填最终支付对象的户名，不可填中间过渡账户或清算账户。若交易对手为个人，则为隐私，银行机构变形，变形规则见《采集技术接口说明》。其他情况则为非隐私，不做变形。如果为境内涉密机构的，填报为“*********”。</t>
  </si>
  <si>
    <t>受托支付对象行号</t>
  </si>
  <si>
    <t>STZFDXHH</t>
  </si>
  <si>
    <t>50412</t>
  </si>
  <si>
    <t>必须填最终支付对象的12位人行支付行号，分支机构如没有人行支付行号，可填写最近的上一级管理机构支付行号，不可填中间过渡账户或清算账户。跨境交易行号可填SWIFT编码。</t>
  </si>
  <si>
    <t>受托支付对象行名</t>
  </si>
  <si>
    <t>STZFDXXM</t>
  </si>
  <si>
    <t>50413</t>
  </si>
  <si>
    <t>必须填最终支付对象的银行机构名称，跨境交易行名按实际填写(可接受英文)，不可填中间过渡账户或清算账户。支付到第三方平台账户的，填写第三方平台名称。</t>
  </si>
  <si>
    <t>50414</t>
  </si>
  <si>
    <t>50415</t>
  </si>
  <si>
    <t>505</t>
  </si>
  <si>
    <t>50501</t>
  </si>
  <si>
    <t>50502</t>
  </si>
  <si>
    <t>关联数据项：机构信息表.金融许可证号</t>
  </si>
  <si>
    <t>50503</t>
  </si>
  <si>
    <t>50504</t>
  </si>
  <si>
    <t>50505</t>
  </si>
  <si>
    <t>PK。关联数据项：信贷合同表.信贷合同号</t>
  </si>
  <si>
    <t>50506</t>
  </si>
  <si>
    <t>PK。关联数据项：个人信贷业务借据.信贷借据号 或 对公信贷业务借据.信贷借据号。</t>
  </si>
  <si>
    <t>XMLX</t>
  </si>
  <si>
    <t>50507</t>
  </si>
  <si>
    <t>XMMC</t>
  </si>
  <si>
    <t>50508</t>
  </si>
  <si>
    <t>50509</t>
  </si>
  <si>
    <t>50510</t>
  </si>
  <si>
    <t>借款人应还本金总额。</t>
  </si>
  <si>
    <t>50511</t>
  </si>
  <si>
    <t>是否银团</t>
  </si>
  <si>
    <t>SFYT</t>
  </si>
  <si>
    <t>50512</t>
  </si>
  <si>
    <t>借款人编号</t>
  </si>
  <si>
    <t>JKRBH</t>
  </si>
  <si>
    <t>50513</t>
  </si>
  <si>
    <t>借款人名称</t>
  </si>
  <si>
    <t>JKRMC</t>
  </si>
  <si>
    <t>50514</t>
  </si>
  <si>
    <t>项目总投资</t>
  </si>
  <si>
    <t>XMZTZ</t>
  </si>
  <si>
    <t>50515</t>
  </si>
  <si>
    <t>项目资本金</t>
  </si>
  <si>
    <t>XMZBJ</t>
  </si>
  <si>
    <t>50516</t>
  </si>
  <si>
    <t>PWWH</t>
  </si>
  <si>
    <t>50517</t>
  </si>
  <si>
    <t>无相关批文的允许为空。</t>
  </si>
  <si>
    <t>LXPW</t>
  </si>
  <si>
    <t>50518</t>
  </si>
  <si>
    <t>填报批文标题。无相关批文的允许为空。</t>
  </si>
  <si>
    <t>土地使用证编号</t>
  </si>
  <si>
    <t>TDSYZBH</t>
  </si>
  <si>
    <t>50519</t>
  </si>
  <si>
    <t>非房地产类项目贷款允许为空。</t>
  </si>
  <si>
    <t>土地使用证日期</t>
  </si>
  <si>
    <t>TDSYZRQ</t>
  </si>
  <si>
    <t>50520</t>
  </si>
  <si>
    <t>证上标注的发证日期。非房地产类项目贷款允许为空。</t>
  </si>
  <si>
    <t>用地规划许可证编号</t>
  </si>
  <si>
    <t>YDGHXKZBH</t>
  </si>
  <si>
    <t>50521</t>
  </si>
  <si>
    <t>用地规划许可证日期</t>
  </si>
  <si>
    <t>YDGHXKZRQ</t>
  </si>
  <si>
    <t>50522</t>
  </si>
  <si>
    <t>工程规划许可证编号</t>
  </si>
  <si>
    <t>GCGHXKZBH</t>
  </si>
  <si>
    <t>50523</t>
  </si>
  <si>
    <t>工程规划许可证日期</t>
  </si>
  <si>
    <t>GCGHXKZRQ</t>
  </si>
  <si>
    <t>50524</t>
  </si>
  <si>
    <t>施工许可证编号</t>
  </si>
  <si>
    <t>SGXKZBH</t>
  </si>
  <si>
    <t>50525</t>
  </si>
  <si>
    <t>施工许可证日期</t>
  </si>
  <si>
    <t>SGXKZRQ</t>
  </si>
  <si>
    <t>50526</t>
  </si>
  <si>
    <t>其他许可证</t>
  </si>
  <si>
    <t>QTXKZ</t>
  </si>
  <si>
    <t>50527</t>
  </si>
  <si>
    <t>允许为空。如有多个许可证，按分号隔开填报。</t>
  </si>
  <si>
    <t>其他许可证编号</t>
  </si>
  <si>
    <t>QTXKZBH</t>
  </si>
  <si>
    <t>50528</t>
  </si>
  <si>
    <t>开工日期</t>
  </si>
  <si>
    <t>KGRQ</t>
  </si>
  <si>
    <t>50529</t>
  </si>
  <si>
    <t>50530</t>
  </si>
  <si>
    <t>50531</t>
  </si>
  <si>
    <t>50532</t>
  </si>
  <si>
    <t>506</t>
  </si>
  <si>
    <t>50601</t>
  </si>
  <si>
    <t>50602</t>
  </si>
  <si>
    <t>50603</t>
  </si>
  <si>
    <t>50604</t>
  </si>
  <si>
    <t>50605</t>
  </si>
  <si>
    <t>50606</t>
  </si>
  <si>
    <t>50607</t>
  </si>
  <si>
    <t>50608</t>
  </si>
  <si>
    <t>如果借款人为对私客户，则为隐私，银行机构变形，变形规则见《采集技术接口说明》。如果借款人为对公客户，则为非隐私，不做变形。</t>
  </si>
  <si>
    <t>牵头行行号</t>
  </si>
  <si>
    <t>QTHHH</t>
  </si>
  <si>
    <t>50609</t>
  </si>
  <si>
    <t>填写牵头行行号。有多个牵头行的，逐个填写，使用英文半角分号隔开。</t>
  </si>
  <si>
    <t>格式、数据项代码</t>
  </si>
  <si>
    <t>牵头行行名</t>
  </si>
  <si>
    <t>QTHHM</t>
  </si>
  <si>
    <t>50610</t>
  </si>
  <si>
    <t>填写牵头行行名。有多个牵头行的，逐个填写，使用英文半角分号隔开。</t>
  </si>
  <si>
    <t>参加行行号</t>
  </si>
  <si>
    <t>CJHHH</t>
  </si>
  <si>
    <t>50611</t>
  </si>
  <si>
    <t>填写参贷行的人行支付行号。有多个参贷行的，逐个填写，使用英文半角分号隔开。</t>
  </si>
  <si>
    <t>参加行行名</t>
  </si>
  <si>
    <t>CJHHM</t>
  </si>
  <si>
    <t>50612</t>
  </si>
  <si>
    <t>填写参贷行行名。有多个参贷行的，逐个填写，使用英文半角分号隔开。</t>
  </si>
  <si>
    <t>代理行行号</t>
  </si>
  <si>
    <t>DLHHH</t>
  </si>
  <si>
    <t>50613</t>
  </si>
  <si>
    <t>填写代理行的人行支付行号。有多个代理行的，逐个填写，使用英文半角分号隔开。</t>
  </si>
  <si>
    <t>代理行行名</t>
  </si>
  <si>
    <t>DLHHM</t>
  </si>
  <si>
    <t>50614</t>
  </si>
  <si>
    <t>填写代理行行名。有多个代理行的，逐个填写，使用英文半角分号隔开。</t>
  </si>
  <si>
    <t>DLCDBZ</t>
  </si>
  <si>
    <t>50615</t>
  </si>
  <si>
    <t>50616</t>
  </si>
  <si>
    <t>银团贷款总金额</t>
  </si>
  <si>
    <t>YTDKZJE</t>
  </si>
  <si>
    <t>50617</t>
  </si>
  <si>
    <t>填写银团贷款协议总额度。</t>
  </si>
  <si>
    <t>已发放银团贷款金额</t>
  </si>
  <si>
    <t>YFFDKJE</t>
  </si>
  <si>
    <t>50618</t>
  </si>
  <si>
    <t>填写银团实际已发的贷款金额。当代理参贷标志为“代理行”时不可为空。</t>
  </si>
  <si>
    <t>承担贷款金额</t>
  </si>
  <si>
    <t>CDDKJE</t>
  </si>
  <si>
    <t>50619</t>
  </si>
  <si>
    <t>填写本行承担的银团贷款额度。</t>
  </si>
  <si>
    <t>已发放承担贷款金额</t>
  </si>
  <si>
    <t>YFFCDDKJE</t>
  </si>
  <si>
    <t>50620</t>
  </si>
  <si>
    <t>填写本行实际已发的贷款金额。填报未结清的贷款总额，不填报循环发放累计金额。</t>
  </si>
  <si>
    <t>借据金额</t>
  </si>
  <si>
    <t>JJJE</t>
  </si>
  <si>
    <t>50621</t>
  </si>
  <si>
    <t>以借据为最小颗粒，填写本借据放款金额。</t>
  </si>
  <si>
    <t>借据余额</t>
  </si>
  <si>
    <t>JJYE</t>
  </si>
  <si>
    <t>50622</t>
  </si>
  <si>
    <t>以借据为最小颗粒，填写本借据本金余额（不含利息）。</t>
  </si>
  <si>
    <t>50623</t>
  </si>
  <si>
    <t>50624</t>
  </si>
  <si>
    <t>50625</t>
  </si>
  <si>
    <t>507</t>
  </si>
  <si>
    <t>50701</t>
  </si>
  <si>
    <t>填写经办机构银行机构代码。关联数据项：机构信息表.银行机构代码</t>
  </si>
  <si>
    <t>50702</t>
  </si>
  <si>
    <t>填写经办机构金融许可证号。关联数据项：机构信息表.金融许可证号</t>
  </si>
  <si>
    <t>50703</t>
  </si>
  <si>
    <t>PK。经办机构内部机构号。关联数据项：机构信息表.内部机构号</t>
  </si>
  <si>
    <t>50704</t>
  </si>
  <si>
    <t>经办机构银行机构名称。关联数据项：机构信息表.银行机构名称</t>
  </si>
  <si>
    <t>50705</t>
  </si>
  <si>
    <t>PK。票据贴现业务没有信贷合同编号的，填报为信贷合同号=票据号码。关联数据项：信贷合同表.信贷合同号。</t>
  </si>
  <si>
    <t>50706</t>
  </si>
  <si>
    <t>PK。票据贴现业务没有借据号的，填报为信贷借据号=票据号码。关联数据项：个人信贷业务借据.信贷借据号 或 对公信贷业务借据.信贷借据号。</t>
  </si>
  <si>
    <t>PJHM</t>
  </si>
  <si>
    <t>50707</t>
  </si>
  <si>
    <t>PJLX</t>
  </si>
  <si>
    <t>50708</t>
  </si>
  <si>
    <t>50709</t>
  </si>
  <si>
    <t>票面金额</t>
  </si>
  <si>
    <t>PMJE</t>
  </si>
  <si>
    <t>50710</t>
  </si>
  <si>
    <t>票据出票日期</t>
  </si>
  <si>
    <t>PJCPRQ</t>
  </si>
  <si>
    <t>50711</t>
  </si>
  <si>
    <t>票据到期日期</t>
  </si>
  <si>
    <t>PJDQRQ</t>
  </si>
  <si>
    <t>50712</t>
  </si>
  <si>
    <t>出票人名称</t>
  </si>
  <si>
    <t>CPRMC</t>
  </si>
  <si>
    <t>50713</t>
  </si>
  <si>
    <t>填写出票机构全称。</t>
  </si>
  <si>
    <t>承兑人名称</t>
  </si>
  <si>
    <t>CDRMC</t>
  </si>
  <si>
    <t>50714</t>
  </si>
  <si>
    <t>填写承兑人全称。银行承兑汇票填承兑行全称。</t>
  </si>
  <si>
    <t>贴现人名称</t>
  </si>
  <si>
    <t>TXRMC</t>
  </si>
  <si>
    <t>50715</t>
  </si>
  <si>
    <t>填报申请办理贴现的贴现人全称。</t>
  </si>
  <si>
    <t>贴现人客户统一编号</t>
  </si>
  <si>
    <t>TXRKHTYBH</t>
  </si>
  <si>
    <t>50716</t>
  </si>
  <si>
    <t>贴现人账号</t>
  </si>
  <si>
    <t>TXRZH</t>
  </si>
  <si>
    <t>50717</t>
  </si>
  <si>
    <t>贴现人申请提款的外部账号</t>
  </si>
  <si>
    <t>贴现人开户行名称</t>
  </si>
  <si>
    <t>TXRKHHMC</t>
  </si>
  <si>
    <t>50718</t>
  </si>
  <si>
    <t>贴现人申请提款的开户行全称</t>
  </si>
  <si>
    <t>贴现金额</t>
  </si>
  <si>
    <t>TXJE</t>
  </si>
  <si>
    <t>50719</t>
  </si>
  <si>
    <t>贴现实付金额。</t>
  </si>
  <si>
    <t>贴现日期</t>
  </si>
  <si>
    <t>TXRQ</t>
  </si>
  <si>
    <t>50720</t>
  </si>
  <si>
    <t>贴现计息天数</t>
  </si>
  <si>
    <t>TXJXTS</t>
  </si>
  <si>
    <t>50721</t>
  </si>
  <si>
    <t>贴现利率</t>
  </si>
  <si>
    <t>TXL</t>
  </si>
  <si>
    <t>50722</t>
  </si>
  <si>
    <t>贴现利息</t>
  </si>
  <si>
    <t>TXLX</t>
  </si>
  <si>
    <t>50723</t>
  </si>
  <si>
    <t>PJZT</t>
  </si>
  <si>
    <t>50724</t>
  </si>
  <si>
    <t>正常（票据未到期），卖断（转贴现卖断），解付（票据到期且出票人已付款），垫款（票据到期产生垫款），核销（贷款核销）。</t>
  </si>
  <si>
    <t>50725</t>
  </si>
  <si>
    <t>50726</t>
  </si>
  <si>
    <t>508</t>
  </si>
  <si>
    <t>50801</t>
  </si>
  <si>
    <t>本行银行机构代码。关联数据项：机构信息表.银行机构代码</t>
  </si>
  <si>
    <t>50802</t>
  </si>
  <si>
    <t>50803</t>
  </si>
  <si>
    <t>PK。本行内部机构号。关联数据项：机构信息表.内部机构号</t>
  </si>
  <si>
    <t>50804</t>
  </si>
  <si>
    <t>本行银行机构名称。关联数据项：机构信息表.银行机构名称</t>
  </si>
  <si>
    <t>50805</t>
  </si>
  <si>
    <t>仅当转贴现类型为“转贴现买断”时需填报，其他情况填空值。按信贷合同号=信贷借据号=票据号码填报。关联数据项：信贷合同表.信贷合同号</t>
  </si>
  <si>
    <t>50806</t>
  </si>
  <si>
    <t>仅当转贴现类型为“转贴现买断”时需填报，其他情况填空值。按信贷合同号=信贷借据号=票据号码填报。关联数据项：个人信贷业务借据.信贷借据号 或 对公信贷业务借据.信贷借据号。</t>
  </si>
  <si>
    <t>50807</t>
  </si>
  <si>
    <t>50808</t>
  </si>
  <si>
    <t>50809</t>
  </si>
  <si>
    <t>50810</t>
  </si>
  <si>
    <t>50811</t>
  </si>
  <si>
    <t>50812</t>
  </si>
  <si>
    <t>50813</t>
  </si>
  <si>
    <t>50814</t>
  </si>
  <si>
    <t>50815</t>
  </si>
  <si>
    <t>50816</t>
  </si>
  <si>
    <t>交易方向</t>
  </si>
  <si>
    <t>JYFX</t>
  </si>
  <si>
    <t>50817</t>
  </si>
  <si>
    <t>ZTXLB</t>
  </si>
  <si>
    <t>50818</t>
  </si>
  <si>
    <t>转贴现日期</t>
  </si>
  <si>
    <t>ZTXRQ</t>
  </si>
  <si>
    <t>50819</t>
  </si>
  <si>
    <t>转贴现金额</t>
  </si>
  <si>
    <t>ZTXJE</t>
  </si>
  <si>
    <t>50820</t>
  </si>
  <si>
    <t>转贴现实付金额</t>
  </si>
  <si>
    <t>转贴现计息天数</t>
  </si>
  <si>
    <t>ZTXJXTS</t>
  </si>
  <si>
    <t>50821</t>
  </si>
  <si>
    <t>转贴现实际计息天数</t>
  </si>
  <si>
    <t>转贴现利率</t>
  </si>
  <si>
    <t>ZTXLL</t>
  </si>
  <si>
    <t>50822</t>
  </si>
  <si>
    <t>转贴现利息</t>
  </si>
  <si>
    <t>ZTXLX</t>
  </si>
  <si>
    <t>50823</t>
  </si>
  <si>
    <t>回购日期</t>
  </si>
  <si>
    <t>HGRQ</t>
  </si>
  <si>
    <t>50824</t>
  </si>
  <si>
    <t>约定回购/返售日期。“质押式回购正回购”、“质押式回购逆回购”、“买断式回购正回购”、“买断式回购逆回购”类业务，填报该字段。“转贴现买断”、“转贴现卖断”该字段可以为空。</t>
  </si>
  <si>
    <t>回购金额</t>
  </si>
  <si>
    <t>HGJE</t>
  </si>
  <si>
    <t>50825</t>
  </si>
  <si>
    <t>约定回购/返售总金额。“质押式回购正回购”、“质押式回购逆回购”、“买断式回购正回购”、“买断式回购逆回购”类业务，填报该字段，回购前如无法填报的可以置空。“转贴现买断”、“转贴现卖断”该字段置空。</t>
  </si>
  <si>
    <t>回购利率</t>
  </si>
  <si>
    <t>HGLV</t>
  </si>
  <si>
    <t>50826</t>
  </si>
  <si>
    <t>“质押式回购正回购”、“质押式回购逆回购”、“买断式回购正回购”、“买断式回购逆回购”类业务，填报该字段，回购前如无法填报的可以置空。“转贴现买断”、“转贴现卖断”该字段置空。</t>
  </si>
  <si>
    <t>回购利息</t>
  </si>
  <si>
    <t>HGLX</t>
  </si>
  <si>
    <t>50827</t>
  </si>
  <si>
    <t>交易对手名称</t>
  </si>
  <si>
    <t>JYDSMC</t>
  </si>
  <si>
    <t>50828</t>
  </si>
  <si>
    <t>填报交易对手行全称。</t>
  </si>
  <si>
    <t>交易对手行号</t>
  </si>
  <si>
    <t>JYDSHH</t>
  </si>
  <si>
    <t>50829</t>
  </si>
  <si>
    <t>交易对手的银行机构代码，跨境交易行号可填SWIFT编码。对方账号和对方户名必须填实际收款人，不可填中间过渡账户或清算账户。交易对手是第三方支付平台的，可以为空。</t>
  </si>
  <si>
    <t>50830</t>
  </si>
  <si>
    <t>50831</t>
  </si>
  <si>
    <t>50832</t>
  </si>
  <si>
    <t>509</t>
  </si>
  <si>
    <t>50901</t>
  </si>
  <si>
    <t>50902</t>
  </si>
  <si>
    <t>填报经办的银行机构。关联数据项：机构信息表.金融许可证号</t>
  </si>
  <si>
    <t>50903</t>
  </si>
  <si>
    <t>50904</t>
  </si>
  <si>
    <t>50905</t>
  </si>
  <si>
    <t>50906</t>
  </si>
  <si>
    <t>MYRZPZ</t>
  </si>
  <si>
    <t>50907</t>
  </si>
  <si>
    <t>无法以枚举类型填报的，以“其他-XX”填报，其中“XX”为银行自定义贸易融资品种。</t>
  </si>
  <si>
    <t>50908</t>
  </si>
  <si>
    <t>PK。指贸易融资币种，非贸易合同币种。多个币种的以本外币合计（BWB）报送。</t>
  </si>
  <si>
    <t>贸易融资金额</t>
  </si>
  <si>
    <t>MYRZJE</t>
  </si>
  <si>
    <t>50909</t>
  </si>
  <si>
    <t>指融资实际支付的金额，福费廷业务填报实际支付金额，非信用证上金额。</t>
  </si>
  <si>
    <t>融资发放日期</t>
  </si>
  <si>
    <t>FKRQ</t>
  </si>
  <si>
    <t>50910</t>
  </si>
  <si>
    <t>指融资实际放款的日期，多次付款的以首次付款日期填报。</t>
  </si>
  <si>
    <t>融资还款日期</t>
  </si>
  <si>
    <t>HKRQ</t>
  </si>
  <si>
    <t>50911</t>
  </si>
  <si>
    <t>指融资款发放后，开证行/申请人的最迟还款日期。</t>
  </si>
  <si>
    <t>开证行名称</t>
  </si>
  <si>
    <t>KZHMC</t>
  </si>
  <si>
    <t>50912</t>
  </si>
  <si>
    <t>信用证业务填报开证行名称，保理融资业务填报机构自身名称。</t>
  </si>
  <si>
    <t>购货方名称</t>
  </si>
  <si>
    <t>GHFMC</t>
  </si>
  <si>
    <t>50913</t>
  </si>
  <si>
    <t>即该笔贸易中的买入方。信用证业务填报证上申请人名称，保理融资业务填报应收账款债务人名称。非隐私，不做变形。如果为境内涉密机构的，填报为“*********”。</t>
  </si>
  <si>
    <t>销货方名称</t>
  </si>
  <si>
    <t>XHFMC</t>
  </si>
  <si>
    <t>50914</t>
  </si>
  <si>
    <t>即该笔贸易中的卖出方。信用证业务填报证上受益人名称，保理融资业务填报保理业务申请人名称。非隐私，不做变形。如果为境内涉密机构的，填报为“*********”。</t>
  </si>
  <si>
    <t>贸易交易内容</t>
  </si>
  <si>
    <t>MYJYBJ</t>
  </si>
  <si>
    <t>50915</t>
  </si>
  <si>
    <t>填报贸易合同的交易内容简述，如合同为英文的可以填报为英文简述。</t>
  </si>
  <si>
    <t>支付对象名称</t>
  </si>
  <si>
    <t>ZFDXMC</t>
  </si>
  <si>
    <t>50916</t>
  </si>
  <si>
    <t>指该笔融资实际支付对象的名称，二级市场福费廷业务的实际支付对象填报同业机构名称。</t>
  </si>
  <si>
    <t>还款对象名称</t>
  </si>
  <si>
    <t>HKDXMC</t>
  </si>
  <si>
    <t>50917</t>
  </si>
  <si>
    <t>指该笔融资的还款对象名称，非本行开出的信用证还款对象为信用证开证行。</t>
  </si>
  <si>
    <t>手续费币种</t>
  </si>
  <si>
    <t>SXFBZ</t>
  </si>
  <si>
    <t>50918</t>
  </si>
  <si>
    <t>填写本行收取客户的手续费币种，如果没有手续费允许为空。</t>
  </si>
  <si>
    <t>手续费金额</t>
  </si>
  <si>
    <t>SXFJE</t>
  </si>
  <si>
    <t>50919</t>
  </si>
  <si>
    <t>填写本行收取客户的手续费金额，如果没有手续费填写默认值0。</t>
  </si>
  <si>
    <t>保证金比例</t>
  </si>
  <si>
    <t>BZJBL</t>
  </si>
  <si>
    <t>50920</t>
  </si>
  <si>
    <t>如没有保证金，填写默认值0。</t>
  </si>
  <si>
    <t>保证金币种</t>
  </si>
  <si>
    <t>BZJBZ</t>
  </si>
  <si>
    <t>50921</t>
  </si>
  <si>
    <t>若没有保证金允许为空。多个保证金币种的以本外币合计（BWB）报送。</t>
  </si>
  <si>
    <t>保证金金额</t>
  </si>
  <si>
    <t>BZJJE</t>
  </si>
  <si>
    <t>50922</t>
  </si>
  <si>
    <t>若没有保证金填默认值0。多个保证金币种的以本外币合计（BWB）报送。</t>
  </si>
  <si>
    <t>保证金账号</t>
  </si>
  <si>
    <t>BZJZH</t>
  </si>
  <si>
    <t>50923</t>
  </si>
  <si>
    <t>客户缴纳保证金的实际账号，填报外部账号。若没有填空。多个保证金账号的仅报送主要保证金账号。</t>
  </si>
  <si>
    <t>50924</t>
  </si>
  <si>
    <t>50925</t>
  </si>
  <si>
    <t>50926</t>
  </si>
  <si>
    <t>510</t>
  </si>
  <si>
    <t>51001</t>
  </si>
  <si>
    <t>51002</t>
  </si>
  <si>
    <t>51003</t>
  </si>
  <si>
    <t>51004</t>
  </si>
  <si>
    <t>51005</t>
  </si>
  <si>
    <t>51006</t>
  </si>
  <si>
    <t>RZZLLX</t>
  </si>
  <si>
    <t>51007</t>
  </si>
  <si>
    <t>传统经营性租赁：提供融物的服务；融资性租赁：提供金融服务和推销服务。</t>
  </si>
  <si>
    <t>租赁标的物</t>
  </si>
  <si>
    <t>ZLBDW</t>
  </si>
  <si>
    <t>51008</t>
  </si>
  <si>
    <t>银行自定义的对租赁标的物的描述，按照租赁合同中约定的租赁标的物填报。</t>
  </si>
  <si>
    <t>XYZBZDM</t>
  </si>
  <si>
    <t>51009</t>
  </si>
  <si>
    <t>指合同约定的币种。</t>
  </si>
  <si>
    <t>XYZJE</t>
  </si>
  <si>
    <t>51010</t>
  </si>
  <si>
    <t>合同余额</t>
  </si>
  <si>
    <t>XYZYE</t>
  </si>
  <si>
    <t>51011</t>
  </si>
  <si>
    <t>指承租人尚未支付的本金余额。</t>
  </si>
  <si>
    <t>HTYDRQ</t>
  </si>
  <si>
    <t>51012</t>
  </si>
  <si>
    <t>合同约定履行日期，若无该字段信息可填报合同的开始日期</t>
  </si>
  <si>
    <t>51013</t>
  </si>
  <si>
    <t>合同原始到期日期</t>
  </si>
  <si>
    <t>承租人编号</t>
  </si>
  <si>
    <t>CZRBH</t>
  </si>
  <si>
    <t>51014</t>
  </si>
  <si>
    <t>关联数据项：个人基础信息.客户统一编号 或 对公客户.客户统一编号</t>
  </si>
  <si>
    <t>承租人名称</t>
  </si>
  <si>
    <t>CZRMC</t>
  </si>
  <si>
    <t>51015</t>
  </si>
  <si>
    <t>如果承租人为个人客户，则为隐私，银行机构变形，变形规则见《采集技术接口说明》。如果承租人人为对公客户，则为非隐私，不做变形。</t>
  </si>
  <si>
    <t>承租人账号</t>
  </si>
  <si>
    <t>CZRZH</t>
  </si>
  <si>
    <t>51016</t>
  </si>
  <si>
    <t>承租人开户行名称</t>
  </si>
  <si>
    <t>CZRKHHMC</t>
  </si>
  <si>
    <t>51017</t>
  </si>
  <si>
    <t>租赁公司名称</t>
  </si>
  <si>
    <t>ZLGSMC</t>
  </si>
  <si>
    <t>51018</t>
  </si>
  <si>
    <t>合作融资租赁公司的全称。</t>
  </si>
  <si>
    <t>租赁公司证件类别</t>
  </si>
  <si>
    <t>ZLGSZJLB</t>
  </si>
  <si>
    <t>51019</t>
  </si>
  <si>
    <t>租赁公司证件号码</t>
  </si>
  <si>
    <t>ZLGSZJHM</t>
  </si>
  <si>
    <t>51020</t>
  </si>
  <si>
    <t>51021</t>
  </si>
  <si>
    <t>填写本行收取客户的手续费币种，如果没有允许为空。</t>
  </si>
  <si>
    <t>51022</t>
  </si>
  <si>
    <t>51023</t>
  </si>
  <si>
    <t>多个保证金币种统一按一种币种转换合计报送。如没有保证金，填写默认值0。</t>
  </si>
  <si>
    <t>51024</t>
  </si>
  <si>
    <t>多个保证金币种统一按一种币种转换合计报送。</t>
  </si>
  <si>
    <t>51025</t>
  </si>
  <si>
    <t>填报首付金额。如没有首付金额，填写默认值0。多个保证金币种统一按一种币种转换合计报送。</t>
  </si>
  <si>
    <t>51026</t>
  </si>
  <si>
    <t>客户缴纳保证金的实际账号，填报外部账号。若没有填空。多个保证金币种统一按一种币种转换合计报送。</t>
  </si>
  <si>
    <t>51027</t>
  </si>
  <si>
    <t>51028</t>
  </si>
  <si>
    <t>51029</t>
  </si>
  <si>
    <t>511</t>
  </si>
  <si>
    <t>51101</t>
  </si>
  <si>
    <t>指经办该笔业务的银行机构。关联数据项：机构信息表.银行机构代码</t>
  </si>
  <si>
    <t>51102</t>
  </si>
  <si>
    <t>51103</t>
  </si>
  <si>
    <t>指经办该笔业务的银行机构。关联数据项：机构信息表.内部机构号</t>
  </si>
  <si>
    <t>51104</t>
  </si>
  <si>
    <t>指经办该笔业务的银行机构。关联数据项：机构信息表.银行机构名称</t>
  </si>
  <si>
    <t>51105</t>
  </si>
  <si>
    <t>51106</t>
  </si>
  <si>
    <t>DKLX</t>
  </si>
  <si>
    <t>51107</t>
  </si>
  <si>
    <t>以枚举类型填报，如无法以枚举类型填报的，以“其他-XX”填报，其中“XX”为银行自定义垫款类型。</t>
  </si>
  <si>
    <t>原合同编号</t>
  </si>
  <si>
    <t>YHTBH</t>
  </si>
  <si>
    <t>51108</t>
  </si>
  <si>
    <t>PK。票据号码，信用证合同编号，保函合同编号，其他能唯一识别具体业务的号码。关联数据项：票据号码（票据出票信息、票据贴现、票据转贴现） or 保函与信用证.合同编号</t>
  </si>
  <si>
    <t>51109</t>
  </si>
  <si>
    <t>可能与原币种不一致</t>
  </si>
  <si>
    <t>垫款金额</t>
  </si>
  <si>
    <t>51110</t>
  </si>
  <si>
    <t>垫款本金金额。</t>
  </si>
  <si>
    <t>垫款余额</t>
  </si>
  <si>
    <t>51111</t>
  </si>
  <si>
    <t>垫款本金余额（不含罚息）。</t>
  </si>
  <si>
    <t>51112</t>
  </si>
  <si>
    <t>51113</t>
  </si>
  <si>
    <t>指产生该笔垫款的客户名称。如果是个人客户，则为隐私，银行机构变形，变形规则见《采集技术接口说明》。其余情况则为非隐私，不做变形。</t>
  </si>
  <si>
    <t>垫款日期</t>
  </si>
  <si>
    <t>DKRQ</t>
  </si>
  <si>
    <t>51114</t>
  </si>
  <si>
    <t>51115</t>
  </si>
  <si>
    <t>51116</t>
  </si>
  <si>
    <t>51117</t>
  </si>
  <si>
    <t>60101</t>
  </si>
  <si>
    <t>60102</t>
  </si>
  <si>
    <t>60103</t>
  </si>
  <si>
    <t>被担保合同号</t>
  </si>
  <si>
    <t>BDBHTH</t>
  </si>
  <si>
    <t>60104</t>
  </si>
  <si>
    <t>PK。填报本合同担保贷款的合同号。关联数据项：信贷合同表.信贷合同号 or 票据出票信息表.票据号码 or 保函与信用证.合同编号</t>
  </si>
  <si>
    <t>BDBYWLX</t>
  </si>
  <si>
    <t>60105</t>
  </si>
  <si>
    <t>担保合同号</t>
  </si>
  <si>
    <t>DBHTH</t>
  </si>
  <si>
    <t>60106</t>
  </si>
  <si>
    <t>PK。填报本担保合同的编号。</t>
  </si>
  <si>
    <t>DBHTLX</t>
  </si>
  <si>
    <t>60107</t>
  </si>
  <si>
    <t>DBLX</t>
  </si>
  <si>
    <t>60108</t>
  </si>
  <si>
    <t>担保币种</t>
  </si>
  <si>
    <t>DBBZ</t>
  </si>
  <si>
    <t>60109</t>
  </si>
  <si>
    <t>填报担保合同的币种，非被担保贷款的币种。</t>
  </si>
  <si>
    <t>担保金额</t>
  </si>
  <si>
    <t>DBJE</t>
  </si>
  <si>
    <t>60110</t>
  </si>
  <si>
    <t>对于一般担保合同，报送一般担保合同金额；对于最高额担保合同，报送最高额担保合同金额。</t>
  </si>
  <si>
    <t>担保起始日期</t>
  </si>
  <si>
    <t>DBQSRQ</t>
  </si>
  <si>
    <t>60111</t>
  </si>
  <si>
    <t>担保关系开始的日期。</t>
  </si>
  <si>
    <t>担保到期日期</t>
  </si>
  <si>
    <t>DBDQRQ</t>
  </si>
  <si>
    <t>60112</t>
  </si>
  <si>
    <t>担保关系解除的日期。</t>
  </si>
  <si>
    <t>经办人工号</t>
  </si>
  <si>
    <t>JBRGH</t>
  </si>
  <si>
    <t>60113</t>
  </si>
  <si>
    <t>建立担保合同信息的员工号。自动办理的员工号允许为空。关联数据项：员工表.员工号。</t>
  </si>
  <si>
    <t>DBHTZT</t>
  </si>
  <si>
    <t>60114</t>
  </si>
  <si>
    <t>数据项代码、数据元说明</t>
  </si>
  <si>
    <t>60115</t>
  </si>
  <si>
    <t>60116</t>
  </si>
  <si>
    <t>60201</t>
  </si>
  <si>
    <t>60202</t>
  </si>
  <si>
    <t>60203</t>
  </si>
  <si>
    <t>60204</t>
  </si>
  <si>
    <t>PK。关联数据项：信贷业务担保合同.担保合同号。</t>
  </si>
  <si>
    <t>BZRLB</t>
  </si>
  <si>
    <t>60205</t>
  </si>
  <si>
    <t>担保人名称</t>
  </si>
  <si>
    <t>BZRMC</t>
  </si>
  <si>
    <t>60206</t>
  </si>
  <si>
    <t>PK。如果担保人为个人，则为隐私，银行机构变形，变形规则见《采集技术接口说明》。其他情况，则为非隐私，不做变形。</t>
  </si>
  <si>
    <t>担保人证件类别</t>
  </si>
  <si>
    <t>60207</t>
  </si>
  <si>
    <t>不可为空。如未收集证件号码，可以填写为其他任意能识别担保人的编号,如“其他-客户编号”。</t>
  </si>
  <si>
    <t>担保人证件号码</t>
  </si>
  <si>
    <t>60208</t>
  </si>
  <si>
    <t>担保人净资产币种</t>
  </si>
  <si>
    <t>DBRJZCBZ</t>
  </si>
  <si>
    <t>60209</t>
  </si>
  <si>
    <t>担保类型为保证担保，且担保人类别为对公时，此项必填，其他情况允许为空。</t>
  </si>
  <si>
    <t>担保人净资产</t>
  </si>
  <si>
    <t>DBRJZC</t>
  </si>
  <si>
    <t>60210</t>
  </si>
  <si>
    <t>60211</t>
  </si>
  <si>
    <t>60212</t>
  </si>
  <si>
    <t>60213</t>
  </si>
  <si>
    <t>60301</t>
  </si>
  <si>
    <t>60302</t>
  </si>
  <si>
    <t>60303</t>
  </si>
  <si>
    <t>60304</t>
  </si>
  <si>
    <t>PK。关联数据项：信贷业务担保合同.担保合同号</t>
  </si>
  <si>
    <t>押品编号</t>
  </si>
  <si>
    <t>YPBH</t>
  </si>
  <si>
    <t>60305</t>
  </si>
  <si>
    <t>押品类型</t>
  </si>
  <si>
    <t>YPLX</t>
  </si>
  <si>
    <t>60306</t>
  </si>
  <si>
    <t>保证金无需在本表填报，存单质押填报为 1.1现金及等价物。</t>
  </si>
  <si>
    <t>押品名称</t>
  </si>
  <si>
    <t>YPMC</t>
  </si>
  <si>
    <t>60307</t>
  </si>
  <si>
    <t>DZYWZT</t>
  </si>
  <si>
    <t>60308</t>
  </si>
  <si>
    <t>60309</t>
  </si>
  <si>
    <t>起始估值</t>
  </si>
  <si>
    <t>PGJZ</t>
  </si>
  <si>
    <t>60310</t>
  </si>
  <si>
    <t>与1104报表G13“押品价值_起始价值”的填报口径保持一致，填报抵质押品首次评估价值。</t>
  </si>
  <si>
    <t>最新估值</t>
  </si>
  <si>
    <t>YXRDJZ</t>
  </si>
  <si>
    <t>60311</t>
  </si>
  <si>
    <t>与1104报表G13“押品价值_最新价值”的填报口径保持一致，填报距采集日期最近一次银行认定的押品价值。</t>
  </si>
  <si>
    <t>已抵押价值</t>
  </si>
  <si>
    <t>YDYJZ</t>
  </si>
  <si>
    <t>60312</t>
  </si>
  <si>
    <t>在办理该笔信贷业务前，如已进行过抵押业务,填报押品已经抵押的价值，如果没有允许填0。</t>
  </si>
  <si>
    <t>抵质押率</t>
  </si>
  <si>
    <t>DZYL</t>
  </si>
  <si>
    <t>60313</t>
  </si>
  <si>
    <t>根据《商业银行押品管理指引》规定：抵质押率＝押品担保本金余额÷押品估值×100%。按合同内整体押品计算的抵质押率，不是单件押品计算出来的抵质押率。</t>
  </si>
  <si>
    <t>CZQSW</t>
  </si>
  <si>
    <t>60314</t>
  </si>
  <si>
    <t>指贷款出现风险或不良时，银行具有处置抵质押品的先后顺位。</t>
  </si>
  <si>
    <t>押品所有人名称</t>
  </si>
  <si>
    <t>YPSYRMC</t>
  </si>
  <si>
    <t>60315</t>
  </si>
  <si>
    <t>质或抵押物所有权人的名称。对应多个所有权人时，只需报送一个所有权人，可以取占有份额最大的报送。如果所有权人为个人，则为隐私，银行机构变形，变形规则见《采集技术接口说明》。其他情况则为非隐私，不做变形。</t>
  </si>
  <si>
    <t>押品所有人证件类别</t>
  </si>
  <si>
    <t>YPSYRZJLB</t>
  </si>
  <si>
    <t>60316</t>
  </si>
  <si>
    <t>押品所有人证件号码</t>
  </si>
  <si>
    <t>YPSYRZJHM</t>
  </si>
  <si>
    <t>60317</t>
  </si>
  <si>
    <t>ZYPZHM</t>
  </si>
  <si>
    <t>60318</t>
  </si>
  <si>
    <t>如果没有票证号码可以为空。多个票证用分号隔开报送。如长度过长截断可用“等”进行省略。</t>
  </si>
  <si>
    <t>质押票证签发机构</t>
  </si>
  <si>
    <t>ZYPZQFJG</t>
  </si>
  <si>
    <t>60319</t>
  </si>
  <si>
    <t>如果没有票证该项可以为空。多个签发机构用分号隔开报送。如长度过长截断可用“等”进行省略。</t>
  </si>
  <si>
    <t>QZDJHM</t>
  </si>
  <si>
    <t>60320</t>
  </si>
  <si>
    <t>对于一手房业务，房屋暂未办理权证的情况，可以填报购房合同号。如长度过长截断可用“等”进行省略。</t>
  </si>
  <si>
    <t>QZDJMJ</t>
  </si>
  <si>
    <t>60321</t>
  </si>
  <si>
    <t>无权证登记面积的允许为空。</t>
  </si>
  <si>
    <t>是否纳入表外核算</t>
  </si>
  <si>
    <t>SFNRBWHS</t>
  </si>
  <si>
    <t>60322</t>
  </si>
  <si>
    <t>表外核算开始日期</t>
  </si>
  <si>
    <t>BWHSKSRQ</t>
  </si>
  <si>
    <t>60323</t>
  </si>
  <si>
    <t>60324</t>
  </si>
  <si>
    <t>60325</t>
  </si>
  <si>
    <t>60326</t>
  </si>
  <si>
    <t>701</t>
  </si>
  <si>
    <t>70101</t>
  </si>
  <si>
    <t>填写申请授信的银行机构。关联数据项：机构信息表.银行机构代码</t>
  </si>
  <si>
    <t>70102</t>
  </si>
  <si>
    <t>70103</t>
  </si>
  <si>
    <t>填写申请授信的银行机构。关联数据项：机构信息表.内部机构号</t>
  </si>
  <si>
    <t>70104</t>
  </si>
  <si>
    <t>70105</t>
  </si>
  <si>
    <t>SXXYH</t>
  </si>
  <si>
    <t>70106</t>
  </si>
  <si>
    <t>授信协议名称</t>
  </si>
  <si>
    <t>SXXYMC</t>
  </si>
  <si>
    <t>70107</t>
  </si>
  <si>
    <t>可以填合同名称</t>
  </si>
  <si>
    <t>额度申请日期</t>
  </si>
  <si>
    <t>EDSQRQ</t>
  </si>
  <si>
    <t>70108</t>
  </si>
  <si>
    <t>申请日期。</t>
  </si>
  <si>
    <t>SXZTZL</t>
  </si>
  <si>
    <t>70109</t>
  </si>
  <si>
    <t>SXZL</t>
  </si>
  <si>
    <t>70110</t>
  </si>
  <si>
    <t>70111</t>
  </si>
  <si>
    <t>数据项名称、数据项代码、数据元</t>
  </si>
  <si>
    <t>70112</t>
  </si>
  <si>
    <t>授信开始日期</t>
  </si>
  <si>
    <t>SXKSRQ</t>
  </si>
  <si>
    <t>70113</t>
  </si>
  <si>
    <t>授信到期日期</t>
  </si>
  <si>
    <t>SXDQRQ</t>
  </si>
  <si>
    <t>70114</t>
  </si>
  <si>
    <t>授信审批意见</t>
  </si>
  <si>
    <t>SXJCYJ</t>
  </si>
  <si>
    <t>70115</t>
  </si>
  <si>
    <t>审批人工号</t>
  </si>
  <si>
    <t>SPRGH</t>
  </si>
  <si>
    <t>70116</t>
  </si>
  <si>
    <t>指最终审批人工号，自动授信的允许为空。关联数据项：员工表.工号。</t>
  </si>
  <si>
    <t>70117</t>
  </si>
  <si>
    <t>指受理该笔授信的员工工号，自动办理的允许为空。关联数据项：员工表.工号。</t>
  </si>
  <si>
    <t>授信状态</t>
  </si>
  <si>
    <t>SXZT</t>
  </si>
  <si>
    <t>70118</t>
  </si>
  <si>
    <t>表示一条记录是否已经无效。默认为有效，当需要删除一条授信信息时，更新为无效。</t>
  </si>
  <si>
    <t>70119</t>
  </si>
  <si>
    <t>70120</t>
  </si>
  <si>
    <t>702</t>
  </si>
  <si>
    <t>70201</t>
  </si>
  <si>
    <t>该笔贷款所属行的银行机构代码，关联数据项：机构信息表.银行机构代码</t>
  </si>
  <si>
    <t>70202</t>
  </si>
  <si>
    <t>70203</t>
  </si>
  <si>
    <t>该笔贷款所属行的内部机构号，关联数据项：机构信息表.内部机构号</t>
  </si>
  <si>
    <t>核销机构</t>
  </si>
  <si>
    <t>HXJG</t>
  </si>
  <si>
    <t>70204</t>
  </si>
  <si>
    <t>核销该笔贷款的机构的内部机构号，关联数据项：机构信息表.内部机构号</t>
  </si>
  <si>
    <t>70205</t>
  </si>
  <si>
    <t>70206</t>
  </si>
  <si>
    <t>XDZCLX</t>
  </si>
  <si>
    <t>70207</t>
  </si>
  <si>
    <t>个人贷款和对公贷款均为除了信用卡透支以外的贷款。</t>
  </si>
  <si>
    <t>70208</t>
  </si>
  <si>
    <t>PK。关联数据项：信贷合同表.信贷合同号或信用卡信息.信用卡账号</t>
  </si>
  <si>
    <t>70209</t>
  </si>
  <si>
    <t>PK。关联数据项：个人信贷业务借据.信贷借据号 或 对公信贷业务借据.信贷借据号 或 信用卡信息.卡号。当核销贷款为信用卡时，信贷借据号填报为该信用卡账户下主要的一张有效卡号。</t>
  </si>
  <si>
    <t>70210</t>
  </si>
  <si>
    <t>实核贷款本金</t>
  </si>
  <si>
    <t>SHDKBJ</t>
  </si>
  <si>
    <t>70211</t>
  </si>
  <si>
    <t>填报核销时点数据。</t>
  </si>
  <si>
    <t>实核表内利息</t>
  </si>
  <si>
    <t>SHBNLX</t>
  </si>
  <si>
    <t>70212</t>
  </si>
  <si>
    <t>实核表外利息</t>
  </si>
  <si>
    <t>SHBWLX</t>
  </si>
  <si>
    <t>70213</t>
  </si>
  <si>
    <t>填报核销时点数据。表外利息指已转入表外核算的利息。</t>
  </si>
  <si>
    <t>核销日期</t>
  </si>
  <si>
    <t>HXRQ</t>
  </si>
  <si>
    <t>70214</t>
  </si>
  <si>
    <t>收回本金</t>
  </si>
  <si>
    <t>SHBJ</t>
  </si>
  <si>
    <t>70215</t>
  </si>
  <si>
    <t>报送数据采集时点的累计核销收回本金，多次收回应报送合计值。</t>
  </si>
  <si>
    <t>收回利息</t>
  </si>
  <si>
    <t>SHLX</t>
  </si>
  <si>
    <t>70216</t>
  </si>
  <si>
    <t>报送数据采集时点的累计核销收回利息，多次收回应报送合计值。</t>
  </si>
  <si>
    <t>收回日期</t>
  </si>
  <si>
    <t>SHRQ</t>
  </si>
  <si>
    <t>70217</t>
  </si>
  <si>
    <t>对于多次收回的情况，填报最近一次收回日期。</t>
  </si>
  <si>
    <t>SHBZ</t>
  </si>
  <si>
    <t>70218</t>
  </si>
  <si>
    <t>填报最新的贷款核销后清收状态。</t>
  </si>
  <si>
    <t>收回员工号</t>
  </si>
  <si>
    <t>SHYGH</t>
  </si>
  <si>
    <t>70219</t>
  </si>
  <si>
    <t>对于多次收回的情况，填报最近一次收回的员工号。无收回员工号的允许为空值。关联数据项：员工表.工号。</t>
  </si>
  <si>
    <t>HXZT</t>
  </si>
  <si>
    <t>70220</t>
  </si>
  <si>
    <t>根据财政部2017年《金融企业呆账核销管理办法》规定，符合规定完全终结的信贷资产可填报为“完全终结”。通过各种手段处置已核销资产结清欠款或已无追索权的，也视为“完全终结”</t>
  </si>
  <si>
    <t>70221</t>
  </si>
  <si>
    <t>70222</t>
  </si>
  <si>
    <t>703</t>
  </si>
  <si>
    <t>70301</t>
  </si>
  <si>
    <t>70302</t>
  </si>
  <si>
    <t>70303</t>
  </si>
  <si>
    <t>70304</t>
  </si>
  <si>
    <t>70305</t>
  </si>
  <si>
    <t>DKZQBH</t>
  </si>
  <si>
    <t>70306</t>
  </si>
  <si>
    <t>70307</t>
  </si>
  <si>
    <t>70308</t>
  </si>
  <si>
    <t>如展期后分配新合同号的，按照原合同号填写。关联数据项：信贷合同表.信贷合同号</t>
  </si>
  <si>
    <t>70309</t>
  </si>
  <si>
    <t>增加备注说明、调整数据项位置</t>
  </si>
  <si>
    <t>70310</t>
  </si>
  <si>
    <t>展期金额</t>
  </si>
  <si>
    <t>ZQJE</t>
  </si>
  <si>
    <t>70311</t>
  </si>
  <si>
    <t>展期日期</t>
  </si>
  <si>
    <t>ZQRQ</t>
  </si>
  <si>
    <t>70312</t>
  </si>
  <si>
    <t>展期到期日期</t>
  </si>
  <si>
    <t>ZQDQRQ</t>
  </si>
  <si>
    <t>70313</t>
  </si>
  <si>
    <t>70314</t>
  </si>
  <si>
    <t>若无利率类型业务，该字段允许为空。</t>
  </si>
  <si>
    <t>数据元说明，备注</t>
  </si>
  <si>
    <t>原利率</t>
  </si>
  <si>
    <t>YLL</t>
  </si>
  <si>
    <t>70315</t>
  </si>
  <si>
    <t>展期利率</t>
  </si>
  <si>
    <t>ZQLL</t>
  </si>
  <si>
    <t>70316</t>
  </si>
  <si>
    <t>70317</t>
  </si>
  <si>
    <t>指受理该笔业务的客户经理工号，自动办理的员工号允许为空。关联数据项：员工表.工号。</t>
  </si>
  <si>
    <t>70318</t>
  </si>
  <si>
    <t>70319</t>
  </si>
  <si>
    <t>704</t>
  </si>
  <si>
    <t>70401</t>
  </si>
  <si>
    <t>填报办理转让的银行机构。关联数据项：机构信息表.银行机构代码</t>
  </si>
  <si>
    <t>70402</t>
  </si>
  <si>
    <t>填报办理转让的银行机构。关联数据项：机构信息表.金融许可证号</t>
  </si>
  <si>
    <t>70403</t>
  </si>
  <si>
    <t>填报办理转让的银行机构。关联数据项：机构信息表.内部机构号。</t>
  </si>
  <si>
    <t>转让合同号</t>
  </si>
  <si>
    <t>ZRHTH</t>
  </si>
  <si>
    <t>70404</t>
  </si>
  <si>
    <t>PK。信贷资产转让交易签署的合同编号，并非转让的贷款合同号，信贷资产证券化业务填写信托合同编号。</t>
  </si>
  <si>
    <t>资产转让方向</t>
  </si>
  <si>
    <t>ZCZRFX</t>
  </si>
  <si>
    <t>70405</t>
  </si>
  <si>
    <t>资产转让方式</t>
  </si>
  <si>
    <t>ZCZRFS</t>
  </si>
  <si>
    <t>70406</t>
  </si>
  <si>
    <t>转让价款入账账号</t>
  </si>
  <si>
    <t>ZRJKRZZH</t>
  </si>
  <si>
    <t>70407</t>
  </si>
  <si>
    <t>转让价款入账账户名称</t>
  </si>
  <si>
    <t>ZRJKRZMC</t>
  </si>
  <si>
    <t>70408</t>
  </si>
  <si>
    <t>70409</t>
  </si>
  <si>
    <t>对于ABS产品，直接交易对手是受托机构（信托）。如果交易对手为个人，则为隐私，银行机构变形，变形规则见《采集技术接口说明》。如果为境内涉密机构的，填报为“*********”。其他情况，则为非隐私，不做变形。</t>
  </si>
  <si>
    <t>交易对手账号</t>
  </si>
  <si>
    <t>JYDSZZZH</t>
  </si>
  <si>
    <t>70410</t>
  </si>
  <si>
    <t>交易对手支付对价的账号，如果为第三方支付交易，则填报第三方支付账号。如有多个转账账户的，填写首笔转账的账户。</t>
  </si>
  <si>
    <t>交易对手开户行名称</t>
  </si>
  <si>
    <t>JYDSKHHMC</t>
  </si>
  <si>
    <t>70411</t>
  </si>
  <si>
    <t>交易对手的开户行名称，如果为第三方支付交易，则填报第三方支付平台名称。如果有多个转账账户的，填写首笔转账的账户。</t>
  </si>
  <si>
    <t>70412</t>
  </si>
  <si>
    <t>转让贷款本金总额</t>
  </si>
  <si>
    <t>ZRDKBJZE</t>
  </si>
  <si>
    <t>70413</t>
  </si>
  <si>
    <t>对于已核销贷款填核销前未偿本金总额。对于ABS产品填报按照合同约定转让给信托的底层资产未偿本金金额。</t>
  </si>
  <si>
    <t>转让贷款利息总额</t>
  </si>
  <si>
    <t>ZRDKLXZE</t>
  </si>
  <si>
    <t>70414</t>
  </si>
  <si>
    <t>对于已核销贷款填核销前应收利息总额。对于ABS产品填报按照合同约定转让给信托的底层资产利息总和。</t>
  </si>
  <si>
    <t>转让总价</t>
  </si>
  <si>
    <t>ZRZJ</t>
  </si>
  <si>
    <t>70415</t>
  </si>
  <si>
    <t>信贷资产转让交易中交易对手所支付的对价。</t>
  </si>
  <si>
    <t>转让合同起始日期</t>
  </si>
  <si>
    <t>ZRHTQSRQ</t>
  </si>
  <si>
    <t>70416</t>
  </si>
  <si>
    <t>填报资产转让交割日期，在ABS交易中转让合同起始日期为信托设立日。</t>
  </si>
  <si>
    <t>转让合同到期日期</t>
  </si>
  <si>
    <t>ZRHTDQRQ</t>
  </si>
  <si>
    <t>70417</t>
  </si>
  <si>
    <t>转让合同到期日期。不涉及合同到期日的填报转让交割日期。</t>
  </si>
  <si>
    <t>交易对手转账日期</t>
  </si>
  <si>
    <t>JYDSZRRQ</t>
  </si>
  <si>
    <t>70418</t>
  </si>
  <si>
    <t>如果有多次转账的，填报首笔转让价款转入日期，非定金日期。</t>
  </si>
  <si>
    <t>交易对手已支付金额</t>
  </si>
  <si>
    <t>JYDSYZFJE</t>
  </si>
  <si>
    <t>70419</t>
  </si>
  <si>
    <t>截至报送日已经支付的金额。</t>
  </si>
  <si>
    <t>70420</t>
  </si>
  <si>
    <t>ABS回购不填，不涉及回购的可以为空。</t>
  </si>
  <si>
    <t>70421</t>
  </si>
  <si>
    <t>70422</t>
  </si>
  <si>
    <t>70423</t>
  </si>
  <si>
    <t>如没有保证金，可以为空。多个保证金币种统一按一种币种转换合计报送。</t>
  </si>
  <si>
    <t>70424</t>
  </si>
  <si>
    <t>如没有保证金，填写默认值0。多个保证金币种统一按一种币种转换合计报送。</t>
  </si>
  <si>
    <t>ZRJYPT</t>
  </si>
  <si>
    <t>70425</t>
  </si>
  <si>
    <t>与1104报表G34《信贷资产转让情况统计表》[二、交易平台]填报口径一致。</t>
  </si>
  <si>
    <t>是否在银登中心登记</t>
  </si>
  <si>
    <t>SFZYDZXDJ</t>
  </si>
  <si>
    <t>70426</t>
  </si>
  <si>
    <t>与1104报表G34《信贷资产转让情况统计表》[三、登记平台]填报口径一致。</t>
  </si>
  <si>
    <t>转让合同状态</t>
  </si>
  <si>
    <t>ZRHTZT</t>
  </si>
  <si>
    <t>70427</t>
  </si>
  <si>
    <t>按照转让合同履约，完全收到转让价款后，视为转让合同终结。</t>
  </si>
  <si>
    <t>70428</t>
  </si>
  <si>
    <t>70429</t>
  </si>
  <si>
    <t>705</t>
  </si>
  <si>
    <t>70501</t>
  </si>
  <si>
    <t>关联数据项：机构信息表.银行机构代码。填借据机构的人行支付行号</t>
  </si>
  <si>
    <t>70502</t>
  </si>
  <si>
    <t>70503</t>
  </si>
  <si>
    <t>关联数据项：机构信息表.内部机构号。填写信贷借据机构对应的内部机构号</t>
  </si>
  <si>
    <t>70504</t>
  </si>
  <si>
    <t>信贷资产转让交易签署的合同编号，并非转让的贷款合同号，信贷资产证券化业务填写信托合同编号。</t>
  </si>
  <si>
    <t>70505</t>
  </si>
  <si>
    <t>70506</t>
  </si>
  <si>
    <t>PK。如信贷资产类型为信用卡，以信用卡账号填报为借据号。关联数据项：个人信贷业务借据.信贷借据号 or 对公信贷业务借据.信贷借据号 or 信用卡信息.信用卡账号。</t>
  </si>
  <si>
    <t>转让贷款本金</t>
  </si>
  <si>
    <t>ZRDKBJ</t>
  </si>
  <si>
    <t>70507</t>
  </si>
  <si>
    <t>填写该条借据转让前本金余额。对于已核销贷款填核销前未偿本金金额。对于ABS产品填报按照合同约定转让给信托的底层资产未偿本金金额。</t>
  </si>
  <si>
    <t>转让贷款利息</t>
  </si>
  <si>
    <t>ZRDKLX</t>
  </si>
  <si>
    <t>70508</t>
  </si>
  <si>
    <t>填写该条借据转让前利息余额。对于已核销贷款填核销前应收利息金额。对于ABS产品填报按照合同约定转让给信托的底层资产利息金额。</t>
  </si>
  <si>
    <t>70509</t>
  </si>
  <si>
    <t>70510</t>
  </si>
  <si>
    <t>706</t>
  </si>
  <si>
    <t>70601</t>
  </si>
  <si>
    <t>70602</t>
  </si>
  <si>
    <t>70603</t>
  </si>
  <si>
    <t>70604</t>
  </si>
  <si>
    <t>70605</t>
  </si>
  <si>
    <t>70606</t>
  </si>
  <si>
    <t>70607</t>
  </si>
  <si>
    <t>70608</t>
  </si>
  <si>
    <t>调整日期</t>
  </si>
  <si>
    <t>TZRQ</t>
  </si>
  <si>
    <t>70609</t>
  </si>
  <si>
    <t>原五级分类</t>
  </si>
  <si>
    <t>YWJFL</t>
  </si>
  <si>
    <t>70610</t>
  </si>
  <si>
    <t>新五级分类</t>
  </si>
  <si>
    <t>XWJFL</t>
  </si>
  <si>
    <t>70611</t>
  </si>
  <si>
    <t>BDYY</t>
  </si>
  <si>
    <t>70612</t>
  </si>
  <si>
    <t>发生贷款五级形态变动的原因，例如“贷款回收”、“贷款转让”、“贷款核销”等。可填报“贷款回收”、“贷款转让”、“贷款核销”、“系统自动评定”等。</t>
  </si>
  <si>
    <t>BDFS</t>
  </si>
  <si>
    <t>70613</t>
  </si>
  <si>
    <t>JBGYH</t>
  </si>
  <si>
    <t>70614</t>
  </si>
  <si>
    <t>经办员工的员工号，自动变动的员工号允许为空。关联数据项：员工表.工号。</t>
  </si>
  <si>
    <t>70615</t>
  </si>
  <si>
    <t>70616</t>
  </si>
  <si>
    <t>801</t>
  </si>
  <si>
    <t>80101</t>
  </si>
  <si>
    <t>填报信用卡归属的银行机构。关联数据项：机构信息表.银行机构代码。</t>
  </si>
  <si>
    <t>80102</t>
  </si>
  <si>
    <t>填报信用卡归属的银行机构。关联数据项：机构信息表.金融许可证号</t>
  </si>
  <si>
    <t>80103</t>
  </si>
  <si>
    <t>填报信用卡归属的银行机构。关联数据项：机构信息表.内部机构号。</t>
  </si>
  <si>
    <t>80104</t>
  </si>
  <si>
    <t>填报信用卡归属的银行机构。关联数据项：机构信息表.银行机构名称。</t>
  </si>
  <si>
    <t>80105</t>
  </si>
  <si>
    <t>关联数据项：个人基础信息.客户统一编号</t>
  </si>
  <si>
    <t>80106</t>
  </si>
  <si>
    <t>关联数据项：个人基础信息.客户姓名</t>
  </si>
  <si>
    <t>80107</t>
  </si>
  <si>
    <t>80108</t>
  </si>
  <si>
    <t>信用卡账号</t>
  </si>
  <si>
    <t>XYKZH</t>
  </si>
  <si>
    <t>80109</t>
  </si>
  <si>
    <t>PK。以信用卡账户维度填报，多个账号填写多条记录。</t>
  </si>
  <si>
    <t>80110</t>
  </si>
  <si>
    <t>80111</t>
  </si>
  <si>
    <t>KPMC</t>
  </si>
  <si>
    <t>80112</t>
  </si>
  <si>
    <t>KPJB</t>
  </si>
  <si>
    <t>80113</t>
  </si>
  <si>
    <t>卡组织名称</t>
  </si>
  <si>
    <t>KZZMC</t>
  </si>
  <si>
    <t>80114</t>
  </si>
  <si>
    <t>包含本卡所有可用组织通道，主要通道在前，填写信用卡组织的规范简称，如银联、VISA等。使用英文半角/隔开 原字段名：客户最后交易日期</t>
  </si>
  <si>
    <t>FKQD</t>
  </si>
  <si>
    <t>80115</t>
  </si>
  <si>
    <t>填写持卡人申请该张卡片的渠道。</t>
  </si>
  <si>
    <t>80116</t>
  </si>
  <si>
    <t>KKYGH</t>
  </si>
  <si>
    <t>80117</t>
  </si>
  <si>
    <t>指激活生效的柜员号，关联数据项：柜员表.柜员号。自动办理的柜员号允许为空。</t>
  </si>
  <si>
    <t>80118</t>
  </si>
  <si>
    <t>附属卡标志</t>
  </si>
  <si>
    <t>FSKBZ</t>
  </si>
  <si>
    <t>80119</t>
  </si>
  <si>
    <t>主卡号</t>
  </si>
  <si>
    <t>ZKH</t>
  </si>
  <si>
    <t>80120</t>
  </si>
  <si>
    <t>主卡填本身卡号，卡片为附属卡时不能为空</t>
  </si>
  <si>
    <t>80121</t>
  </si>
  <si>
    <t>DBSM</t>
  </si>
  <si>
    <t>80122</t>
  </si>
  <si>
    <t>担保类型不为“信用”时，此项必填。以质押或抵押办理大额信用卡的业务，需在本数据项中具体说明。</t>
  </si>
  <si>
    <t>年费标志</t>
  </si>
  <si>
    <t>NFBZ</t>
  </si>
  <si>
    <t>80123</t>
  </si>
  <si>
    <t>本币信用额度</t>
  </si>
  <si>
    <t>BBXYED</t>
  </si>
  <si>
    <t>80124</t>
  </si>
  <si>
    <t>如卡号额度与信用卡账户额度共享的，填写信用卡账户总额度；卡号额度独立的填写该卡号额度</t>
  </si>
  <si>
    <t>外币币种</t>
  </si>
  <si>
    <t>WBBZ</t>
  </si>
  <si>
    <t>80125</t>
  </si>
  <si>
    <t>填写主要币种，一般由信用卡组织确定。</t>
  </si>
  <si>
    <t>外币信用额度</t>
  </si>
  <si>
    <t>WBXYED</t>
  </si>
  <si>
    <t>80126</t>
  </si>
  <si>
    <t>本币授信余额</t>
  </si>
  <si>
    <t>BBSXYE</t>
  </si>
  <si>
    <t>80127</t>
  </si>
  <si>
    <t>本币可用额度。</t>
  </si>
  <si>
    <t>外币授信余额</t>
  </si>
  <si>
    <t>WBSXYE</t>
  </si>
  <si>
    <t>80128</t>
  </si>
  <si>
    <t>外币可用余额。</t>
  </si>
  <si>
    <t>最后动户交易日期</t>
  </si>
  <si>
    <t>ZHDHJYRQ</t>
  </si>
  <si>
    <t>80129</t>
  </si>
  <si>
    <t>销卡日期</t>
  </si>
  <si>
    <t>XKRQ</t>
  </si>
  <si>
    <t>80130</t>
  </si>
  <si>
    <t>信用卡销卡的日期。卡片状态正常时，填默认值。</t>
  </si>
  <si>
    <t>销卡柜员号</t>
  </si>
  <si>
    <t>XKYGH</t>
  </si>
  <si>
    <t>80131</t>
  </si>
  <si>
    <t>指办理销卡的柜员号，关联数据项：柜员表.柜员号。自动办理的柜员号允许为空。</t>
  </si>
  <si>
    <t>80132</t>
  </si>
  <si>
    <t>80133</t>
  </si>
  <si>
    <t>802</t>
  </si>
  <si>
    <t>80201</t>
  </si>
  <si>
    <t>80202</t>
  </si>
  <si>
    <t>80203</t>
  </si>
  <si>
    <t>80204</t>
  </si>
  <si>
    <t>80205</t>
  </si>
  <si>
    <t>80206</t>
  </si>
  <si>
    <t>80207</t>
  </si>
  <si>
    <t>80208</t>
  </si>
  <si>
    <t>如包含个人身份证件号码，则为隐私，银行机构需做变形，变形规则见《采集技术接口说明》。关联数据项：个人基础信息.客户统一编号 或对公客户.客户统一编号</t>
  </si>
  <si>
    <t>80209</t>
  </si>
  <si>
    <t>80210</t>
  </si>
  <si>
    <t>持卡人证件类别</t>
  </si>
  <si>
    <t>80211</t>
  </si>
  <si>
    <t>持卡人证件号码。隐私，银行机构变形。变形规则见《采集技术接口说明》。</t>
  </si>
  <si>
    <t>数据项名称、数据项代码、格式</t>
  </si>
  <si>
    <t>80212</t>
  </si>
  <si>
    <t>关联数据项：信用卡信息.信用卡账号</t>
  </si>
  <si>
    <t>80213</t>
  </si>
  <si>
    <t>PK。关联数据项：信用卡信息.卡号</t>
  </si>
  <si>
    <t>KPJYLX</t>
  </si>
  <si>
    <t>80214</t>
  </si>
  <si>
    <t>无法以枚举类型填报的，以“XX”报送，其中“XX”为银行自定义类型。“现金交易”包括如现金借款、ATM取现等非消费类交易。“转账交易”主要针对贷记卡及准贷记卡的转账交易。退换类交易包含在“消费交易”。</t>
  </si>
  <si>
    <t>80215</t>
  </si>
  <si>
    <t>80216</t>
  </si>
  <si>
    <t>PK。填刷卡日期，对于余额结转记录为余额结转日期。</t>
  </si>
  <si>
    <t>80217</t>
  </si>
  <si>
    <t>80218</t>
  </si>
  <si>
    <t>该笔交易的币种。</t>
  </si>
  <si>
    <t>80219</t>
  </si>
  <si>
    <t>80220</t>
  </si>
  <si>
    <t>本笔交易时点完成后该时点的账户余额。存在溢缴款时账户余额为正，其他时候账户为负。</t>
  </si>
  <si>
    <t>80221</t>
  </si>
  <si>
    <t>客户往账业务对应传票上记载的最终交易对手信息。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消费、退货、计提利息、计提手续费、手工调账等交易，交易对手填实际转入或转出的外部账户或内部分户账，并在摘要中注明交易类型，不可为空。</t>
  </si>
  <si>
    <t>80222</t>
  </si>
  <si>
    <t>交易对手的开户名称。若交易对手为个人，则为隐私，银行机构变形，填写个人姓名最后一个字。其他情况则为非隐私，不做变形。
1. 交易标志为“线上”时，交易对手信息必填；交易标志为“线下”，交易渠道为“POS”时，交易对手信息必填。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</si>
  <si>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80223</t>
  </si>
  <si>
    <t>交易对手的银行机构代码。
1. 交易对手为境外账户时，对方行号可填SWIFT编码。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</si>
  <si>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80224</t>
  </si>
  <si>
    <t>交易对手的银行机构名称。
1. 交易对手为境外账户时，对方行名可填报英文名称。
2. 该笔明细交易是转账交易的，对方账号和对方户名必须填实际收款人，不可填中间过渡账户或清算账户。
3. 交易对手是第三方支付平台账号的，对方账号填报为交易对手第三方支付账号，对方户名填报为交易对手的第三方支付户名，对方行名填报为第三方支付平台名称，对方行号允许为空。
4. 对于代收、代扣、代缴等交易的，对方账号和对方户名必须填实际收款人，不可填中间过渡账户或清算账户；对于代发等代付业务，交易对手为多个的，允许交易对手可以登记为中间过渡账户。
5. 对方账号与对方户名必须一致，对应同一实体。
6. 若对方账户是境内银行机构开立的账户，则对方行号必须是12位人行支付行号，对方行名必须是与人行支付行号对应的银行机构名称。分支机构如没有人行支付行号，可填写最近的上一级管理机构支付行号。各行应从官方渠道获得一份官方发布的人行支付行号及行名字典表，确保对方行号填写的人行支付行号与对方行名保持一致。
7. 消费、退货、计提利息、计提手续费、手工调账等交易，交易对手填实际转入或转出的外部账户或内部分户账，并在摘要中注明，不可为空。</t>
  </si>
  <si>
    <t>80225</t>
  </si>
  <si>
    <t>指持卡人实际支付的商户编号，不仅包括银行自有商户编号，第三方支付机构收单对应的交易也需填报商户编号。若不涉及商户，允许为空。</t>
  </si>
  <si>
    <t>80226</t>
  </si>
  <si>
    <t>指持卡人实际支付的商户名称。若不涉及商户，可以为空。</t>
  </si>
  <si>
    <t>80227</t>
  </si>
  <si>
    <t>XSXXJYBZ</t>
  </si>
  <si>
    <t>80228</t>
  </si>
  <si>
    <t>线下交易包括POS机刷卡，自助机取现等交易，线上交易包括网上银行、手机支付、二维码支付等交易。</t>
  </si>
  <si>
    <t>80229</t>
  </si>
  <si>
    <t>80230</t>
  </si>
  <si>
    <t>交易账单日期</t>
  </si>
  <si>
    <t>JYZDRQ</t>
  </si>
  <si>
    <t>80231</t>
  </si>
  <si>
    <t>填写该笔交易的最迟还款日期。如果交易借贷标志为借，填报交易后最近的账单出账日期。如果交易借贷标志为贷，填报还款交易前最近的一个账单日。</t>
  </si>
  <si>
    <t>最迟还款日期</t>
  </si>
  <si>
    <t>ZCHKRQ</t>
  </si>
  <si>
    <t>80232</t>
  </si>
  <si>
    <t>填写该笔交易的最迟还款日期。如果交易借贷标志为借，填报交易后的最迟还款日期。如果交易借贷标志为贷，填报还款交易前最近的一个最迟还款日。</t>
  </si>
  <si>
    <t>分期付款标志</t>
  </si>
  <si>
    <t>FQFKBZ</t>
  </si>
  <si>
    <t>80233</t>
  </si>
  <si>
    <t>填报为：“是”或“否”</t>
  </si>
  <si>
    <t>80234</t>
  </si>
  <si>
    <t>80235</t>
  </si>
  <si>
    <t>若交易渠道为商户POS，填报刷卡终端的IP地址。若交易渠道为网银、手机银行，填写交易发起终端的IP地址。其他情况允许为空。</t>
  </si>
  <si>
    <t>80236</t>
  </si>
  <si>
    <t>若交易渠道为商户POS，填报刷卡终端的设备地址。若交易渠道为网银、手机银行，需填写交易发起终端的设备地址。其他情况允许为空。</t>
  </si>
  <si>
    <t>80237</t>
  </si>
  <si>
    <t>80238</t>
  </si>
  <si>
    <t>803</t>
  </si>
  <si>
    <t>表名，备注</t>
  </si>
  <si>
    <t>80301</t>
  </si>
  <si>
    <t>80302</t>
  </si>
  <si>
    <t>填报客户归属的银行机构。关联数据项：机构信息表.金融许可证号</t>
  </si>
  <si>
    <t>80303</t>
  </si>
  <si>
    <t>80304</t>
  </si>
  <si>
    <t>80305</t>
  </si>
  <si>
    <t>PK。关联数据项：个人基础信息.客户统一编号 或 对公客户.客户统一编号。</t>
  </si>
  <si>
    <t>80306</t>
  </si>
  <si>
    <t>80307</t>
  </si>
  <si>
    <t>持卡人证件类别。</t>
  </si>
  <si>
    <t>80308</t>
  </si>
  <si>
    <t>持卡人若为个人客户，则证件号码为隐私，银行机构变形，变形规则见《采集技术接口说明》。若为对公客户，则不做变形。</t>
  </si>
  <si>
    <t>80309</t>
  </si>
  <si>
    <t>PK。以账号维度填报，多个账号填多条记录。</t>
  </si>
  <si>
    <t>80310</t>
  </si>
  <si>
    <t>80311</t>
  </si>
  <si>
    <t>同一账户多个币种共享额度的，按结算币种统一折算填报。</t>
  </si>
  <si>
    <t>80312</t>
  </si>
  <si>
    <t>截止数据采集时点的账户余额。存在溢缴款时账户余额为正，其他时候账户为负或0。同一账户多个币种共享额度的，按记账币种统一折算填报。</t>
  </si>
  <si>
    <t>当前授信额度</t>
  </si>
  <si>
    <t>DQSXED</t>
  </si>
  <si>
    <t>80313</t>
  </si>
  <si>
    <t>以账户维度填写该账户下总额度，包含临时额度</t>
  </si>
  <si>
    <t>其中临时额度</t>
  </si>
  <si>
    <t>QZLSED</t>
  </si>
  <si>
    <t>80314</t>
  </si>
  <si>
    <t>临时额度是指以各类形式向客户明示的固定额度以外的额度，临时额度既包括临时性取现或消费额度，也包括授信时有效期确定的专项分期额度。向客户明示的方式包括但不限于网络展示、电话、短信通知等，即使客户并未实际启用该额度，一旦客户获知该额度存在，则有效期内该额度也应计算在临时额度中。</t>
  </si>
  <si>
    <t>透支金额</t>
  </si>
  <si>
    <t>TZJE</t>
  </si>
  <si>
    <t>80315</t>
  </si>
  <si>
    <t>填报客户当前尚未偿还的本金，不含利息。</t>
  </si>
  <si>
    <t>其中分期余额</t>
  </si>
  <si>
    <t>QZFQYE</t>
  </si>
  <si>
    <t>80316</t>
  </si>
  <si>
    <t>以账户维度填写该账户下分期余额。</t>
  </si>
  <si>
    <t>冻结金额</t>
  </si>
  <si>
    <t>DJYE</t>
  </si>
  <si>
    <t>80317</t>
  </si>
  <si>
    <t>根据业务实际情况，无冻结情况的可以不填。</t>
  </si>
  <si>
    <t>当前授信余额</t>
  </si>
  <si>
    <t>DQSXYE</t>
  </si>
  <si>
    <t>80318</t>
  </si>
  <si>
    <t>以账户维度填写该账户下可用的授信余额。当前授信余额=当前授信额度-透支金额</t>
  </si>
  <si>
    <t>逾期金额</t>
  </si>
  <si>
    <t>YQJE</t>
  </si>
  <si>
    <t>80319</t>
  </si>
  <si>
    <t>逾期未还本金之和。</t>
  </si>
  <si>
    <t>逾期日期</t>
  </si>
  <si>
    <t>YQRQ</t>
  </si>
  <si>
    <t>80320</t>
  </si>
  <si>
    <t>如未逾期或已归还，填报默认值99991231。</t>
  </si>
  <si>
    <t>应收利息</t>
  </si>
  <si>
    <t>YSLX</t>
  </si>
  <si>
    <t>80321</t>
  </si>
  <si>
    <t>填报客户当前未偿还的累计利息。包含滞纳金、罚息及利息。</t>
  </si>
  <si>
    <t>五级分类</t>
  </si>
  <si>
    <t>WJFL</t>
  </si>
  <si>
    <t>80322</t>
  </si>
  <si>
    <t>当月累计交易笔数</t>
  </si>
  <si>
    <t>DYLJJYBS</t>
  </si>
  <si>
    <t>80323</t>
  </si>
  <si>
    <t>报送自然月（1-31日）累计笔数，非账单月累计笔数。</t>
  </si>
  <si>
    <t>当月累计透支金额</t>
  </si>
  <si>
    <t>DYLJTZJE</t>
  </si>
  <si>
    <t>80324</t>
  </si>
  <si>
    <t>报送自然月（1-31日）发生的透支金额总和，不计算客户还款扣减，非账单月累计透支金额。</t>
  </si>
  <si>
    <t>本月累计消费金额</t>
  </si>
  <si>
    <t>BYLJXFJE</t>
  </si>
  <si>
    <t>80325</t>
  </si>
  <si>
    <t>报送自然月（1-31日）发生的消费金额总和，不计算客户还款扣减，非账单月累计消费金额。</t>
  </si>
  <si>
    <t>本月累计取现转账金额</t>
  </si>
  <si>
    <t>BYLJQXZZJE</t>
  </si>
  <si>
    <t>80326</t>
  </si>
  <si>
    <t>报送自然月（1-31日）发生的取现及转账金额总和，不计算客户还款扣减，非账单月累计金额。</t>
  </si>
  <si>
    <t>本月累计分期交易金额</t>
  </si>
  <si>
    <t>BYLJFQJYJE</t>
  </si>
  <si>
    <t>80327</t>
  </si>
  <si>
    <t>报送自然月（1-31日）累计分期金额，非账单月累计金额。</t>
  </si>
  <si>
    <t>本月累计收入</t>
  </si>
  <si>
    <t>BYLJSR</t>
  </si>
  <si>
    <t>80328</t>
  </si>
  <si>
    <t>报送自然月（1-31日）累计收入，非账单月累计收入。</t>
  </si>
  <si>
    <t>最近征信查询日期</t>
  </si>
  <si>
    <t>ZXZJCXRQ</t>
  </si>
  <si>
    <t>80329</t>
  </si>
  <si>
    <t>填报最近一次在人行征信系统查询授信情况的日期。</t>
  </si>
  <si>
    <t>数据项、备注</t>
  </si>
  <si>
    <t>已有信用卡发卡银行数</t>
  </si>
  <si>
    <t>YYXYKFKHS</t>
  </si>
  <si>
    <t>80330</t>
  </si>
  <si>
    <t>最近一次人行征信系统查询时，客户已有他行发卡行数。</t>
  </si>
  <si>
    <t>已有他行授信金额</t>
  </si>
  <si>
    <t>YYTHSXJE</t>
  </si>
  <si>
    <t>80331</t>
  </si>
  <si>
    <t>填报最近一次人行征信系统查询时，客户已有他行授信总金额。</t>
  </si>
  <si>
    <t>最近新增授信日期</t>
  </si>
  <si>
    <t>ZJXZSXRQ</t>
  </si>
  <si>
    <t>80332</t>
  </si>
  <si>
    <t>最近一次新增授信的日期，如未新增授信填报发卡核定授信日期。</t>
  </si>
  <si>
    <t>新增授信类型</t>
  </si>
  <si>
    <t>XZSXLX</t>
  </si>
  <si>
    <t>80333</t>
  </si>
  <si>
    <t>最近一次新增授信的类型，包括新发卡授信，但不包括新发卡客户授信额度不变的情况。</t>
  </si>
  <si>
    <t>80334</t>
  </si>
  <si>
    <t>80335</t>
  </si>
  <si>
    <t>804</t>
  </si>
  <si>
    <t>80401</t>
  </si>
  <si>
    <t>80402</t>
  </si>
  <si>
    <t>80403</t>
  </si>
  <si>
    <t>80404</t>
  </si>
  <si>
    <t>分期业务编号</t>
  </si>
  <si>
    <t>FQYWBH</t>
  </si>
  <si>
    <t>80405</t>
  </si>
  <si>
    <t>PK。标注该笔分期的唯一业务编号。</t>
  </si>
  <si>
    <t>80406</t>
  </si>
  <si>
    <t>PK,如包含个人身份证件号码，则为隐私，银行机构需做变形，变形规则见《采集技术接口说明》。关联数据项：个人基础信息.客户姓名 或 对公客户.客户名称。</t>
  </si>
  <si>
    <t>80407</t>
  </si>
  <si>
    <t>80408</t>
  </si>
  <si>
    <t>80409</t>
  </si>
  <si>
    <t>80410</t>
  </si>
  <si>
    <t>FQJYLX</t>
  </si>
  <si>
    <t>80411</t>
  </si>
  <si>
    <t>“普通分期”指账单分期等循环额度内分期。“专项分期”指家装分期、汽车分期等专项审批额度的分期。“总额”指多笔信用卡交易合并为一笔分期的情况，“单笔”指单笔信用卡交易进行分期的情况。</t>
  </si>
  <si>
    <t>FQYWLX</t>
  </si>
  <si>
    <t>80412</t>
  </si>
  <si>
    <t>办理分期日期</t>
  </si>
  <si>
    <t>BLFQRQ</t>
  </si>
  <si>
    <t>80413</t>
  </si>
  <si>
    <t>办理分期时间</t>
  </si>
  <si>
    <t>BLFQSJ</t>
  </si>
  <si>
    <t>80414</t>
  </si>
  <si>
    <t>80415</t>
  </si>
  <si>
    <t>分期总额度</t>
  </si>
  <si>
    <t>FQZED</t>
  </si>
  <si>
    <t>80416</t>
  </si>
  <si>
    <t>专项分期指该笔专项分期的额度，对于其他循环信用分期，指该客户可用于办理分期的总额度。</t>
  </si>
  <si>
    <t>可用分期额度</t>
  </si>
  <si>
    <t>KYFQED</t>
  </si>
  <si>
    <t>80417</t>
  </si>
  <si>
    <t>办理分期时可用的分期额度。</t>
  </si>
  <si>
    <t>分期金额</t>
  </si>
  <si>
    <t>FQJE</t>
  </si>
  <si>
    <t>80418</t>
  </si>
  <si>
    <t>普通账单分期填写办理分期时实际参与分期的金额。专项分期填写截止报送日客户实际支取的金额。</t>
  </si>
  <si>
    <t>分期利率</t>
  </si>
  <si>
    <t>FQLL</t>
  </si>
  <si>
    <t>80419</t>
  </si>
  <si>
    <t>填报分期实际年化利率。</t>
  </si>
  <si>
    <t>分期期数</t>
  </si>
  <si>
    <t>FQQS</t>
  </si>
  <si>
    <t>80420</t>
  </si>
  <si>
    <t>80421</t>
  </si>
  <si>
    <t>80422</t>
  </si>
  <si>
    <t>人行资产负债项目统计月报</t>
  </si>
  <si>
    <t>901</t>
  </si>
  <si>
    <t>JRJGDM</t>
  </si>
  <si>
    <t>90101</t>
  </si>
  <si>
    <t>删除备注</t>
  </si>
  <si>
    <t>90102</t>
  </si>
  <si>
    <t>90103</t>
  </si>
  <si>
    <t>TJKMBH</t>
  </si>
  <si>
    <t>90104</t>
  </si>
  <si>
    <t>PK。若为外币，则报送外币折美元的编号。</t>
  </si>
  <si>
    <t>TJKMMC</t>
  </si>
  <si>
    <t>90105</t>
  </si>
  <si>
    <t>统计科目金额</t>
  </si>
  <si>
    <t>TJKMJE</t>
  </si>
  <si>
    <t>90106</t>
  </si>
  <si>
    <t>QXLX</t>
  </si>
  <si>
    <t>90107</t>
  </si>
  <si>
    <t>统计日期</t>
  </si>
  <si>
    <t>TJRQ</t>
  </si>
  <si>
    <t>90108</t>
  </si>
  <si>
    <t>90109</t>
  </si>
  <si>
    <t>DQMC</t>
  </si>
  <si>
    <t>90110</t>
  </si>
  <si>
    <t>90111</t>
  </si>
  <si>
    <t>90112</t>
  </si>
  <si>
    <t>90113</t>
  </si>
  <si>
    <t>0010</t>
  </si>
  <si>
    <t>因新增票据贴现和转贴现表，该表仅报送开票信息</t>
  </si>
  <si>
    <t>100101</t>
  </si>
  <si>
    <t>填报出票的银行机构。关联数据项：机构信息表.银行机构代码。填开出票据行的银行机构代码</t>
  </si>
  <si>
    <t>100102</t>
  </si>
  <si>
    <t>填报出票的银行机构。关联数据项：机构信息表.金融许可证号</t>
  </si>
  <si>
    <t>100103</t>
  </si>
  <si>
    <t>填报出票的银行机构。关联数据项：机构信息表.内部机构号。填写开出票据行的内部机构号。</t>
  </si>
  <si>
    <t>100104</t>
  </si>
  <si>
    <t>填报出票的银行机构。关联数据项：机构信息表.银行机构名称</t>
  </si>
  <si>
    <t>100105</t>
  </si>
  <si>
    <t>100106</t>
  </si>
  <si>
    <t>100107</t>
  </si>
  <si>
    <t>100108</t>
  </si>
  <si>
    <t>100109</t>
  </si>
  <si>
    <t>100110</t>
  </si>
  <si>
    <t>100111</t>
  </si>
  <si>
    <t>100112</t>
  </si>
  <si>
    <t>CPRBH</t>
  </si>
  <si>
    <t>100113</t>
  </si>
  <si>
    <t>100114</t>
  </si>
  <si>
    <t>如果出票人为个人客户，则为隐私，银行机构变形，变形规则见《采集技术接口说明》。如果出票人为对公客户，则为非隐私，不做变形。</t>
  </si>
  <si>
    <t>出票人账号</t>
  </si>
  <si>
    <t>CPRZH</t>
  </si>
  <si>
    <t>100115</t>
  </si>
  <si>
    <t>填报票面上的出票人账号，优先填报外部账号。</t>
  </si>
  <si>
    <t>出票人开户行名称</t>
  </si>
  <si>
    <t>CPRKHHMC</t>
  </si>
  <si>
    <t>100116</t>
  </si>
  <si>
    <t>受益人名称</t>
  </si>
  <si>
    <t>SYRMC</t>
  </si>
  <si>
    <t>100117</t>
  </si>
  <si>
    <t>票面上的收款人。如果为个人，则为隐私，银行机构变形，变性规则见《采集技术接口说明》。其他情况为非隐私，不作变形。</t>
  </si>
  <si>
    <t>受益人账号</t>
  </si>
  <si>
    <t>SYRZH</t>
  </si>
  <si>
    <t>100118</t>
  </si>
  <si>
    <t>填报票面上的收款人账号</t>
  </si>
  <si>
    <t>受益人开户行名称</t>
  </si>
  <si>
    <t>SRYKHHMC</t>
  </si>
  <si>
    <t>100119</t>
  </si>
  <si>
    <t>填报票面上的收款人开户行名称</t>
  </si>
  <si>
    <t>是否在本行贴现</t>
  </si>
  <si>
    <t>SFZBHTX</t>
  </si>
  <si>
    <t>100120</t>
  </si>
  <si>
    <t>票据贸易背景</t>
  </si>
  <si>
    <t>PJMYBJ</t>
  </si>
  <si>
    <t>100121</t>
  </si>
  <si>
    <t>C..58</t>
  </si>
  <si>
    <t>票据开票的贸易背景简述。</t>
  </si>
  <si>
    <t>100122</t>
  </si>
  <si>
    <t>100123</t>
  </si>
  <si>
    <t>100124</t>
  </si>
  <si>
    <t>100125</t>
  </si>
  <si>
    <t>若没有允许为空。多个保证金币种统一按一种币种转换合计报送。</t>
  </si>
  <si>
    <t>100126</t>
  </si>
  <si>
    <t>若没有填默认值0。多个保证金币种统一按一种币种转换合计报送。</t>
  </si>
  <si>
    <t>100127</t>
  </si>
  <si>
    <t>100128</t>
  </si>
  <si>
    <t>JBYGH</t>
  </si>
  <si>
    <t>100129</t>
  </si>
  <si>
    <t>指受理该笔业务的客户经理工号，自动办理的允许为空。关联数据项：员工表.工号。</t>
  </si>
  <si>
    <t>100130</t>
  </si>
  <si>
    <t>100131</t>
  </si>
  <si>
    <t>1002</t>
  </si>
  <si>
    <t>100201</t>
  </si>
  <si>
    <t>填报办理该业务的银行机构。关联数据项：机构信息表.银行机构代码</t>
  </si>
  <si>
    <t>100202</t>
  </si>
  <si>
    <t>填报办理该业务的银行机构。关联数据项：机构信息表.金融许可证号</t>
  </si>
  <si>
    <t>100203</t>
  </si>
  <si>
    <t>填报办理该业务的银行机构。关联数据项：机构信息表.内部机构号</t>
  </si>
  <si>
    <t>100204</t>
  </si>
  <si>
    <t>填报办理该业务的银行机构。关联数据项：机构信息表.银行机构名称</t>
  </si>
  <si>
    <t>100205</t>
  </si>
  <si>
    <t>100206</t>
  </si>
  <si>
    <t>合同编号</t>
  </si>
  <si>
    <t>HTBH</t>
  </si>
  <si>
    <t>100207</t>
  </si>
  <si>
    <t>PK。识别该笔业务的唯一编号，可以是信用证、保函编号，可以是业务合同编号。</t>
  </si>
  <si>
    <t>业务种类</t>
  </si>
  <si>
    <t>YWZL</t>
  </si>
  <si>
    <t>100208</t>
  </si>
  <si>
    <t>指银行办理保函与信用证业务的业务种类。</t>
  </si>
  <si>
    <t>100209</t>
  </si>
  <si>
    <t>PK。指合同约定的币种。同一合同多个币种的按照多条报送。</t>
  </si>
  <si>
    <t>100210</t>
  </si>
  <si>
    <t>已兑付金额</t>
  </si>
  <si>
    <t>YDFJE</t>
  </si>
  <si>
    <t>100211</t>
  </si>
  <si>
    <t>指填报机构实际已支付的金额。若无兑付金额允许填报为0。</t>
  </si>
  <si>
    <t>待支付金额</t>
  </si>
  <si>
    <t>100212</t>
  </si>
  <si>
    <t>指申请人未支付的金额，包含已承兑待支付金额。保函等或有担保允许填报为0。</t>
  </si>
  <si>
    <t>KTQSRQ</t>
  </si>
  <si>
    <t>100213</t>
  </si>
  <si>
    <t>填报保函或信用证合同信息，非贸易合同信息。</t>
  </si>
  <si>
    <t>KTDQRQ</t>
  </si>
  <si>
    <t>100214</t>
  </si>
  <si>
    <t>申请人编号</t>
  </si>
  <si>
    <t>SQRBH</t>
  </si>
  <si>
    <t>100215</t>
  </si>
  <si>
    <t>指申请人的客户统一编号。如本行不做为开证行，办理信用证保兑业务时客户统一编号可以为空。</t>
  </si>
  <si>
    <t>申请人名称</t>
  </si>
  <si>
    <t>SQRMC</t>
  </si>
  <si>
    <t>100216</t>
  </si>
  <si>
    <t>如果申请人为个人客户，则为隐私，银行机构变形，个人变性规则见《采集技术接口说明》。如果申请人为对公客户，则为非隐私，不做变形。如果为境内涉密机构的，填报为“*********”。不可为空。</t>
  </si>
  <si>
    <t>申请人国家代码</t>
  </si>
  <si>
    <t>SQRGJDM</t>
  </si>
  <si>
    <t>100217</t>
  </si>
  <si>
    <t>如非国际业务填写默认值CHN</t>
  </si>
  <si>
    <t>100218</t>
  </si>
  <si>
    <t>如果受益人为个人客户，则为隐私，银行机构变形，个人变性规则见《采集技术接口说明》。如果受益人为对公客户，则为非隐私，不做变形。如果为境内涉密机构的，填报为“*********”。信用风险仍在银行的销售与购买协议允许为空。</t>
  </si>
  <si>
    <t>受益人国家代码</t>
  </si>
  <si>
    <t>SYRGJDM</t>
  </si>
  <si>
    <t>100219</t>
  </si>
  <si>
    <t>如非国际业务填写默认值CHN。</t>
  </si>
  <si>
    <t>受益人开户行账号</t>
  </si>
  <si>
    <t>100220</t>
  </si>
  <si>
    <t>填报实际向受益人支付的银行机构结算账户。信用风险仍在银行的销售与购买协议允许为空。</t>
  </si>
  <si>
    <t>SYRKHHMC</t>
  </si>
  <si>
    <t>100221</t>
  </si>
  <si>
    <t>填报实际向受益人支付的银行机构全称，境外机构可以填报英文。信用风险仍在银行的销售与购买协议允许为空。</t>
  </si>
  <si>
    <t>支付期限</t>
  </si>
  <si>
    <t>ZFQX</t>
  </si>
  <si>
    <t>100222</t>
  </si>
  <si>
    <t>信用证见单提示付款/承兑后，本行作为开证行付款的天数，如为即期则为0天。信用风险仍在银行的销售与购买协议允许为空。</t>
  </si>
  <si>
    <t>合同贸易背景</t>
  </si>
  <si>
    <t>HTMYBJ</t>
  </si>
  <si>
    <t>100223</t>
  </si>
  <si>
    <t>指开立保函或信用证的交易内容、货品或服务的描述。</t>
  </si>
  <si>
    <t>100224</t>
  </si>
  <si>
    <t>若没有允许为空。多个币种统一按一种币种转换合计报送。</t>
  </si>
  <si>
    <t>100225</t>
  </si>
  <si>
    <t>100226</t>
  </si>
  <si>
    <t>100227</t>
  </si>
  <si>
    <t>100228</t>
  </si>
  <si>
    <t>100229</t>
  </si>
  <si>
    <t>100230</t>
  </si>
  <si>
    <t>100231</t>
  </si>
  <si>
    <t>100232</t>
  </si>
  <si>
    <t>1003</t>
  </si>
  <si>
    <t>100301</t>
  </si>
  <si>
    <t>100302</t>
  </si>
  <si>
    <t>100303</t>
  </si>
  <si>
    <t>100304</t>
  </si>
  <si>
    <t>100305</t>
  </si>
  <si>
    <t>票据或合同号</t>
  </si>
  <si>
    <t>PJHHTH</t>
  </si>
  <si>
    <t>100306</t>
  </si>
  <si>
    <t>PK。票据号码、保函编号、信用证编号或者合同编号，不可为空。关联数据项：票据号码（票据出票信息、票据贴现、票据转贴现）or 保函与信用证.合同编号 or 贸易融资信息表.信贷合同号</t>
  </si>
  <si>
    <t>100307</t>
  </si>
  <si>
    <t>100308</t>
  </si>
  <si>
    <t>指票据金额或保函、信用证、保理融资的业务合同金额。</t>
  </si>
  <si>
    <t>DJBH</t>
  </si>
  <si>
    <t>100309</t>
  </si>
  <si>
    <t>DJZL</t>
  </si>
  <si>
    <t>100310</t>
  </si>
  <si>
    <t>单据币种</t>
  </si>
  <si>
    <t>DJBZ</t>
  </si>
  <si>
    <t>100311</t>
  </si>
  <si>
    <t>单据金额</t>
  </si>
  <si>
    <t>DJJE</t>
  </si>
  <si>
    <t>100312</t>
  </si>
  <si>
    <t>单据上实际对应的金额。</t>
  </si>
  <si>
    <t>100313</t>
  </si>
  <si>
    <t>100314</t>
  </si>
  <si>
    <t>1004</t>
  </si>
  <si>
    <t>100401</t>
  </si>
  <si>
    <t>填报办理该业务的关联数据项：机构信息表.银行机构代码</t>
  </si>
  <si>
    <t>100402</t>
  </si>
  <si>
    <t>100403</t>
  </si>
  <si>
    <t>填报办理该业务的关联数据项：机构信息表.内部机构号</t>
  </si>
  <si>
    <t>100404</t>
  </si>
  <si>
    <t>100405</t>
  </si>
  <si>
    <t>100406</t>
  </si>
  <si>
    <t>100407</t>
  </si>
  <si>
    <t>PK。现金管理项下委托贷款填写与客户签订的现金管理合同编号。当委托贷款类型不为现金管理项下委托贷款时，需关联数据项：信贷合同表.信贷合同号。</t>
  </si>
  <si>
    <t>100408</t>
  </si>
  <si>
    <t>PK。现金管理项下委托贷款填写能唯一识别该笔委托贷款业务的编号。当委托贷款类型不为现金管理项下委托贷款时，需填写信贷借据号，并关联数据项：个人信贷业务借据.信贷借据号 or 对公信贷业务借据表.信贷借据号。</t>
  </si>
  <si>
    <t>WTDKLX</t>
  </si>
  <si>
    <t>100409</t>
  </si>
  <si>
    <t>100410</t>
  </si>
  <si>
    <t>100411</t>
  </si>
  <si>
    <t>委托贷款实际发放金额。</t>
  </si>
  <si>
    <t>100412</t>
  </si>
  <si>
    <t>委托贷款实际发放日期。</t>
  </si>
  <si>
    <t>100413</t>
  </si>
  <si>
    <t>委托贷款实际到期日期，现金管理项下委托贷款到期日期可以填报现金管理合同有效日期，也允许填报默认日期。</t>
  </si>
  <si>
    <t>委托人编号</t>
  </si>
  <si>
    <t>WTRBH</t>
  </si>
  <si>
    <t>100414</t>
  </si>
  <si>
    <t>填写委托人的客户统一编号。</t>
  </si>
  <si>
    <t>委托人名称</t>
  </si>
  <si>
    <t>WTRMC</t>
  </si>
  <si>
    <t>100415</t>
  </si>
  <si>
    <t>如果委托人为个人客户，则为隐私，银行机构变形，变性规则见《采集技术接口说明》，其他情况则为非隐私，不做变形。</t>
  </si>
  <si>
    <t>委托人账号</t>
  </si>
  <si>
    <t>WTRZH</t>
  </si>
  <si>
    <t>100416</t>
  </si>
  <si>
    <t>填写委托资金实际所在的账号，不可填中间过渡账户或借款人账户，不可为空。</t>
  </si>
  <si>
    <t>委托人开户行名称</t>
  </si>
  <si>
    <t>WTRKHHMC</t>
  </si>
  <si>
    <t>100417</t>
  </si>
  <si>
    <t>委托资金的开户银行名称。</t>
  </si>
  <si>
    <t>100418</t>
  </si>
  <si>
    <t>如果借款人为个人，则为隐私，银行机构变形，变性规则见《采集技术接口说明》。其他情况则为非隐私，不作变形。</t>
  </si>
  <si>
    <t>100419</t>
  </si>
  <si>
    <t>填写委托贷款实际发放入账的账号，不可填中间过渡账户，不可为空。</t>
  </si>
  <si>
    <t>100420</t>
  </si>
  <si>
    <t>是否收息</t>
  </si>
  <si>
    <t>SFSX</t>
  </si>
  <si>
    <t>100421</t>
  </si>
  <si>
    <t>100422</t>
  </si>
  <si>
    <t>100423</t>
  </si>
  <si>
    <t>填写本行收取客户的手续费金额，如果没有手续费填写为0。对于现金管理项下委托贷款，如果手续费在合同签订时一次收取的，在合同签订后的第一笔放款下填报手续费金额，之后的放款不再填报。</t>
  </si>
  <si>
    <t>100424</t>
  </si>
  <si>
    <t>100425</t>
  </si>
  <si>
    <t>对于现金管理项下委托贷款，每发生一笔放款仅报送一次，以后不再报送，贷款状态以“其他-现金管理项下”报送。</t>
  </si>
  <si>
    <t>100426</t>
  </si>
  <si>
    <t>100427</t>
  </si>
  <si>
    <t>1005</t>
  </si>
  <si>
    <t>100501</t>
  </si>
  <si>
    <t>填报办理该业务的银行机构。关联数据项：机构信息表.银行机构代码。填写经办的银行机构。</t>
  </si>
  <si>
    <t>100502</t>
  </si>
  <si>
    <t>100503</t>
  </si>
  <si>
    <t>填报办理该业务的银行机构。关联数据项：机构信息表.内部机构号。填写经办的银行机构。</t>
  </si>
  <si>
    <t>100504</t>
  </si>
  <si>
    <t>100505</t>
  </si>
  <si>
    <t>填报购买产品的客户编号。关联数据项：个人基础信息.客户统一编号或对公客户.客户统一编号。</t>
  </si>
  <si>
    <t>100506</t>
  </si>
  <si>
    <t>填报购买产品的客户编号。关联数据项：个人基础信息.客户姓名或对公客户.客户名称。</t>
  </si>
  <si>
    <t>客户账号</t>
  </si>
  <si>
    <t>KHZH</t>
  </si>
  <si>
    <t>100507</t>
  </si>
  <si>
    <t>填报客户付款的账号，如果为现金交易，可以为空。</t>
  </si>
  <si>
    <t>开户行名称</t>
  </si>
  <si>
    <t>KHHMC</t>
  </si>
  <si>
    <t>100508</t>
  </si>
  <si>
    <t>填报客户缴款的开户行名称，如果为现金交易，可以为空。</t>
  </si>
  <si>
    <t>JYBH</t>
  </si>
  <si>
    <t>100509</t>
  </si>
  <si>
    <t>PK。识别交易的唯一编号。</t>
  </si>
  <si>
    <t>DLDXJYLX</t>
  </si>
  <si>
    <t>100510</t>
  </si>
  <si>
    <t>参照1104报表G01_I中代理代销业务的分类口径。</t>
  </si>
  <si>
    <t>代销产品名称</t>
  </si>
  <si>
    <t>DXCPMC</t>
  </si>
  <si>
    <t>100511</t>
  </si>
  <si>
    <t>100512</t>
  </si>
  <si>
    <t>交易日期</t>
  </si>
  <si>
    <t>JYRQ</t>
  </si>
  <si>
    <t>100513</t>
  </si>
  <si>
    <t>填写客户实际购买并缴费的日期。</t>
  </si>
  <si>
    <t>100514</t>
  </si>
  <si>
    <t>100515</t>
  </si>
  <si>
    <t>填写客户实际购买并缴费的金额。</t>
  </si>
  <si>
    <t>发行机构名称</t>
  </si>
  <si>
    <t>FXJGMC</t>
  </si>
  <si>
    <t>100516</t>
  </si>
  <si>
    <t>填写发行机构的全称。</t>
  </si>
  <si>
    <t>发行机构评级</t>
  </si>
  <si>
    <t>FXJGPJ</t>
  </si>
  <si>
    <t>100517</t>
  </si>
  <si>
    <t>允许填报内部评级。</t>
  </si>
  <si>
    <t>发行机构评级机构</t>
  </si>
  <si>
    <t>FXJGPJJG</t>
  </si>
  <si>
    <t>100518</t>
  </si>
  <si>
    <t>评级机构名称，如果没有允许为空。</t>
  </si>
  <si>
    <t>发行机构清算账号</t>
  </si>
  <si>
    <t>FXJGQSZH</t>
  </si>
  <si>
    <t>100519</t>
  </si>
  <si>
    <t>填写发行机构清算账户的账号，优先填报外部账号。</t>
  </si>
  <si>
    <t>发行机构清算行名</t>
  </si>
  <si>
    <t>FXJGQSHM</t>
  </si>
  <si>
    <t>100520</t>
  </si>
  <si>
    <t>发行机构清算账户的所属行名。第三方支付平台填写第三方支付平台名称。</t>
  </si>
  <si>
    <t>100521</t>
  </si>
  <si>
    <t>100522</t>
  </si>
  <si>
    <t>100523</t>
  </si>
  <si>
    <t>JYYGH</t>
  </si>
  <si>
    <t>100524</t>
  </si>
  <si>
    <t>指推荐人或有权销售人的员工号，自动办理的允许为空。关联数据项：员工表.工号。</t>
  </si>
  <si>
    <t>100525</t>
  </si>
  <si>
    <t>100526</t>
  </si>
  <si>
    <t>1006</t>
  </si>
  <si>
    <t>100601</t>
  </si>
  <si>
    <t>100602</t>
  </si>
  <si>
    <t>100603</t>
  </si>
  <si>
    <t>100604</t>
  </si>
  <si>
    <t>100605</t>
  </si>
  <si>
    <t>关联数据项：个人基础信息.客户统一编号或对公客户.客户统一编号。填报购买产品的客户编号。</t>
  </si>
  <si>
    <t>100606</t>
  </si>
  <si>
    <t>如为对公客户，即非隐私，不做变形。如果为境内涉密机构的，填报为“*********”。如为个人客户，则为隐私，银行机构变形，个人变性规则见《采集技术接口说明》。</t>
  </si>
  <si>
    <t>100607</t>
  </si>
  <si>
    <t>填报客户付款的账号（外部账号），如果为现金交易，可以为空。</t>
  </si>
  <si>
    <t>100608</t>
  </si>
  <si>
    <t>100609</t>
  </si>
  <si>
    <t>产品种类</t>
  </si>
  <si>
    <t>CPZL</t>
  </si>
  <si>
    <t>100610</t>
  </si>
  <si>
    <t>100611</t>
  </si>
  <si>
    <t>CPMC</t>
  </si>
  <si>
    <t>100612</t>
  </si>
  <si>
    <t>100613</t>
  </si>
  <si>
    <t>PK。指客户资金交易的方向。掉期交易填远端交易方向。</t>
  </si>
  <si>
    <t>合约币种</t>
  </si>
  <si>
    <t>MYBJBZ</t>
  </si>
  <si>
    <t>100614</t>
  </si>
  <si>
    <t>对于结汇业务，合约币种填报“CNY”，合约金额填报人民币金额；对于售汇业务，如人民币兑换美元业务，合约币种填报“USD”，合约金额填报结算的美元金额；对于外汇互换业务，如欧元兑换美元，合约币种填写“EUR”，合约金额填报结算的欧元金额。</t>
  </si>
  <si>
    <t>合约金额</t>
  </si>
  <si>
    <t>MYBJJE</t>
  </si>
  <si>
    <t>100615</t>
  </si>
  <si>
    <t>如交易是衍生品交易，则填报合同名义本金金额。</t>
  </si>
  <si>
    <t>年化利率</t>
  </si>
  <si>
    <t>NHLL</t>
  </si>
  <si>
    <t>100616</t>
  </si>
  <si>
    <t>成交时该业务的原始到期收益率年化值（净值类产品除外），按实际情况无法填报的业务可以为空。</t>
  </si>
  <si>
    <t>100617</t>
  </si>
  <si>
    <t>100618</t>
  </si>
  <si>
    <t>合同约定生效日期，若无该字段信息可填报交易日期。</t>
  </si>
  <si>
    <t>100619</t>
  </si>
  <si>
    <t>如是即期交易，则与交易日期相同；如是远期交易，则填报合同约定的交割日期。对于永续债、需要赎回才能终止的业务（如货币基金、债券基金等）统一填报默认值（99991231）</t>
  </si>
  <si>
    <t>JYDSLB</t>
  </si>
  <si>
    <t>100620</t>
  </si>
  <si>
    <t>指代客交易的对手信息，非客户自身信息。</t>
  </si>
  <si>
    <t>100621</t>
  </si>
  <si>
    <t>交易对手评级</t>
  </si>
  <si>
    <t>JYDSPJ</t>
  </si>
  <si>
    <t>100622</t>
  </si>
  <si>
    <t>允许填报内部评级，如交易对手为个人，允许为空。</t>
  </si>
  <si>
    <t>交易对手评级机构</t>
  </si>
  <si>
    <t>JYDSPJJG</t>
  </si>
  <si>
    <t>100623</t>
  </si>
  <si>
    <t>JYDSZH</t>
  </si>
  <si>
    <t>100624</t>
  </si>
  <si>
    <t>填写对方到期结算的账号。</t>
  </si>
  <si>
    <t>100625</t>
  </si>
  <si>
    <t>交易对手的银行机构代码，跨境交易行号可填SWIFT编码。
1. 现转标志为“转”时，该要素必填且不能为空。
2. 该笔明细交易是转账交易的，对方账号和对方户名必须填实际收款人，不可填中间过渡账户或清算账户。
3. 该笔交易明细是第三方支付交易的，对方账号填报为交易对手的第三方支付账号，对方户名填报为交易对手的第三方支付户名，交易行号、行名不做要求。但若交易为银联云闪付交易的，则：若为转账类交易，则对方户名、对方账号、对方行号、对方行名填报为具体收款方的对方户名、对方账号、对方行号、对方行名；若为消费类交易，则对方户名填报为商户名称，对方账号填报为商户号，交易渠道填写为POS，对方行号、行名可留空。（第三方支付合作单位需要求合作方将实际收款人信息返回）
4. 该笔明细交易是代收、代扣、代缴等交易的，对方账号和对方户名必须填实际收款人，不可填中间过渡账户或清算账户。
5. 对方账号与对方户名必须一致，对应同一实体。
6. 现转标志为“转”时，对方行号非空，且必须是12位人行支付行号，分支机构如没有人行支付行号，可填写最近的上一级管理机构支付行号。
7. 现转标志为“转”时，对方行名非空，需与人行支付行号对应的银行机构名称。
8. 各行应从官方渠道获得一份官方发布的人行支付行号及行名字典表，确保对方行号填写的人行支付行号与对方行名保持一致。
9. 若为系统转存交易，则交易对手填写自己的账户信息，在摘要中注明，不可填空。</t>
  </si>
  <si>
    <t>交易对手行名</t>
  </si>
  <si>
    <t>JYDSHM</t>
  </si>
  <si>
    <t>100626</t>
  </si>
  <si>
    <t>100627</t>
  </si>
  <si>
    <t>100628</t>
  </si>
  <si>
    <t>100629</t>
  </si>
  <si>
    <t>100630</t>
  </si>
  <si>
    <t>100631</t>
  </si>
  <si>
    <t>100632</t>
  </si>
  <si>
    <t>100633</t>
  </si>
  <si>
    <t>100634</t>
  </si>
  <si>
    <t>1101</t>
  </si>
  <si>
    <t>110101</t>
  </si>
  <si>
    <t>110102</t>
  </si>
  <si>
    <t>110103</t>
  </si>
  <si>
    <t>110104</t>
  </si>
  <si>
    <t>外币数量</t>
  </si>
  <si>
    <t>WBSL</t>
  </si>
  <si>
    <t>110105</t>
  </si>
  <si>
    <t>国家外汇管理局公布的人民币汇率中间价。可以是1外币折合多少本币，也可以是100外币折合多少本币。</t>
  </si>
  <si>
    <t>110106</t>
  </si>
  <si>
    <t>折本币数量</t>
  </si>
  <si>
    <t>ZBBSL</t>
  </si>
  <si>
    <t>110107</t>
  </si>
  <si>
    <t>本币币种</t>
  </si>
  <si>
    <t>BBBZ</t>
  </si>
  <si>
    <t>110108</t>
  </si>
  <si>
    <t>汇率日期</t>
  </si>
  <si>
    <t>HLRQ</t>
  </si>
  <si>
    <t>110109</t>
  </si>
  <si>
    <t>PK。指汇率公布日期。</t>
  </si>
  <si>
    <t>110110</t>
  </si>
  <si>
    <t>110111</t>
  </si>
  <si>
    <t>110201</t>
  </si>
  <si>
    <t>关联数据项：机构信息表.银行机构代码。填写经办的银行机构。</t>
  </si>
  <si>
    <t>110202</t>
  </si>
  <si>
    <t>110203</t>
  </si>
  <si>
    <t>关联数据项：机构信息表.内部机构号。填写经办的银行机构。</t>
  </si>
  <si>
    <t>110204</t>
  </si>
  <si>
    <t>JRGJBH</t>
  </si>
  <si>
    <t>110205</t>
  </si>
  <si>
    <t>PK。不可为空。</t>
  </si>
  <si>
    <t>JRGJMC</t>
  </si>
  <si>
    <t>110206</t>
  </si>
  <si>
    <t>可根据业务分类来填写，如存放同业：存放XX银行；同业借款：XX银行XX借款；衍生品工具：XX机构XX类产品XX合约。资产类型如果是基金、理财、资管计划等产品的，金融工具名称必须填写产品全称，如XX券商XX资管计划X期，XX银行同业理财产品X期。不可为空。</t>
  </si>
  <si>
    <t>ZCLX</t>
  </si>
  <si>
    <t>110207</t>
  </si>
  <si>
    <t>填报金融工具穿透前对应的资产类型。</t>
  </si>
  <si>
    <t>110208</t>
  </si>
  <si>
    <t>发行价格</t>
  </si>
  <si>
    <t>FXJG</t>
  </si>
  <si>
    <t>110209</t>
  </si>
  <si>
    <t>标准化的如标准化债券、证券类产品，填报单位发行金额。非标准化的业务填报发行总金额。衍生品类合约交易填报合约金额。</t>
  </si>
  <si>
    <t>发行总规模</t>
  </si>
  <si>
    <t>FXZGM</t>
  </si>
  <si>
    <t>110210</t>
  </si>
  <si>
    <t>填报该金融工具发行总规模或业务总金额。</t>
  </si>
  <si>
    <t>110211</t>
  </si>
  <si>
    <t>填发行主体而不是代理人，如果没有对应发行机构的填报交易对手。</t>
  </si>
  <si>
    <t>FXJGDM</t>
  </si>
  <si>
    <t>110212</t>
  </si>
  <si>
    <t>填发行主体而不是代理人。如果没有发行机构的填报交易对手。</t>
  </si>
  <si>
    <t>发行国别</t>
  </si>
  <si>
    <t>FXGB</t>
  </si>
  <si>
    <t>110213</t>
  </si>
  <si>
    <t>填写发行主体所在国家。</t>
  </si>
  <si>
    <t>发行日期</t>
  </si>
  <si>
    <t>FXRQ</t>
  </si>
  <si>
    <t>110214</t>
  </si>
  <si>
    <t>没有对应发行日期的填写交易日期。</t>
  </si>
  <si>
    <t>110215</t>
  </si>
  <si>
    <t>没有对应到期日期的填写交易日期。</t>
  </si>
  <si>
    <t>110216</t>
  </si>
  <si>
    <t>按业务实际填写，浮动利率填写最新利率，没有利率的业务可以为空。</t>
  </si>
  <si>
    <t>110217</t>
  </si>
  <si>
    <t>含权标识</t>
  </si>
  <si>
    <t>HQBS</t>
  </si>
  <si>
    <t>110218</t>
  </si>
  <si>
    <t>最近评估价格</t>
  </si>
  <si>
    <t>ZJPGJG</t>
  </si>
  <si>
    <t>110219</t>
  </si>
  <si>
    <t>有估值的填报最新估值，没有估值的填报市场最新公允价格，负债类的填报最新剩余价值。标准化的如基金、理财、证券类产品，填报单位价格，非标准化的填报业务总金额。汇率类产品（包括汇率类衍生品）填报最新汇率或者合同约定的汇率。</t>
  </si>
  <si>
    <t>评估价格日期</t>
  </si>
  <si>
    <t>PGJGRQ</t>
  </si>
  <si>
    <t>110220</t>
  </si>
  <si>
    <t>JCZCBH</t>
  </si>
  <si>
    <t>110221</t>
  </si>
  <si>
    <t>PK。仅同业往来大类下的同业存单，债券和同业投资大类下的所有业务需填报穿透后的基础资产相关信息，其他业务可以为空。基础资产如果对应多个，按多条报送。
同业存单和债券业务的基础资产为证券的，资产编码使用证券代码，资产名称使用证券简称，基础资产客户为证券发行人；
股权投资业务的基础资产为股权，基础资产客户为股权归属公司；
投资的基础资产为信贷资产（或收益权）、不良资产包（或收益权），基础资产客户为信贷资产、不良资产包原始出让方（银行）；
公募基金、私募基金、理财业务的基础资产为产品本身，资产编码使用基金代码，资产名称使用产品简称，基础资产客户为产品的发行人或管理人；
资管产品（包括非保本理财产品）、其他投资的基础资产为穿透后的底层投资，基础资产客户为底层投资的最终兑付方，与G31原则保持一致。</t>
  </si>
  <si>
    <t>JCZCMC</t>
  </si>
  <si>
    <t>110222</t>
  </si>
  <si>
    <t>仅同业往来大类下的同业存单，债券和同业投资大类下的所有业务需填报穿透后的基础资产相关信息，其他业务可以为空。基础资产如果对应多个，按多条报送。</t>
  </si>
  <si>
    <t>基础资产规模</t>
  </si>
  <si>
    <t>JCZCGM</t>
  </si>
  <si>
    <t>110223</t>
  </si>
  <si>
    <t>基础资产占比</t>
  </si>
  <si>
    <t>JCZCZB</t>
  </si>
  <si>
    <t>110224</t>
  </si>
  <si>
    <t>仅同业往来大类下的同业存单，债券和同业投资大类下的所有业务需填报穿透后的基础资产相关信息，其他业务可以为空。基础资产如果对应多个，按多条报送。填报基础资产规模占资产总规模的百分比。</t>
  </si>
  <si>
    <t>基础资产评级</t>
  </si>
  <si>
    <t>JCZCPJ</t>
  </si>
  <si>
    <t>110225</t>
  </si>
  <si>
    <t>基础资产评级机构</t>
  </si>
  <si>
    <t>JCZCPJJG</t>
  </si>
  <si>
    <t>110226</t>
  </si>
  <si>
    <t>基础资产客户名称</t>
  </si>
  <si>
    <t>JCZCKHMC</t>
  </si>
  <si>
    <t>110227</t>
  </si>
  <si>
    <t>基础资产客户国家</t>
  </si>
  <si>
    <t>JCZCKHGJ</t>
  </si>
  <si>
    <t>110228</t>
  </si>
  <si>
    <t>基础资产客户评级</t>
  </si>
  <si>
    <t>JCZCKHPJ</t>
  </si>
  <si>
    <t>110229</t>
  </si>
  <si>
    <t>基础资产客户评级机构</t>
  </si>
  <si>
    <t>JCZCKHPJJG</t>
  </si>
  <si>
    <t>110230</t>
  </si>
  <si>
    <t>基础资产客户行业</t>
  </si>
  <si>
    <t>JCZCHKHHY</t>
  </si>
  <si>
    <t>110231</t>
  </si>
  <si>
    <t>最终投向类型</t>
  </si>
  <si>
    <t>ZZTXLX</t>
  </si>
  <si>
    <t>110232</t>
  </si>
  <si>
    <t>最终投向行业</t>
  </si>
  <si>
    <t>ZZTXHY</t>
  </si>
  <si>
    <t>110233</t>
  </si>
  <si>
    <t>110234</t>
  </si>
  <si>
    <t>110235</t>
  </si>
  <si>
    <t>110301</t>
  </si>
  <si>
    <t>110302</t>
  </si>
  <si>
    <t>110303</t>
  </si>
  <si>
    <t>110304</t>
  </si>
  <si>
    <t>110305</t>
  </si>
  <si>
    <t>110306</t>
  </si>
  <si>
    <t>JYZHLX</t>
  </si>
  <si>
    <t>110307</t>
  </si>
  <si>
    <t>110308</t>
  </si>
  <si>
    <t>110309</t>
  </si>
  <si>
    <t>关联数据项：金融工具信息表.金融工具编号</t>
  </si>
  <si>
    <t>110310</t>
  </si>
  <si>
    <t>关联数据项：金融工具信息表.金融工具名称</t>
  </si>
  <si>
    <t>YEDL</t>
  </si>
  <si>
    <t>110311</t>
  </si>
  <si>
    <t>110312</t>
  </si>
  <si>
    <t>YWXL</t>
  </si>
  <si>
    <t>110313</t>
  </si>
  <si>
    <t>110314</t>
  </si>
  <si>
    <t>110315</t>
  </si>
  <si>
    <t>PK。资产类业务余额增加填写为买入，余额减少为卖出。对于衍生品掉期合约填远端交易方向。</t>
  </si>
  <si>
    <t>110316</t>
  </si>
  <si>
    <t>110317</t>
  </si>
  <si>
    <t>填报交易本金金额。衍生品交易填报合同名义本金金额。</t>
  </si>
  <si>
    <t>110318</t>
  </si>
  <si>
    <t>成交时该业务的原始到期收益率年化值（净值类产品除外）。</t>
  </si>
  <si>
    <t>110319</t>
  </si>
  <si>
    <t>110320</t>
  </si>
  <si>
    <t>110321</t>
  </si>
  <si>
    <t>本方清算账号</t>
  </si>
  <si>
    <t>BFQSZH</t>
  </si>
  <si>
    <t>110322</t>
  </si>
  <si>
    <t>填报机构进行交易实际使用的账号。</t>
  </si>
  <si>
    <t>110323</t>
  </si>
  <si>
    <t>110324</t>
  </si>
  <si>
    <t>如果交易对手为个人，则为隐私，银行机构变形，个人变性规则见《采集技术接口说明》。如果为境内涉密机构的，填报为“*********”。其他情况，则为非隐私，不做变形。</t>
  </si>
  <si>
    <t>110325</t>
  </si>
  <si>
    <t>允许填报内部评级，如交易对手为个人，允许为空</t>
  </si>
  <si>
    <t>110326</t>
  </si>
  <si>
    <t>110327</t>
  </si>
  <si>
    <t>填写交易对手结算实际使用的账号。</t>
  </si>
  <si>
    <t>交易对手开户行号</t>
  </si>
  <si>
    <t>JYDSKHHH</t>
  </si>
  <si>
    <t>110328</t>
  </si>
  <si>
    <t>交易对手开户行名</t>
  </si>
  <si>
    <t>JYDSKHHM</t>
  </si>
  <si>
    <t>110329</t>
  </si>
  <si>
    <t>委托管理标志</t>
  </si>
  <si>
    <t>WTGLBZ</t>
  </si>
  <si>
    <t>110330</t>
  </si>
  <si>
    <t>是否资金通过通道委托其他机构投资标识</t>
  </si>
  <si>
    <t>110331</t>
  </si>
  <si>
    <t>关联数据项：员工表.工号</t>
  </si>
  <si>
    <t>110332</t>
  </si>
  <si>
    <t xml:space="preserve"> </t>
  </si>
  <si>
    <t>110333</t>
  </si>
  <si>
    <t>110334</t>
  </si>
  <si>
    <t>110401</t>
  </si>
  <si>
    <t>110402</t>
  </si>
  <si>
    <t>110403</t>
  </si>
  <si>
    <t>110404</t>
  </si>
  <si>
    <t>110405</t>
  </si>
  <si>
    <t>110406</t>
  </si>
  <si>
    <t>110407</t>
  </si>
  <si>
    <t>PK。关联数据项：金融工具信息表.金融工具编号</t>
  </si>
  <si>
    <t>110408</t>
  </si>
  <si>
    <t>110409</t>
  </si>
  <si>
    <t>110410</t>
  </si>
  <si>
    <t>110411</t>
  </si>
  <si>
    <t>110412</t>
  </si>
  <si>
    <t>110413</t>
  </si>
  <si>
    <t>110414</t>
  </si>
  <si>
    <t>本报表涉及所有业务的交易币种、科目币种、清算金额币种均应相同。</t>
  </si>
  <si>
    <t>持有成本</t>
  </si>
  <si>
    <t>CYCB</t>
  </si>
  <si>
    <t>110415</t>
  </si>
  <si>
    <t>填写自营资金交易实际支付成本，同一产品合并计算。</t>
  </si>
  <si>
    <t>账面余额</t>
  </si>
  <si>
    <t>ZMYE</t>
  </si>
  <si>
    <t>110416</t>
  </si>
  <si>
    <t>填写财务口径账面估值总额，含本金及利息，同一产品合并计算。</t>
  </si>
  <si>
    <t>本期收益</t>
  </si>
  <si>
    <t>BQSY</t>
  </si>
  <si>
    <t>110417</t>
  </si>
  <si>
    <t>对于净值型产品，份额赎回按照“先进先出”原则计算赎回部分的实际收益；对于非净值型产品，按照赎回金额与当前持有产品总价值的比例来计算本次赎回部分的收益。</t>
  </si>
  <si>
    <t>累计收益</t>
  </si>
  <si>
    <t>LJSY</t>
  </si>
  <si>
    <t>110418</t>
  </si>
  <si>
    <t>客户在某个产品下获得的累计收益（即历史月份本期收益的加总，若历史某月末时点不持有该产品，则累计收益自下个月起重新从零计算）。</t>
  </si>
  <si>
    <t>110419</t>
  </si>
  <si>
    <t>该业务在存量日的最新到期收益率。无到期收益率的允许为空。</t>
  </si>
  <si>
    <t>XYFXQZ</t>
  </si>
  <si>
    <t>110420</t>
  </si>
  <si>
    <t>负债类业务可以为空。</t>
  </si>
  <si>
    <t>110421</t>
  </si>
  <si>
    <t>按照需要进行五级分类的资产进行风险分类。到期业务填报到期前的五级分类。</t>
  </si>
  <si>
    <t>减值准备</t>
  </si>
  <si>
    <t>JZZB</t>
  </si>
  <si>
    <t>110422</t>
  </si>
  <si>
    <t>对于不需要计提减值准备的资产，如FVPTL类的资产则填为0</t>
  </si>
  <si>
    <t>起息日期</t>
  </si>
  <si>
    <t>110423</t>
  </si>
  <si>
    <t>金融资产起息日</t>
  </si>
  <si>
    <t>110424</t>
  </si>
  <si>
    <t>金融资产到期日。对于永续债、需要赎回才能终止的业务（如货币基金、债券基金等）统一填报默认值（如9999年12月31日）</t>
  </si>
  <si>
    <t>110425</t>
  </si>
  <si>
    <t>110426</t>
  </si>
  <si>
    <t/>
  </si>
  <si>
    <t>删除产品统计日、申报期预计客户最高年收益率、申报期预计客户最低年收益率、发行期预计客户最高年收益率、发行期预计客户最低年收益率</t>
  </si>
  <si>
    <t>产品ID</t>
  </si>
  <si>
    <t>CPID</t>
  </si>
  <si>
    <t>120101</t>
  </si>
  <si>
    <t>由理财中心系统自动计算生成，非发行机构直接填写内容。</t>
  </si>
  <si>
    <t>CPDJBM</t>
  </si>
  <si>
    <t>120102</t>
  </si>
  <si>
    <t xml:space="preserve">PK。对公募理财产品，产品登记编码为大写字母和数字构成的14位特征组合码。编码分为三段，从左至右分别为：6位金融机构代码；2位年度码；6位顺序码。其中金融机构代码采用《金融机构编码规范》编发的法人机构代码（即金融机构代码前6位）；年度码采用产品募集起始日（从）所在年度的后两位数字编码。
对私募理财产品，产品登记编码为大写字母和数字构成的15位特征组合码。编码分为四段，从左至右分别为：6位金融机构代码；2位年度码；1位标识码；6位顺序码。其中金融机构代码采用《金融机构编码规范》编发的法人机构代码（即金融机构代码前6位）；年度码采用产品募集起始日所在年度的后两位数字编码；标识码分为大写字母A。
</t>
  </si>
  <si>
    <t>理财产品代码</t>
  </si>
  <si>
    <t>LCCPDM</t>
  </si>
  <si>
    <t>120103</t>
  </si>
  <si>
    <t>HNBZM</t>
  </si>
  <si>
    <t>120104</t>
  </si>
  <si>
    <t>120105</t>
  </si>
  <si>
    <t>发行机构赋予理财产品的称谓。</t>
  </si>
  <si>
    <t>CPPP</t>
  </si>
  <si>
    <t>120106</t>
  </si>
  <si>
    <t>120107</t>
  </si>
  <si>
    <t>120108</t>
  </si>
  <si>
    <t>负责理财产品发行、销售、管理、运作的机构类型。</t>
  </si>
  <si>
    <t>发行机构类型</t>
  </si>
  <si>
    <t>FXJGLX</t>
  </si>
  <si>
    <t>120109</t>
  </si>
  <si>
    <t>CPQC</t>
  </si>
  <si>
    <t>120110</t>
  </si>
  <si>
    <t>同一产品品牌下所发行的理财产品期次序号。</t>
  </si>
  <si>
    <t>产品期限</t>
  </si>
  <si>
    <t>CPQX</t>
  </si>
  <si>
    <t>120111</t>
  </si>
  <si>
    <t>对于封闭式产品，指产品起息日到终止日之间的时间长度；对于开放式产品，指每次开放申购赎回的周期（即多久开放一次）。</t>
  </si>
  <si>
    <t>产品风险等级</t>
  </si>
  <si>
    <t>CPFXDJ</t>
  </si>
  <si>
    <t>120112</t>
  </si>
  <si>
    <t>目标客户类型</t>
  </si>
  <si>
    <t>MBKHLX</t>
  </si>
  <si>
    <t>120113</t>
  </si>
  <si>
    <t>ZJTXDQ</t>
  </si>
  <si>
    <t>120114</t>
  </si>
  <si>
    <t>理财产品资金投资的地区。</t>
  </si>
  <si>
    <t>CPYZMS</t>
  </si>
  <si>
    <t>120115</t>
  </si>
  <si>
    <t>CPZCPZFS</t>
  </si>
  <si>
    <t>120116</t>
  </si>
  <si>
    <t>CPGLMS</t>
  </si>
  <si>
    <t>120117</t>
  </si>
  <si>
    <t>实际管理人</t>
  </si>
  <si>
    <t>SJGLR</t>
  </si>
  <si>
    <t>120118</t>
  </si>
  <si>
    <t>指除发行机构以外的产品管理机构名称。</t>
  </si>
  <si>
    <t>GLFS</t>
  </si>
  <si>
    <t>120119</t>
  </si>
  <si>
    <t>理财产品的管理方式。相关信息于2020年6月起开始提供。</t>
  </si>
  <si>
    <t>产品审批人姓名</t>
  </si>
  <si>
    <t>CPSPRXM</t>
  </si>
  <si>
    <t>120120</t>
  </si>
  <si>
    <t>同意将理财产品相关材料提交监管部门审阅的行内最终审批人。非隐私，不做变形。</t>
  </si>
  <si>
    <t>产品审批人身份证号</t>
  </si>
  <si>
    <t>CPSPRSFZH</t>
  </si>
  <si>
    <t>120121</t>
  </si>
  <si>
    <t>同意将理财产品相关材料提交监管部门审阅的行内最终审批人。隐私，银行机构变形。变形规则见《采集技术接口说明》。</t>
  </si>
  <si>
    <t>产品设计人姓名</t>
  </si>
  <si>
    <t>CPSJRXM</t>
  </si>
  <si>
    <t>120122</t>
  </si>
  <si>
    <t>产品设计主要责任人。非隐私，不做变形。</t>
  </si>
  <si>
    <t>产品设计人身份证号</t>
  </si>
  <si>
    <t>CPSJRSFZH</t>
  </si>
  <si>
    <t>120123</t>
  </si>
  <si>
    <t>产品设计主要责任人。隐私，银行机构变形。变形规则见《采集技术接口说明》。</t>
  </si>
  <si>
    <t>投资经理姓名</t>
  </si>
  <si>
    <t>TZJLXM</t>
  </si>
  <si>
    <t>120124</t>
  </si>
  <si>
    <t>产品投资主要责任人姓名。非隐私，不做变形。</t>
  </si>
  <si>
    <t>投资经理身份证号</t>
  </si>
  <si>
    <t>TZJLSFZH</t>
  </si>
  <si>
    <t>120125</t>
  </si>
  <si>
    <t>产品投资主要责任人身份证号。隐私，银行机构变形。变形规则见《采集技术接口说明》。</t>
  </si>
  <si>
    <t>CPDJFS</t>
  </si>
  <si>
    <t>120126</t>
  </si>
  <si>
    <t>综合定价同时包含公允价值定价和成本法定价。</t>
  </si>
  <si>
    <t>投资资产类型</t>
  </si>
  <si>
    <t>TZZCLX</t>
  </si>
  <si>
    <t>120127</t>
  </si>
  <si>
    <t>结构性产品挂钩标的</t>
  </si>
  <si>
    <t>JGXCPGGBD</t>
  </si>
  <si>
    <t>120128</t>
  </si>
  <si>
    <t>HZMS</t>
  </si>
  <si>
    <t>120129</t>
  </si>
  <si>
    <t>1. 独立运作：商业银行独立进行理财产品运作。
2. 银信：商业银行和信托公司合作进行理财产品运作。
3. 银保：商业银行和保险公司合作进行理财产品运作。
4. 银基：商业银行和基金公司合作进行理财产品运作。
5. 银证：商业银行和证券公司合作进行理财产品运作。
6. 混合类：商业银行采用两种以上的合作模式进行理财产品运作。
7. 其他：商业银行和其他机构合作进行理财产品运作。</t>
  </si>
  <si>
    <t>合作机构名称</t>
  </si>
  <si>
    <t>HZJGMC</t>
  </si>
  <si>
    <t>120130</t>
  </si>
  <si>
    <t>所有与商业银行合作进行理财产品运作的机构名称。</t>
  </si>
  <si>
    <t>TZZCZLJBL</t>
  </si>
  <si>
    <t>120131</t>
  </si>
  <si>
    <t>募集币种</t>
  </si>
  <si>
    <t>MJBZ</t>
  </si>
  <si>
    <t>120132</t>
  </si>
  <si>
    <t>遵循《GB/T 12406-2008 表示货币和资金的代码》的字母代码，如CNY。多个募集币种用分号隔开。</t>
  </si>
  <si>
    <t>兑付本金币种</t>
  </si>
  <si>
    <t>DFBJBZ</t>
  </si>
  <si>
    <t>120133</t>
  </si>
  <si>
    <t>遵循《GB/T 12406-2008 表示货币和资金的代码》的字母代码，如CNY。多个币种用分号隔开。</t>
  </si>
  <si>
    <t>兑付收益币种</t>
  </si>
  <si>
    <t>DFSYBZ</t>
  </si>
  <si>
    <t>120134</t>
  </si>
  <si>
    <t>投资本金到账日</t>
  </si>
  <si>
    <t>TZBJDZR</t>
  </si>
  <si>
    <t>120135</t>
  </si>
  <si>
    <t>发行机构兑付产品购买者投资本金的资金到账日。</t>
  </si>
  <si>
    <t>投资收益到账日</t>
  </si>
  <si>
    <t>TZSYDZR</t>
  </si>
  <si>
    <t>120136</t>
  </si>
  <si>
    <t>发行机构兑付产品购买者投资收益的资金到账日。</t>
  </si>
  <si>
    <t>发行机构提前终止权标识</t>
  </si>
  <si>
    <t>FXJGTQZZQBZ</t>
  </si>
  <si>
    <t>120137</t>
  </si>
  <si>
    <t>理财产品是否有权提前终止的标识。</t>
  </si>
  <si>
    <t>客户赎回权标识</t>
  </si>
  <si>
    <t>KHSHQBZ</t>
  </si>
  <si>
    <t>120138</t>
  </si>
  <si>
    <t>客户是否有权提前赎回理财产品的标识。</t>
  </si>
  <si>
    <t>产品增信标识</t>
  </si>
  <si>
    <t>CPZXBZ</t>
  </si>
  <si>
    <t>120139</t>
  </si>
  <si>
    <t>理财产品是否具有提高信用等级情况的标识。</t>
  </si>
  <si>
    <t>CPZXXS</t>
  </si>
  <si>
    <t>120140</t>
  </si>
  <si>
    <t>理财产品的增信形式。如涉及多种增信形式，按主要方式填报。</t>
  </si>
  <si>
    <t>是否为结构化（分级）产品</t>
  </si>
  <si>
    <t>SFWJGHCP</t>
  </si>
  <si>
    <t>120141</t>
  </si>
  <si>
    <t>CJLB</t>
  </si>
  <si>
    <t>120142</t>
  </si>
  <si>
    <t>收益率分档说明</t>
  </si>
  <si>
    <t>SYLFDSM</t>
  </si>
  <si>
    <t>120143</t>
  </si>
  <si>
    <t>KFMS</t>
  </si>
  <si>
    <t>120144</t>
  </si>
  <si>
    <t>开放式理财产品的各开放周期之间是否有固定的间隔天数。</t>
  </si>
  <si>
    <t>GLKFZQ</t>
  </si>
  <si>
    <t>120145</t>
  </si>
  <si>
    <t>有规律开放的开放式理财产品的开放周期。</t>
  </si>
  <si>
    <t>其他规律开放周期</t>
  </si>
  <si>
    <t>QTGLKFZQ</t>
  </si>
  <si>
    <t>120146</t>
  </si>
  <si>
    <t>上述规律开放周期无法涵盖的开放式理财产品的规律开放周期。</t>
  </si>
  <si>
    <t>节假日是否开放</t>
  </si>
  <si>
    <t>JJRSFKF</t>
  </si>
  <si>
    <t>120147</t>
  </si>
  <si>
    <t>开放式理财产品在节假日（包含周末）是否可以申购或赎回。</t>
  </si>
  <si>
    <t>PJKFCS</t>
  </si>
  <si>
    <t>120148</t>
  </si>
  <si>
    <t>开放式理财产品在一个年度内开放的次数（频率）。</t>
  </si>
  <si>
    <t>KFQYWLX</t>
  </si>
  <si>
    <t>120149</t>
  </si>
  <si>
    <t>在开放周期内可以办理的业务。</t>
  </si>
  <si>
    <t>募集起始日期</t>
  </si>
  <si>
    <t>MJQSRQ</t>
  </si>
  <si>
    <t>120150</t>
  </si>
  <si>
    <t>理财产品实际资金募集的开始日期。</t>
  </si>
  <si>
    <t>募集结束日期</t>
  </si>
  <si>
    <t>MJJSRQ</t>
  </si>
  <si>
    <t>120151</t>
  </si>
  <si>
    <t>理财产品实际资金募集的结束日期。</t>
  </si>
  <si>
    <t>产品起始日期</t>
  </si>
  <si>
    <t>CPQSRQ</t>
  </si>
  <si>
    <t>120152</t>
  </si>
  <si>
    <t>理财产品募集期结束，产品正式成立，并开始计息的第一天。</t>
  </si>
  <si>
    <t>产品终止日期</t>
  </si>
  <si>
    <t>CPZZRQ</t>
  </si>
  <si>
    <t>120153</t>
  </si>
  <si>
    <t>理财产品终止的日期。</t>
  </si>
  <si>
    <t>产品实际终止日期</t>
  </si>
  <si>
    <t>CPSJZZRQ</t>
  </si>
  <si>
    <t>120154</t>
  </si>
  <si>
    <t>理财产品停止计提收益，宣告结束开始兑付的日期。</t>
  </si>
  <si>
    <t>报告登记日期</t>
  </si>
  <si>
    <t>BGDJRQ</t>
  </si>
  <si>
    <t>120155</t>
  </si>
  <si>
    <t>理财产品在全国银行业理财信息登记系统中完成申报登记的日期，由理财中心系统自动计算生成，非发行机构直接填写内容。</t>
  </si>
  <si>
    <t>发行登记日期</t>
  </si>
  <si>
    <t>FXDJRQ</t>
  </si>
  <si>
    <t>120156</t>
  </si>
  <si>
    <t>理财产品在全国银行业理财信息登记系统中完成发行登记的日期，由理财中心系统自动计算生成，非发行机构直接填写内容。</t>
  </si>
  <si>
    <t>募集登记日期</t>
  </si>
  <si>
    <t>MJDJRQ</t>
  </si>
  <si>
    <t>120157</t>
  </si>
  <si>
    <t>理财产品在全国银行业理财信息登记系统中完成募集期总量登记的日期，由理财中心系统自动计算生成，非发行机构直接填写内容。</t>
  </si>
  <si>
    <t>CPZT</t>
  </si>
  <si>
    <t>120158</t>
  </si>
  <si>
    <t>理财产品在全国银行业理财信息登记系统中的状态，由理财中心系统自动计算生成，非发行机构直接填写内容。</t>
  </si>
  <si>
    <t>CPXSQY</t>
  </si>
  <si>
    <t>120159</t>
  </si>
  <si>
    <t>理财产品销售所面向的区域。</t>
  </si>
  <si>
    <t>是否有其他机构代销</t>
  </si>
  <si>
    <t>SFYQTJGDX</t>
  </si>
  <si>
    <t>120160</t>
  </si>
  <si>
    <t>用于标记该理财产品是否被其他金融机构代销。</t>
  </si>
  <si>
    <t>境内托管机构代码</t>
  </si>
  <si>
    <t>JNTGJGDM</t>
  </si>
  <si>
    <t>120161</t>
  </si>
  <si>
    <t>理财产品在境内的托管机构的代码。</t>
  </si>
  <si>
    <t>境内托管机构名称</t>
  </si>
  <si>
    <t>JNTGJGMC</t>
  </si>
  <si>
    <t>120162</t>
  </si>
  <si>
    <t>理财产品在境内的托管机构名称。</t>
  </si>
  <si>
    <t>境外托管机构国别</t>
  </si>
  <si>
    <t>JWTGJGGB</t>
  </si>
  <si>
    <t>120163</t>
  </si>
  <si>
    <t>境外托管机构所属的、并经认定具有特别地理和政治意义的国家名称。多个国别用分号隔开。</t>
  </si>
  <si>
    <t>境外托管机构名称</t>
  </si>
  <si>
    <t>JWTGJGMC</t>
  </si>
  <si>
    <t>120164</t>
  </si>
  <si>
    <t>保管理财产品资金，负责清算交割、资产估值、投资监督等事务的中国境外商业银行或者其他专业金融机构的法人机构名称。</t>
  </si>
  <si>
    <t>理财产品资金托管账号</t>
  </si>
  <si>
    <t>LCCPZJTGZH</t>
  </si>
  <si>
    <t>120165</t>
  </si>
  <si>
    <t>相关信息于2020年6月起开始提供。</t>
  </si>
  <si>
    <t>理财产品资金托管账户</t>
  </si>
  <si>
    <t>LCCPZJTGZHU</t>
  </si>
  <si>
    <t>120166</t>
  </si>
  <si>
    <t>非隐私，不做变形。如果为境内涉密机构的，填报为“*********”。相关信息于2020年6月起开始提供。</t>
  </si>
  <si>
    <t>是否公/私募产品</t>
  </si>
  <si>
    <t>SFGSMCP</t>
  </si>
  <si>
    <t>120167</t>
  </si>
  <si>
    <t>在全国银行业理财信息登记系统中“公募/私募登记模块”登记的为“是”，其余为“否”，由理财中心系统自动计算生成，非发行机构直接填写内容。</t>
  </si>
  <si>
    <t>数据项名称、数据项代码、数据元、数据元说明、格式、备注</t>
  </si>
  <si>
    <t>CPMJFS</t>
  </si>
  <si>
    <t>120168</t>
  </si>
  <si>
    <t>理财产品募集资金的方式。</t>
  </si>
  <si>
    <t>CPTZXZ</t>
  </si>
  <si>
    <t>120169</t>
  </si>
  <si>
    <t>根据投资性质的不同，将理财产品进行分类。</t>
  </si>
  <si>
    <t>是否设置最短持有期限</t>
  </si>
  <si>
    <t>SFSZZDCYQX</t>
  </si>
  <si>
    <t>120170</t>
  </si>
  <si>
    <t>产品对于投资者认购或申购理财产品份额后，是否有必须持有超过一个封闭周期时间的限制。</t>
  </si>
  <si>
    <t>最短持有期限（天）</t>
  </si>
  <si>
    <t>ZDCYQX</t>
  </si>
  <si>
    <t>120171</t>
  </si>
  <si>
    <t>投资者认购或申购理财产品份额后，必须持有的最短天数。</t>
  </si>
  <si>
    <t>最短持有期后是否自由赎回</t>
  </si>
  <si>
    <t>ZDCYQHSFZYSH</t>
  </si>
  <si>
    <t>120172</t>
  </si>
  <si>
    <t>投资者认购或申购理财产品份额并满足最短持有期限后，是否可在未来每个产品开放日内对该笔份额进行自由赎回。</t>
  </si>
  <si>
    <t>是否为现金管理类理财产品</t>
  </si>
  <si>
    <t>SFWXJGLLLCCP</t>
  </si>
  <si>
    <t>120173</t>
  </si>
  <si>
    <t>业绩比较基准上限</t>
  </si>
  <si>
    <t>YJBJJZSX</t>
  </si>
  <si>
    <t>120174</t>
  </si>
  <si>
    <t>该理财产品或者本行同类理财产品年化收益的比较标准上限。相关信息于2020年6月起开始提供。</t>
  </si>
  <si>
    <t>数据元、数据元说明、格式</t>
  </si>
  <si>
    <t>业绩比较基准下限</t>
  </si>
  <si>
    <t>YJBJJZXX</t>
  </si>
  <si>
    <t>120175</t>
  </si>
  <si>
    <t>该理财产品或者本行同类理财产品年化收益的比较标准下限。相关信息于2020年6月起开始提供。</t>
  </si>
  <si>
    <t>业绩比较基准说明</t>
  </si>
  <si>
    <t>YJBJJZSM</t>
  </si>
  <si>
    <t>120176</t>
  </si>
  <si>
    <t>该理财产品或者本行同类理财产品年化收益的比较标准说明。相关信息于2020年6月起开始提供。</t>
  </si>
  <si>
    <t>投资管理费率</t>
  </si>
  <si>
    <t>TZGLFL</t>
  </si>
  <si>
    <t>120177</t>
  </si>
  <si>
    <t>理财产品管理人从理财产品财产中计提的投资管理费用比例。</t>
  </si>
  <si>
    <t>是否金融同业专属</t>
  </si>
  <si>
    <t>SFJRTYZS</t>
  </si>
  <si>
    <t>120178</t>
  </si>
  <si>
    <t>是否是专门面向金融同业销售的理财产品。</t>
  </si>
  <si>
    <t>托管费率</t>
  </si>
  <si>
    <t>TGFL</t>
  </si>
  <si>
    <t>120179</t>
  </si>
  <si>
    <t>理财产品管理人为支付托管费而从理财产品财产中计提的费用比例。</t>
  </si>
  <si>
    <t>计划募集金额</t>
  </si>
  <si>
    <t>JHMJJE</t>
  </si>
  <si>
    <t>120180</t>
  </si>
  <si>
    <t>理财产品计划募集资金总额。</t>
  </si>
  <si>
    <t>数据元、数据元说明</t>
  </si>
  <si>
    <t>实际募集金额</t>
  </si>
  <si>
    <t>SJMJJE</t>
  </si>
  <si>
    <t>120181</t>
  </si>
  <si>
    <t>理财产品实际募集资金总额。</t>
  </si>
  <si>
    <t>银行实际实现收入</t>
  </si>
  <si>
    <t>YHSJSXSR</t>
  </si>
  <si>
    <t>120182</t>
  </si>
  <si>
    <t>理财产品到期、兑付客户收益后，产品发行机构实际取得的各项净收入总和。</t>
  </si>
  <si>
    <t>兑付客户收益</t>
  </si>
  <si>
    <t>DFKHSY</t>
  </si>
  <si>
    <t>120183</t>
  </si>
  <si>
    <t>理财产品到期后，按照理财产品说明书载明的相关事项计算的，实际支付给客户的累计理财收益。当发生产品本金损失的情况时，该要素须填写负值。</t>
  </si>
  <si>
    <t>兑付客户总金额</t>
  </si>
  <si>
    <t>DFKHZJE</t>
  </si>
  <si>
    <t>120184</t>
  </si>
  <si>
    <t>理财产品到期后，实际支付客户的本金及收益金额总和。</t>
  </si>
  <si>
    <t>客户实际年化收益率</t>
  </si>
  <si>
    <t>KHSJNHSYL</t>
  </si>
  <si>
    <t>120185</t>
  </si>
  <si>
    <t>理财产品到期后，客户取得的实际年化收益率。</t>
  </si>
  <si>
    <t>产品实际年化收益率</t>
  </si>
  <si>
    <t>CPSJNHSYL</t>
  </si>
  <si>
    <t>120186</t>
  </si>
  <si>
    <t>理财产品到期后，该产品实际取得的年化收益率。</t>
  </si>
  <si>
    <t>120187</t>
  </si>
  <si>
    <t>120188</t>
  </si>
  <si>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首次报送时，由于理财产品信息表为全量报送，补报时点的产品采集日期均为20191130。</t>
  </si>
  <si>
    <t>删除开放式产品易变现资产期末持仓占比、封闭式产品债权类资产平均期限错配比、非标债权资产持仓比例、最新预期收益率、产品统计日</t>
  </si>
  <si>
    <t>120201</t>
  </si>
  <si>
    <t>120202</t>
  </si>
  <si>
    <t>120203</t>
  </si>
  <si>
    <t>120204</t>
  </si>
  <si>
    <t>120205</t>
  </si>
  <si>
    <t>负责理财产品分发、销售的法人机构，同时也是理财产品募集资金的管理和运作机构。</t>
  </si>
  <si>
    <t>120206</t>
  </si>
  <si>
    <t>与产品存续余额、银行实现收益、产品总资产金额所对应的币种。</t>
  </si>
  <si>
    <t>累计申购金额</t>
  </si>
  <si>
    <t>LJSGJE</t>
  </si>
  <si>
    <t>120207</t>
  </si>
  <si>
    <t>计算在产品起始日到统计日期间，理财产品存续登记的“该币种累计申购金额（元）”的加总。
对于2013年1月1日前成立的产品，只能统计2013年1月1日至本统计期末的累计数据。
由银行业理财登记托管中心系统自动计算生成。</t>
  </si>
  <si>
    <t>数据元、数据元说明、备注</t>
  </si>
  <si>
    <t>累计申购份额</t>
  </si>
  <si>
    <t>LJSGFE</t>
  </si>
  <si>
    <t>120208</t>
  </si>
  <si>
    <t>计算在产品起始日到统计日期间，理财产品存续登记的“累计申购份额”的加总。
对于2013年1月1日前成立的产品，只能统计2013年1月1日至本统计期末的累计数据。
由银行业理财登记托管中心系统自动计算生成。</t>
  </si>
  <si>
    <t>累计兑付金额</t>
  </si>
  <si>
    <t>LJDFJE</t>
  </si>
  <si>
    <t>120209</t>
  </si>
  <si>
    <t>计算在产品起始日到统计日期间，理财产品存续登记的“该币种累计兑付金额（元）”的加总。
对于2013年1月1日前成立的产品，只能统计2013年1月1日至本统计期末的累计数据。
由银行业理财登记托管中心系统自动计算生成。</t>
  </si>
  <si>
    <t>累计兑付收益金额</t>
  </si>
  <si>
    <t>LJDFSYJE</t>
  </si>
  <si>
    <t>120210</t>
  </si>
  <si>
    <t>计算在产品起始日到统计日期间，理财产品存续登记的“该币种累计兑付收益金额（元）”的加总。
对于2013年1月1日前成立的产品，只能统计2013年1月1日至本统计期末的累计数据。
由银行业理财登记托管中心系统自动计算生成。</t>
  </si>
  <si>
    <t>累计赎回份额</t>
  </si>
  <si>
    <t>LJSHFE</t>
  </si>
  <si>
    <t>120211</t>
  </si>
  <si>
    <t>计算在产品起始日到统计日期间，理财产品存续登记的“累计赎回份额”的加总。
对于2013年1月1日前成立的产品，只能统计2013年1月1日至本统计期末的累计数据。
由银行业理财登记托管中心系统自动计算生成。</t>
  </si>
  <si>
    <t>产品统计日状态</t>
  </si>
  <si>
    <t>CPTJRZT</t>
  </si>
  <si>
    <t>120212</t>
  </si>
  <si>
    <t>“存续”指：“产品起始日期”&lt;=统计日期&lt;“产品终止日期”（若已进行终止登记，则取“理财产品实际终止日期”），且产品状态为“已发行登记”、“已募集登记”或“已终止登记”。
由银行业理财登记托管中心系统自动计算生成。</t>
  </si>
  <si>
    <t>产品存续余额</t>
  </si>
  <si>
    <t>CPCXYE</t>
  </si>
  <si>
    <t>120213</t>
  </si>
  <si>
    <t>产品所在月末统计时点的存续余额。
对于净值型产品，为产品发行存续期间内，统计时点之前（含）最近的存续期登记的“份额”*“折算人民币净值”，计算结果为空时取“实际募集金额（元）”；对于非净值型产品，为统计时点之前（含）最近的存续期登记的“产品余额”（为空时取“实际募集金额（元）”）。
由银行业理财登记托管中心系统自动计算生成。
因登记数据准确性、计算方法的不同，可能存在与机构内部产品实际存续余额偏差的情况，仅供参考</t>
  </si>
  <si>
    <t>净值币种</t>
  </si>
  <si>
    <t>JZBZ</t>
  </si>
  <si>
    <t>120214</t>
  </si>
  <si>
    <t>与初始净值、产品净值和累计净值所对应的币种。</t>
  </si>
  <si>
    <t>初始净值</t>
  </si>
  <si>
    <t>CSJZ</t>
  </si>
  <si>
    <t>120215</t>
  </si>
  <si>
    <t>在产品正式成立时设定的净值。</t>
  </si>
  <si>
    <t>产品净值</t>
  </si>
  <si>
    <t>CPJZ</t>
  </si>
  <si>
    <t>120216</t>
  </si>
  <si>
    <t>产品对外公布的最新净值。</t>
  </si>
  <si>
    <t>累计净值</t>
  </si>
  <si>
    <t>LJJZ</t>
  </si>
  <si>
    <t>120217</t>
  </si>
  <si>
    <t>指自产品发起成立日起开始，在不考虑历次现金分红派息情况的基础上的单位净值。</t>
  </si>
  <si>
    <t>折算人民币初始净值</t>
  </si>
  <si>
    <t>ZSRMBCSJZ</t>
  </si>
  <si>
    <t>120218</t>
  </si>
  <si>
    <t>根据产品成立当日汇率折算的初始净值。</t>
  </si>
  <si>
    <t>折算人民币净值</t>
  </si>
  <si>
    <t>ZSRMBJZ</t>
  </si>
  <si>
    <t>120219</t>
  </si>
  <si>
    <t>根据净值公布日汇率折算的产品的最新净值。</t>
  </si>
  <si>
    <t>折算人民币累计净值</t>
  </si>
  <si>
    <t>ZSRMBLJJZ</t>
  </si>
  <si>
    <t>120220</t>
  </si>
  <si>
    <t>根据净值公布日汇率折算的产品的累计净值。</t>
  </si>
  <si>
    <t>实现收益率</t>
  </si>
  <si>
    <t>SXSYL</t>
  </si>
  <si>
    <t>120221</t>
  </si>
  <si>
    <t>客户实际实现的最新年化收益率。</t>
  </si>
  <si>
    <t>银行实现收益</t>
  </si>
  <si>
    <t>YHSXSY</t>
  </si>
  <si>
    <t>120222</t>
  </si>
  <si>
    <t>计算在“产品起始日期”到统计日期间，理财产品存续期登记的“银行实现收益（元）”的加总。
由银行业理财登记托管中心系统自动计算生成。</t>
  </si>
  <si>
    <t>理财产品杠杆率</t>
  </si>
  <si>
    <t>LCCPGGL</t>
  </si>
  <si>
    <t>120223</t>
  </si>
  <si>
    <t>为所在月末统计时点理财产品总资产/净资产。总资产的计算口径为“理财产品底层持仓信息表”中“资产/负债类别（一级）”的所有资产（包含现金）的“理财产品持有底层资产折算人民币金额”的加总；总负债的计算口径为“理财产品底层持仓信息表”中“资产/负债类别（一级）”的所有负债的“理财产品持有底层资产折算人民币金额”的加总。若净资产为0，则为空。
由银行业理财登记托管中心系统自动计算生成，资产/负债持仓的详细计算逻辑参见银行业理财登记托管中心登记系统中公布的“理财产品持仓计算逻辑”文档。
因登记数据准确性、资产估值口径、持仓计算方法的不同，相关计算结果可能与机构内部实际结果存在一定偏差，仅供参考。</t>
  </si>
  <si>
    <t>理财产品杠杆率（机构报送）</t>
  </si>
  <si>
    <t>LCCPGGLJG</t>
  </si>
  <si>
    <t>120224</t>
  </si>
  <si>
    <t>由机构报送。</t>
  </si>
  <si>
    <t>理财产品总资产金额</t>
  </si>
  <si>
    <t>LCCPZZCJE</t>
  </si>
  <si>
    <t>120225</t>
  </si>
  <si>
    <t>为所在月末统计时点理财产品总资产持仓金额。总资产的计算口径为“理财产品底层持仓信息表”中“资产/负债类别（一级）”的所有资产（包含现金）的“理财产品持有底层资产折算人民币金额”的加总；总负债的计算口径为“理财产品底层持仓信息表”中“资产/负债类别（一级）”的所有负债的“理财产品持有底层资产折算人民币金额”的加总。若净资产为0，则为空。
由银行业理财登记托管中心系统自动计算生成，资产持仓的详细计算逻辑参见银行业理财登记托管中心登记系统中公布的“理财产品持仓计算逻辑”文档。
因登记数据准确性、资产估值口径、持仓计算方法的不同，相关计算结果可能与机构内部实际结果存在一定偏差，仅供参考。</t>
  </si>
  <si>
    <t>理财产品总资产金额（机构报送）</t>
  </si>
  <si>
    <t>LCCPZZCJEJG</t>
  </si>
  <si>
    <t>120226</t>
  </si>
  <si>
    <t>所在月末统计时点所有资产持仓金额的加总。由机构报送。</t>
  </si>
  <si>
    <t>120227</t>
  </si>
  <si>
    <t>120228</t>
  </si>
  <si>
    <t>PK。采集日期指该期（批次）数据报送的期末日期，例如：按日采集的表，采集日期应为每日；按月采集的表，采集日期应为月末最后一天；以此类推。有特殊报送要求的，应以报送要求的截至日期为采集日期。同2019版规范中产品统计日期。</t>
  </si>
  <si>
    <t>删除年月、备注（旧）</t>
  </si>
  <si>
    <t>120301</t>
  </si>
  <si>
    <t>120302</t>
  </si>
  <si>
    <t>120303</t>
  </si>
  <si>
    <t>120304</t>
  </si>
  <si>
    <t>120305</t>
  </si>
  <si>
    <t>120306</t>
  </si>
  <si>
    <t>资产ID</t>
  </si>
  <si>
    <t>ZCID</t>
  </si>
  <si>
    <t>120307</t>
  </si>
  <si>
    <t>直接或间接投资</t>
  </si>
  <si>
    <t>ZJHJJTZ</t>
  </si>
  <si>
    <t>120308</t>
  </si>
  <si>
    <t>通过“资产管理产品”、“委外投资——协议方式”、“私募基金”投资的资产为“间接”，未通过“资产管理产品”、“委外投资——协议方式”、“私募基金”投资的资产为“直接”。由理财中心系统自动计算生成。</t>
  </si>
  <si>
    <t>各层计划名称</t>
  </si>
  <si>
    <t>GCJHMC</t>
  </si>
  <si>
    <t>120309</t>
  </si>
  <si>
    <t>间接投资资产的中间层的名称，存在多层嵌套的以英文半角分号”;”隔开，由理财中心系统自动计算生成，非发行机构直接填写内容。</t>
  </si>
  <si>
    <t>各层计划类型</t>
  </si>
  <si>
    <t>GCJHLX</t>
  </si>
  <si>
    <t>120310</t>
  </si>
  <si>
    <t>间接投资资产的中间层的类型，存在多层嵌套的以英文半角分号”;”隔开，由理财中心系统自动计算生成，非发行机构直接填写内容。</t>
  </si>
  <si>
    <t>行内资产/负债编码</t>
  </si>
  <si>
    <t>HNZCFZBM</t>
  </si>
  <si>
    <t>120311</t>
  </si>
  <si>
    <t>PK。与底层资产相对应。银行理财产品所投资资产或负债在银行内部登记时被赋予的代码，该代码在银行内部应具有唯一性。</t>
  </si>
  <si>
    <t>资产负债登记编码</t>
  </si>
  <si>
    <t>ZCFZDJBM</t>
  </si>
  <si>
    <t>120312</t>
  </si>
  <si>
    <t>与底层资产相对应。由理财中心系统自动计算生成，非发行机构直接填写内容。</t>
  </si>
  <si>
    <t>120313</t>
  </si>
  <si>
    <t>与底层资产相对应。理财产品所投资资产或负债的货币种类。</t>
  </si>
  <si>
    <t>资产估值</t>
  </si>
  <si>
    <t>ZCGZ</t>
  </si>
  <si>
    <t>120314</t>
  </si>
  <si>
    <t>指该资产月末时的单位估值（净价）。有机构报送。</t>
  </si>
  <si>
    <t>资产/负债类别（一级）</t>
  </si>
  <si>
    <t>ZCFZLBYJ</t>
  </si>
  <si>
    <t>120315</t>
  </si>
  <si>
    <t>与底层资产相对应，为产品发行机构在理财登记系统中根据预设值域所选择资产类别。由银行业理财登记托管中心系统根据发行机构登记的资产信息提取。</t>
  </si>
  <si>
    <t>资产/负债类别（二级）</t>
  </si>
  <si>
    <t>ZCFZLBEJ</t>
  </si>
  <si>
    <t>120316</t>
  </si>
  <si>
    <t>资产名称</t>
  </si>
  <si>
    <t>ZCMC</t>
  </si>
  <si>
    <t>120317</t>
  </si>
  <si>
    <t>与底层资产相对应。</t>
  </si>
  <si>
    <t>代码</t>
  </si>
  <si>
    <t>DM</t>
  </si>
  <si>
    <t>120318</t>
  </si>
  <si>
    <t>与底层资产相对应，指债券、公募基金类资产在公开市场上统一的代码。</t>
  </si>
  <si>
    <t>行业</t>
  </si>
  <si>
    <t>HY</t>
  </si>
  <si>
    <t>120319</t>
  </si>
  <si>
    <t>与底层资产相对应。由理财中心根据发行机构填写的融资人行业数据综合生成。</t>
  </si>
  <si>
    <t>交易流通场所</t>
  </si>
  <si>
    <t>JYLTCS</t>
  </si>
  <si>
    <t>120320</t>
  </si>
  <si>
    <t>与底层资产相对应。指各类资产进行各项交易的市场。</t>
  </si>
  <si>
    <t>利率/收益率</t>
  </si>
  <si>
    <t>LLSYL</t>
  </si>
  <si>
    <t>120321</t>
  </si>
  <si>
    <t>与底层资产相对应。填写年化数据。</t>
  </si>
  <si>
    <t>剩余期限</t>
  </si>
  <si>
    <t>SYQX</t>
  </si>
  <si>
    <t>120322</t>
  </si>
  <si>
    <t>与底层资产相对应。资产登记的到期日-统计日。若未登记到期日，则为空。
由银行业理财登记托管中心系统自动计算生成。</t>
  </si>
  <si>
    <t>资产评级</t>
  </si>
  <si>
    <t>ZCPJ</t>
  </si>
  <si>
    <t>120323</t>
  </si>
  <si>
    <t>与底层资产相对应。由银行业理财登记托管中心根据发行机构登记的资产信息提取。</t>
  </si>
  <si>
    <t>资产类型细分</t>
  </si>
  <si>
    <t>ZCLXXF</t>
  </si>
  <si>
    <t>120324</t>
  </si>
  <si>
    <t>与底层资产相对应。由银行业理财登记托管中心系统根据发行机构登记的资产信息提取。</t>
  </si>
  <si>
    <t>理财产品持有底层资产折算人民币金额</t>
  </si>
  <si>
    <t>LCCPCYDCZCZSRMBJE</t>
  </si>
  <si>
    <t>120325</t>
  </si>
  <si>
    <t>所在月末统计时点的资产持仓余额。
对于直接投资的资产，为根据银行历史登记的每笔交易信息按“历史平均成本法”计算得到的金额。对于间接投资的资产，为根据银行按月报送的“底层资产/负债信息”情况计算得到的金额。
由银行业理财登记托管中心系统自动计算生成，详细计算逻辑参见银行业理财登记托管中心登记系统中公布的“理财产品持仓计算逻辑”文档。
因登记数据准确性、资产估值口径、持仓计算方法的不同，相关持仓计算结果可能与机构内部实际资产持仓结果存在一定偏差，且并不能代表持有资产的公允价值，仅供参考。</t>
  </si>
  <si>
    <t>理财产品持有底层资产折算人民币金额（机构报送）</t>
  </si>
  <si>
    <t>LCCPCYDCZCZSRMBJEJG</t>
  </si>
  <si>
    <t>120326</t>
  </si>
  <si>
    <t>每月底层资产持仓余额。由机构报送。</t>
  </si>
  <si>
    <t>120327</t>
  </si>
  <si>
    <t>数据元、数据元说明、格式、备注</t>
  </si>
  <si>
    <t>120328</t>
  </si>
  <si>
    <t>删除年份、月份、是否有预期收益率、外部评级机构名称及对融资人评级结果</t>
  </si>
  <si>
    <t>120401</t>
  </si>
  <si>
    <t>120402</t>
  </si>
  <si>
    <t>120403</t>
  </si>
  <si>
    <t>120404</t>
  </si>
  <si>
    <t>120405</t>
  </si>
  <si>
    <t>120406</t>
  </si>
  <si>
    <t>120407</t>
  </si>
  <si>
    <t>理财产品所投资资产或负债的货币种类。</t>
  </si>
  <si>
    <t>120408</t>
  </si>
  <si>
    <t>SSYQLX</t>
  </si>
  <si>
    <t>120409</t>
  </si>
  <si>
    <t>收/受益权标的所对应的类别。</t>
  </si>
  <si>
    <t>是否属于买入返售</t>
  </si>
  <si>
    <t>SFSYMRFS</t>
  </si>
  <si>
    <t>120410</t>
  </si>
  <si>
    <t>MC</t>
  </si>
  <si>
    <t>120411</t>
  </si>
  <si>
    <t>非标准化债权类资产的全称。</t>
  </si>
  <si>
    <t>120412</t>
  </si>
  <si>
    <t>非标资产开始计算利息的日期。</t>
  </si>
  <si>
    <t>120413</t>
  </si>
  <si>
    <t>非标资产停止计算利息的日期。</t>
  </si>
  <si>
    <t>法定到期日期</t>
  </si>
  <si>
    <t>FDDQRQ</t>
  </si>
  <si>
    <t>120414</t>
  </si>
  <si>
    <t>预期到期日之后的诉讼期结束，处置资产的清算日期。发行时在相关的发行文件中披露。相关信息于2020年6月起开始提供。</t>
  </si>
  <si>
    <t>份额面值</t>
  </si>
  <si>
    <t>FEMZ</t>
  </si>
  <si>
    <t>120415</t>
  </si>
  <si>
    <t>单位份额的金额。相关信息于2020年6月起开始提供。</t>
  </si>
  <si>
    <t>JXLX</t>
  </si>
  <si>
    <t>120416</t>
  </si>
  <si>
    <t>约定的计算并支付利息的方式。相关信息于2020年6月起开始提供。</t>
  </si>
  <si>
    <t>付息频率（个月/次）</t>
  </si>
  <si>
    <t>FXPL</t>
  </si>
  <si>
    <t>120417</t>
  </si>
  <si>
    <t>支付利息的频率（以月为单位）。</t>
  </si>
  <si>
    <t>还本付息情况说明</t>
  </si>
  <si>
    <t>HBFXQKSM</t>
  </si>
  <si>
    <t>120418</t>
  </si>
  <si>
    <t>对非标资产项目还本付息情况的详细说明，尤其是针对收益率不固定、还本付息频率不规则等情况。</t>
  </si>
  <si>
    <t>JXJC</t>
  </si>
  <si>
    <t>120419</t>
  </si>
  <si>
    <t>以年为单位，实际计算利息的天数。</t>
  </si>
  <si>
    <t>规则付息标识</t>
  </si>
  <si>
    <t>GZFXBZ</t>
  </si>
  <si>
    <t>120420</t>
  </si>
  <si>
    <t>标识付息周期是否规律。相关信息于2020年6月起开始提供。</t>
  </si>
  <si>
    <t>LXFBFS</t>
  </si>
  <si>
    <t>120421</t>
  </si>
  <si>
    <t>利息分布方式代码标识付息周期小于12个月的附息式固定利率、附息式浮动利率资产的利息分配方式，全年利息按照付息频率在各计息期间平均分配或按照各计息期的实际天数计算和分配。相关信息于2020年6月起开始提供。</t>
  </si>
  <si>
    <t>JZLLZL</t>
  </si>
  <si>
    <t>120422</t>
  </si>
  <si>
    <t>浮动收益类资产所参考的利率类型。</t>
  </si>
  <si>
    <t>是否有浮动因子</t>
  </si>
  <si>
    <t>SFYFDYZ</t>
  </si>
  <si>
    <t>120423</t>
  </si>
  <si>
    <t>浮动因子</t>
  </si>
  <si>
    <t>FDYZ</t>
  </si>
  <si>
    <t>120424</t>
  </si>
  <si>
    <t>项目收益率在基准利率基础上上浮或下浮的比率。</t>
  </si>
  <si>
    <t>JGDC</t>
  </si>
  <si>
    <t>120425</t>
  </si>
  <si>
    <t>资产在资产包现金流分配机制中的现金偿还次序，相同结构档次的债权类资产具有相同的收益分配顺序。相关信息于2020年6月起开始提供。</t>
  </si>
  <si>
    <t>HBFS</t>
  </si>
  <si>
    <t>120426</t>
  </si>
  <si>
    <t>标识证券化资产约定的还本方式，根据基础资产现金流回收情况过手摊还，或是根据固定的摊还计划还本。相关信息于2020年6月起开始提供。</t>
  </si>
  <si>
    <t>FQHBTKBZ</t>
  </si>
  <si>
    <t>120427</t>
  </si>
  <si>
    <t>是否约定了分期还本条款。相关信息于2020年6月起开始提供。</t>
  </si>
  <si>
    <t>JCZCLX</t>
  </si>
  <si>
    <t>120428</t>
  </si>
  <si>
    <t>资产包所包含基础资产的种类。相关信息于2020年6月起开始提供。</t>
  </si>
  <si>
    <t>超额收益分配比例</t>
  </si>
  <si>
    <t>CESYFPBL</t>
  </si>
  <si>
    <t>120429</t>
  </si>
  <si>
    <t>根据现金流分配机制，基础资产回收款完成各分级、各分档本金和收益分配后的超额收益分配部分，在各分级、各分档的分配比例。相关信息于2020年6月起开始提供。</t>
  </si>
  <si>
    <t>利差</t>
  </si>
  <si>
    <t>LC</t>
  </si>
  <si>
    <t>120430</t>
  </si>
  <si>
    <t>项目收益率与基准利率的差值。</t>
  </si>
  <si>
    <t>融资人</t>
  </si>
  <si>
    <t>RZR</t>
  </si>
  <si>
    <t>120431</t>
  </si>
  <si>
    <t>非标资产项目的实际融资方，即债务人。</t>
  </si>
  <si>
    <t>融资人内部评级</t>
  </si>
  <si>
    <t>RZRNBPJ</t>
  </si>
  <si>
    <t>120432</t>
  </si>
  <si>
    <t>理财产品发行机构内部对融资人如期足额偿还债务本息的能力和意愿的评价。</t>
  </si>
  <si>
    <t>数据项名称、数据项代码代码、数据元说明</t>
  </si>
  <si>
    <t>融资人类型（按规模划分）</t>
  </si>
  <si>
    <t>RZRLXGM</t>
  </si>
  <si>
    <t>120433</t>
  </si>
  <si>
    <t>指按规模划分的非标资产融资人类型。</t>
  </si>
  <si>
    <t>融资人类型（按技术领域划分）</t>
  </si>
  <si>
    <t>RZRLXJS</t>
  </si>
  <si>
    <t>120434</t>
  </si>
  <si>
    <t>指按技术领域划分的非标资产融资人类型。</t>
  </si>
  <si>
    <t>融资人类型（按经济类型划分）</t>
  </si>
  <si>
    <t>RZRLXJJ</t>
  </si>
  <si>
    <t>120435</t>
  </si>
  <si>
    <t>指按经济类型划分的非标资产融资人类型。</t>
  </si>
  <si>
    <t>融资项目</t>
  </si>
  <si>
    <t>RZXM</t>
  </si>
  <si>
    <t>120436</t>
  </si>
  <si>
    <t>非标资产所募集资金实际投资项目的名称。</t>
  </si>
  <si>
    <t>融资人所属行业</t>
  </si>
  <si>
    <t>RZRSSHY</t>
  </si>
  <si>
    <t>120437</t>
  </si>
  <si>
    <t>融资项目所属行业</t>
  </si>
  <si>
    <t>RZXMSSHY</t>
  </si>
  <si>
    <t>120438</t>
  </si>
  <si>
    <t>项目是否属于重点监控行业和领域</t>
  </si>
  <si>
    <t>XMSFSYZDJKHYHLY</t>
  </si>
  <si>
    <t>120439</t>
  </si>
  <si>
    <t>重点监控行业和领域类别</t>
  </si>
  <si>
    <t>ZDJKHYHLYLB</t>
  </si>
  <si>
    <t>120440</t>
  </si>
  <si>
    <t>重点监控行业和领域类别说明</t>
  </si>
  <si>
    <t>ZDJKHYHLYLBSM</t>
  </si>
  <si>
    <t>120441</t>
  </si>
  <si>
    <t>DBFS</t>
  </si>
  <si>
    <t>120442</t>
  </si>
  <si>
    <t>指担保人用以担保债权的手段。多种担保方式的以分号分隔开填报。</t>
  </si>
  <si>
    <t>担保情况说明</t>
  </si>
  <si>
    <t>DBQKSM</t>
  </si>
  <si>
    <t>120443</t>
  </si>
  <si>
    <t>对于担保方式的详细说明。</t>
  </si>
  <si>
    <t>DZYWLX</t>
  </si>
  <si>
    <t>120444</t>
  </si>
  <si>
    <t>抵质押物价值</t>
  </si>
  <si>
    <t>DZYWJZ</t>
  </si>
  <si>
    <t>120445</t>
  </si>
  <si>
    <t>DBXZ</t>
  </si>
  <si>
    <t>120446</t>
  </si>
  <si>
    <t>DBRYRZRGX</t>
  </si>
  <si>
    <t>120447</t>
  </si>
  <si>
    <t>增信机构代码</t>
  </si>
  <si>
    <t>ZXJGDM</t>
  </si>
  <si>
    <t>120448</t>
  </si>
  <si>
    <t>担保増信机构的组织机构代码或统一社会信用代码。相关信息于2020年6月起开始提供。</t>
  </si>
  <si>
    <t>增信机构名称</t>
  </si>
  <si>
    <t>ZXJGMC</t>
  </si>
  <si>
    <t>120449</t>
  </si>
  <si>
    <t>担保増信机构的名称。相关信息于2020年6月起开始提供。</t>
  </si>
  <si>
    <t>融资人外部评级</t>
  </si>
  <si>
    <t>RZRWBPJ</t>
  </si>
  <si>
    <t>120450</t>
  </si>
  <si>
    <t>理财产品发行机构对非标资产融资人如期足额偿还债务本息的能力和意愿的评价。</t>
  </si>
  <si>
    <t>数据项名称、数据项代码、数据元说明</t>
  </si>
  <si>
    <t>资产内部评级</t>
  </si>
  <si>
    <t>ZCNBPJ</t>
  </si>
  <si>
    <t>120451</t>
  </si>
  <si>
    <t>银行理财产品发行机构内部对非标资产项目本身的风险评级结果。</t>
  </si>
  <si>
    <t>资产外部评级</t>
  </si>
  <si>
    <t>ZCWBPJ</t>
  </si>
  <si>
    <t>120452</t>
  </si>
  <si>
    <t>银行理财产品发行机构参照相关标准对非标资产项目本身的评级结果。</t>
  </si>
  <si>
    <t>HQLX</t>
  </si>
  <si>
    <t>120453</t>
  </si>
  <si>
    <t>选择权条款的种类，根据选择权条款中约定的权力行使方、权力种类划分为发行人赎回选择权、投资人回售选择权等类型。相关信息于2020年6月起开始提供。</t>
  </si>
  <si>
    <t>选择权</t>
  </si>
  <si>
    <t>XZQ</t>
  </si>
  <si>
    <t>120454</t>
  </si>
  <si>
    <t>非标资产对于提前赎回、买入返售、远期买回等相关权利的规定说明。</t>
  </si>
  <si>
    <t>行权条件说明</t>
  </si>
  <si>
    <t>XQTJSM</t>
  </si>
  <si>
    <t>120455</t>
  </si>
  <si>
    <t>对于触发或行使上述选择权的条件说明。</t>
  </si>
  <si>
    <t>XQFS</t>
  </si>
  <si>
    <t>120456</t>
  </si>
  <si>
    <t>选择权的履约方式。相关信息于2020年6月起开始提供。</t>
  </si>
  <si>
    <t>固定行权日期</t>
  </si>
  <si>
    <t>GDXQRQ</t>
  </si>
  <si>
    <t>120457</t>
  </si>
  <si>
    <t>选择权类型为欧式期权的选择权，约定的选择权行使日期（理论行权日）。相关信息于2020年6月起开始提供。</t>
  </si>
  <si>
    <t>首次行权日期</t>
  </si>
  <si>
    <t>SCXQRQ</t>
  </si>
  <si>
    <t>120458</t>
  </si>
  <si>
    <t>以一定间隔无限次行使的选择权的首次行权日期。相关信息于2020年6月起开始提供。</t>
  </si>
  <si>
    <t>行权周期</t>
  </si>
  <si>
    <t>XQZQ</t>
  </si>
  <si>
    <t>120459</t>
  </si>
  <si>
    <t>选择权在约定的区间中，可以行使权利的本次日期与下次日期之间的间隔。相关信息于2020年6月起开始提供。</t>
  </si>
  <si>
    <t>行权价格</t>
  </si>
  <si>
    <t>XQJG</t>
  </si>
  <si>
    <t>120460</t>
  </si>
  <si>
    <t>含权资产行使权利时的净价，并扣除当日因分期还本兑付的本金值，不包含应计利息。相关信息于2020年6月起开始提供。</t>
  </si>
  <si>
    <t>YXTKLX</t>
  </si>
  <si>
    <t>120461</t>
  </si>
  <si>
    <t>资产是否约定了可续期或永续条款。相关信息于2020年6月起开始提供。</t>
  </si>
  <si>
    <t>LXDYTKLX</t>
  </si>
  <si>
    <t>120462</t>
  </si>
  <si>
    <t>永续资产是否约定了利息递延条款，允许发行人在一定条件下延迟支付利息。相关信息于2020年6月起开始提供。</t>
  </si>
  <si>
    <t>递延利息是否计息</t>
  </si>
  <si>
    <t>DYLXJXFS</t>
  </si>
  <si>
    <t>120463</t>
  </si>
  <si>
    <t>永续资产是否约定了递延的利息需要计息。相关信息于2020年6月起开始提供。</t>
  </si>
  <si>
    <t>首次重定价日期</t>
  </si>
  <si>
    <t>SCCDJRQ</t>
  </si>
  <si>
    <t>120464</t>
  </si>
  <si>
    <t>永续资产存续期内首次重定利率的日期。相关信息于2020年6月起开始提供。</t>
  </si>
  <si>
    <t>重定价周期</t>
  </si>
  <si>
    <t>CDJZQ</t>
  </si>
  <si>
    <t>120465</t>
  </si>
  <si>
    <t>永续资产在首次重定价日期后，各个重定价日期之间的日期长度。相关信息于2020年6月起开始提供。</t>
  </si>
  <si>
    <t>部分赎回标识</t>
  </si>
  <si>
    <t>BGSHBZ</t>
  </si>
  <si>
    <t>120466</t>
  </si>
  <si>
    <t>发行条款是否允许发行人部分赎回。相关信息于2020年6月起开始提供。</t>
  </si>
  <si>
    <t>部分赎回比例</t>
  </si>
  <si>
    <t>BFSHBL</t>
  </si>
  <si>
    <t>120467</t>
  </si>
  <si>
    <t>发行文件中约定的部分赎回比例，或公告的实际部分赎回比例。相关信息于2020年6月起开始提供。</t>
  </si>
  <si>
    <t>融资人所属地区</t>
  </si>
  <si>
    <t>RZRSSDQ</t>
  </si>
  <si>
    <t>120468</t>
  </si>
  <si>
    <t>项目融资人所归属的地区。</t>
  </si>
  <si>
    <t>费用情况说明</t>
  </si>
  <si>
    <t>FYQKSM</t>
  </si>
  <si>
    <t>120469</t>
  </si>
  <si>
    <t>非标资产项目合同中所涉及的各项费用的说明，包含但不限于托管费、委贷费等。</t>
  </si>
  <si>
    <t>融资人统一社会信用代码</t>
  </si>
  <si>
    <t>RZRTYSHXYDM</t>
  </si>
  <si>
    <t>120470</t>
  </si>
  <si>
    <t>融资人统一社会信用代码，未登记统一社会信用代码的，填组织机构代码。</t>
  </si>
  <si>
    <t>项目收益率</t>
  </si>
  <si>
    <t>XMSYL</t>
  </si>
  <si>
    <t>120471</t>
  </si>
  <si>
    <t>非标资产项目发行时合同标明的原始年化收益率。</t>
  </si>
  <si>
    <t>JE</t>
  </si>
  <si>
    <t>120472</t>
  </si>
  <si>
    <t>非标资产的实际发行总规模。</t>
  </si>
  <si>
    <t>120473</t>
  </si>
  <si>
    <t>120474</t>
  </si>
  <si>
    <t>120475</t>
  </si>
  <si>
    <t>120501</t>
  </si>
  <si>
    <t>120502</t>
  </si>
  <si>
    <t>120503</t>
  </si>
  <si>
    <t>120504</t>
  </si>
  <si>
    <t>120505</t>
  </si>
  <si>
    <t>120506</t>
  </si>
  <si>
    <t>120507</t>
  </si>
  <si>
    <t>120508</t>
  </si>
  <si>
    <t>120509</t>
  </si>
  <si>
    <t>行内资产类别说明</t>
  </si>
  <si>
    <t>HNZCLBSM</t>
  </si>
  <si>
    <t>120510</t>
  </si>
  <si>
    <t>指该资产在行内所划分的类别名称。</t>
  </si>
  <si>
    <t>120511</t>
  </si>
  <si>
    <t>120512</t>
  </si>
  <si>
    <t>所属国家或地区</t>
  </si>
  <si>
    <t>SSGJHDQ</t>
  </si>
  <si>
    <t>120513</t>
  </si>
  <si>
    <t>投资资产所属于的国家或者地区。</t>
  </si>
  <si>
    <t>120514</t>
  </si>
  <si>
    <t>120515</t>
  </si>
  <si>
    <t>120516</t>
  </si>
  <si>
    <t>120517</t>
  </si>
  <si>
    <t>120518</t>
  </si>
  <si>
    <t>120519</t>
  </si>
  <si>
    <t>120520</t>
  </si>
  <si>
    <t>120521</t>
  </si>
  <si>
    <t>120522</t>
  </si>
  <si>
    <t>120523</t>
  </si>
  <si>
    <t>120524</t>
  </si>
  <si>
    <t>120525</t>
  </si>
  <si>
    <t>120526</t>
  </si>
  <si>
    <t>120527</t>
  </si>
  <si>
    <t>120528</t>
  </si>
  <si>
    <t>指担保人用以担保债权的手段。相关信息于2020年6月起开始提供。</t>
  </si>
  <si>
    <t>120529</t>
  </si>
  <si>
    <t>120530</t>
  </si>
  <si>
    <t>120531</t>
  </si>
  <si>
    <t>120532</t>
  </si>
  <si>
    <t>项目收益率（利率）</t>
  </si>
  <si>
    <t>XMSYLLL</t>
  </si>
  <si>
    <t>120533</t>
  </si>
  <si>
    <t>120534</t>
  </si>
  <si>
    <t>其他非标资产的实际发行总金额</t>
  </si>
  <si>
    <t>120535</t>
  </si>
  <si>
    <t>120536</t>
  </si>
  <si>
    <t>120537</t>
  </si>
  <si>
    <t>120601</t>
  </si>
  <si>
    <t>交易实际发生的日期。</t>
  </si>
  <si>
    <t>120602</t>
  </si>
  <si>
    <t>120603</t>
  </si>
  <si>
    <t>120604</t>
  </si>
  <si>
    <t>120605</t>
  </si>
  <si>
    <t>120606</t>
  </si>
  <si>
    <t>120607</t>
  </si>
  <si>
    <t>交易登记编码</t>
  </si>
  <si>
    <t>JYDJBM</t>
  </si>
  <si>
    <t>120608</t>
  </si>
  <si>
    <t>行内交易编码</t>
  </si>
  <si>
    <t>HNJYBM</t>
  </si>
  <si>
    <t>120609</t>
  </si>
  <si>
    <t>PK。银行理财产品的每一笔投资交易在银行内部登记时被赋予的代码。</t>
  </si>
  <si>
    <t>ZJLDLX</t>
  </si>
  <si>
    <t>120610</t>
  </si>
  <si>
    <t>PK。理财产品在进行投资运作过程中，理财资金发生流动的具体属性及方向。</t>
  </si>
  <si>
    <t>交易对手方名称</t>
  </si>
  <si>
    <t>JYDSFMC</t>
  </si>
  <si>
    <t>120611</t>
  </si>
  <si>
    <t>发生交易的另一方。</t>
  </si>
  <si>
    <t>交易对手方是否为本行理财产品</t>
  </si>
  <si>
    <t>JYDSFSFWBHLCCP</t>
  </si>
  <si>
    <t>120612</t>
  </si>
  <si>
    <t>交易对手方若为本行理财产品，填“是”，否则填“否”。</t>
  </si>
  <si>
    <t>交易对手方类型</t>
  </si>
  <si>
    <t>JYDSFLX</t>
  </si>
  <si>
    <t>120613</t>
  </si>
  <si>
    <t>120614</t>
  </si>
  <si>
    <t>理财产品在投资交易过程中实际使用的货币种类。</t>
  </si>
  <si>
    <t>120615</t>
  </si>
  <si>
    <t>120616</t>
  </si>
  <si>
    <t>PK。银行理财产品所投资资产或负债在银行内部登记时被赋予的代码，该代码在银行内部应具有唯一性。</t>
  </si>
  <si>
    <t>120617</t>
  </si>
  <si>
    <t>120618</t>
  </si>
  <si>
    <t>120619</t>
  </si>
  <si>
    <t>120620</t>
  </si>
  <si>
    <t>资产进行各项交易的市场。</t>
  </si>
  <si>
    <t>120621</t>
  </si>
  <si>
    <t>发生交易的资产的全称。</t>
  </si>
  <si>
    <t>120622</t>
  </si>
  <si>
    <t>由理财中心根据发行机构填写的融资人行业数据综合生成。</t>
  </si>
  <si>
    <t>发生金额</t>
  </si>
  <si>
    <t>FSJE</t>
  </si>
  <si>
    <t>120623</t>
  </si>
  <si>
    <t>与币种相对应的资产或负债的实际清算资金额。</t>
  </si>
  <si>
    <t>折算人民币金额</t>
  </si>
  <si>
    <t>ZSRMBJE</t>
  </si>
  <si>
    <t>120624</t>
  </si>
  <si>
    <t>将发生金额以交易发生当日外汇管理局公布的汇率中间价折算成人民币后的金额。</t>
  </si>
  <si>
    <t>SL</t>
  </si>
  <si>
    <t>120625</t>
  </si>
  <si>
    <t>与发生金额相对应的资产、负债或现金数量。</t>
  </si>
  <si>
    <t>单位成交全价</t>
  </si>
  <si>
    <t>DWCJQJ</t>
  </si>
  <si>
    <t>120626</t>
  </si>
  <si>
    <t>交易双方实际达成交易的单位价格，以全价方式报送。全价是指包含了计息期内自然增长的应计利息的价格,也叫发票价格、总价格。单位成交价格的币种统一为人民币。</t>
  </si>
  <si>
    <t>单位成交净价</t>
  </si>
  <si>
    <t>DWCJJJ</t>
  </si>
  <si>
    <t>120627</t>
  </si>
  <si>
    <t>交易双方实际达成交易的单位价格，以净价方式报送。净价是指资产的现价（全价）扣除持有期间资产未付而应计的自然增长的票面利息的部分。单位成交价格的币种统一为人民币。</t>
  </si>
  <si>
    <t>到期收益率</t>
  </si>
  <si>
    <t>DQSYL</t>
  </si>
  <si>
    <t>120628</t>
  </si>
  <si>
    <t>交易双方实际达成的年化到期收益率。</t>
  </si>
  <si>
    <t>ZCJLFS</t>
  </si>
  <si>
    <t>120629</t>
  </si>
  <si>
    <t>资产以公允价值计量或摊余成本法计量。相关信息于2020年6月起开始提供。</t>
  </si>
  <si>
    <t>120630</t>
  </si>
  <si>
    <t>120631</t>
  </si>
  <si>
    <t>删除核心交易流水号</t>
  </si>
  <si>
    <t>120701</t>
  </si>
  <si>
    <t>与客户签订的理财产品销售合同编号。</t>
  </si>
  <si>
    <t>120702</t>
  </si>
  <si>
    <t>120703</t>
  </si>
  <si>
    <t>120704</t>
  </si>
  <si>
    <t>理财账号</t>
  </si>
  <si>
    <t>LCZH</t>
  </si>
  <si>
    <t>120705</t>
  </si>
  <si>
    <t>如不设置理财账户的，理财账户号填写关联账户号如客户的活期存款号</t>
  </si>
  <si>
    <t>120706</t>
  </si>
  <si>
    <t>120707</t>
  </si>
  <si>
    <t>隐私，银行机构变形，个人姓名保留最后一个字。</t>
  </si>
  <si>
    <t>关联活期存款账号</t>
  </si>
  <si>
    <t>GLHQCKZH</t>
  </si>
  <si>
    <t>120708</t>
  </si>
  <si>
    <t>关联账号开户行</t>
  </si>
  <si>
    <t>GLZHKHH</t>
  </si>
  <si>
    <t>120709</t>
  </si>
  <si>
    <t>关联活期存款账号开户行名称</t>
  </si>
  <si>
    <t>关联账号开户所在地</t>
  </si>
  <si>
    <t>GLZHKHSZD</t>
  </si>
  <si>
    <t>120710</t>
  </si>
  <si>
    <t>关联活期存款账户开户所属的地区。</t>
  </si>
  <si>
    <t>是否代销</t>
  </si>
  <si>
    <t>SFDX</t>
  </si>
  <si>
    <t>120711</t>
  </si>
  <si>
    <t>他行代销本行理财产品的，在此列填报。</t>
  </si>
  <si>
    <t>代销机构名称</t>
  </si>
  <si>
    <t>DXJGMC</t>
  </si>
  <si>
    <t>120712</t>
  </si>
  <si>
    <t>代销机构代码</t>
  </si>
  <si>
    <t>DXJGJRJGDM</t>
  </si>
  <si>
    <t>120713</t>
  </si>
  <si>
    <t>取自代销机构金融机构代码证前6位。</t>
  </si>
  <si>
    <t>代销机构所属监管机构</t>
  </si>
  <si>
    <t>DXJGSSJGBM</t>
  </si>
  <si>
    <t>120714</t>
  </si>
  <si>
    <t>120715</t>
  </si>
  <si>
    <t>理财产品名称</t>
  </si>
  <si>
    <t>LCCPMC</t>
  </si>
  <si>
    <t>120716</t>
  </si>
  <si>
    <t>120717</t>
  </si>
  <si>
    <t>120718</t>
  </si>
  <si>
    <t>120719</t>
  </si>
  <si>
    <t>业务确认日期</t>
  </si>
  <si>
    <t>YWQRRQ</t>
  </si>
  <si>
    <t>120720</t>
  </si>
  <si>
    <t>产品发行机构对该笔业务导致客户理财产品金额或份额发生变化的情况进行确认的日期。</t>
  </si>
  <si>
    <t>业务确认时间</t>
  </si>
  <si>
    <t>YWQRSJ</t>
  </si>
  <si>
    <t>120721</t>
  </si>
  <si>
    <t>产品发行机构对该笔业务导致客户理财产品金额或份额发生变化的情况进行确认的时间。</t>
  </si>
  <si>
    <t>确认净值</t>
  </si>
  <si>
    <t>QRJZ</t>
  </si>
  <si>
    <t>120722</t>
  </si>
  <si>
    <t>确认金额</t>
  </si>
  <si>
    <t>QRJE</t>
  </si>
  <si>
    <t>120723</t>
  </si>
  <si>
    <t>与选择币种相对应的、各业务种类实际发生总金额。</t>
  </si>
  <si>
    <t>120724</t>
  </si>
  <si>
    <t>将原币种“金额”以登记日当日外汇管理局公布的汇率中间价折算成人民币后的金额。</t>
  </si>
  <si>
    <t>确认份额</t>
  </si>
  <si>
    <t>QRFE</t>
  </si>
  <si>
    <t>120725</t>
  </si>
  <si>
    <t>120726</t>
  </si>
  <si>
    <t>120727</t>
  </si>
  <si>
    <t>以枚举类型填报，如果无法以枚举类型填报的，以“其他-XX”填报，其中XX为银行自定义的交易渠道。</t>
  </si>
  <si>
    <t>数据项名称、数据项代码、数据元说明、备注</t>
  </si>
  <si>
    <t>120728</t>
  </si>
  <si>
    <t>关联数据项：柜员表.柜员号，允许为空</t>
  </si>
  <si>
    <t>120729</t>
  </si>
  <si>
    <t>数据元、格式、备注</t>
  </si>
  <si>
    <t>120730</t>
  </si>
  <si>
    <t>120801</t>
  </si>
  <si>
    <t>120802</t>
  </si>
  <si>
    <t>关联数据项：机构信息表.银行机构名称</t>
  </si>
  <si>
    <t>120803</t>
  </si>
  <si>
    <t>120804</t>
  </si>
  <si>
    <t>120805</t>
  </si>
  <si>
    <t>120806</t>
  </si>
  <si>
    <t>理财账户结算币种。</t>
  </si>
  <si>
    <t>120807</t>
  </si>
  <si>
    <t>PK。如不设置理财账户的，如无理财账户填写理财资金归集的内部账户</t>
  </si>
  <si>
    <t>120808</t>
  </si>
  <si>
    <t>120809</t>
  </si>
  <si>
    <t>隐私，银行机构变形，三个字以内（包含三个字）的名称保留最后一个字，其余长度的名称不变形。</t>
  </si>
  <si>
    <t>120810</t>
  </si>
  <si>
    <t>120811</t>
  </si>
  <si>
    <t>120812</t>
  </si>
  <si>
    <t>理财产品名称。</t>
  </si>
  <si>
    <t>120813</t>
  </si>
  <si>
    <t>实际账户持有理财余额</t>
  </si>
  <si>
    <t>SJZHCYLCYE</t>
  </si>
  <si>
    <t>120814</t>
  </si>
  <si>
    <t>填写该账户当日余额</t>
  </si>
  <si>
    <t>120815</t>
  </si>
  <si>
    <t>该客户账户中理财产品冻结的金额，产生于产品赎回过程中。</t>
  </si>
  <si>
    <t>120816</t>
  </si>
  <si>
    <t>按照收付实现制，到期实现收益才填。对于净值型产品，份额赎回按照“先进先出”原则计算赎回部分的实际收益；对于非净值型产品，按照赎回金额与当前持有产品总价值的比例来计算本次赎回部分的收益。</t>
  </si>
  <si>
    <t>120817</t>
  </si>
  <si>
    <r>
      <rPr>
        <sz val="12"/>
        <color theme="1"/>
        <rFont val="宋体"/>
        <charset val="134"/>
        <scheme val="minor"/>
      </rPr>
      <t>客户在某个产品下获得的累计收益</t>
    </r>
    <r>
      <rPr>
        <sz val="12"/>
        <color rgb="FFFF0000"/>
        <rFont val="宋体"/>
        <charset val="134"/>
        <scheme val="minor"/>
      </rPr>
      <t>（即历史月份本期收益的加总，若历史某月末时点不持有该产品，则累计收益自下个月起重新从零计算）。</t>
    </r>
  </si>
  <si>
    <t>120818</t>
  </si>
  <si>
    <t>客户在月末时点持有某理财产品的余额的成本价，对于净值型产品等于在月末时点持有某理财产品的份额。</t>
  </si>
  <si>
    <t>理财账户开户日期</t>
  </si>
  <si>
    <t>LCZHKHRQ</t>
  </si>
  <si>
    <t>120819</t>
  </si>
  <si>
    <t>对应理财账户的开户日期</t>
  </si>
  <si>
    <t>理财账户销户日期</t>
  </si>
  <si>
    <t>LCZHXHRQ</t>
  </si>
  <si>
    <t>120820</t>
  </si>
  <si>
    <t>对应理财账户的销户日期</t>
  </si>
  <si>
    <t>120821</t>
  </si>
  <si>
    <t>取账户的动户日期，而不是只针对产品</t>
  </si>
  <si>
    <t>120822</t>
  </si>
  <si>
    <t>客户理财账户状态。</t>
  </si>
  <si>
    <t>120823</t>
  </si>
  <si>
    <t>修订说明：
    本次规范删除5张整表和268个数据项：持卡人基础情况表，表外授信业务表，资金交易信息表，信用证合同表，信用证明细信息表，内部科目对照表。删除具体内容见“删除的表和数据项”。
    本次规范新增13张表和585个字段：对公客户财务信息，集团客户，票据贴现，票据转贴现，融资租赁业务信息表，垫款登记表，收单商户信息，保函与信用证，代理代销交易信息，代客资金交易信息，受托支付信息以及客户理财账户信息表。新增的表和字段见变更规范列和变更说明。
    本次规范修改了原有规范856处，修改项“变更类型”列为“修改”，修改部分见变更规范列和变更说明。</t>
  </si>
  <si>
    <t>自营资金业务报送范围</t>
  </si>
  <si>
    <t>同业往来</t>
  </si>
  <si>
    <t>买入返售</t>
  </si>
  <si>
    <t>买入返售证券</t>
  </si>
  <si>
    <t>买入返售债权</t>
  </si>
  <si>
    <t>买入返售信贷资产</t>
  </si>
  <si>
    <t>其他-银行自定义</t>
  </si>
  <si>
    <t>卖出回购</t>
  </si>
  <si>
    <t>卖出回购证券</t>
  </si>
  <si>
    <t>卖出回购债权</t>
  </si>
  <si>
    <t>卖出回购信贷资产</t>
  </si>
  <si>
    <t>拆入</t>
  </si>
  <si>
    <t>拆入银行金融机构</t>
  </si>
  <si>
    <t>拆入非银行金融机构</t>
  </si>
  <si>
    <t>拆出</t>
  </si>
  <si>
    <t>拆出银行金融机构</t>
  </si>
  <si>
    <t>拆出非银行金融机构</t>
  </si>
  <si>
    <t>同业借款</t>
  </si>
  <si>
    <t>境内同业借款</t>
  </si>
  <si>
    <t>境外同业借款</t>
  </si>
  <si>
    <t>同业代付</t>
  </si>
  <si>
    <t>代理境内同业付款</t>
  </si>
  <si>
    <t>代理境外同业付款</t>
  </si>
  <si>
    <t>存放同业</t>
  </si>
  <si>
    <t>非结算性存放同业</t>
  </si>
  <si>
    <t>结算性存放同业</t>
  </si>
  <si>
    <t>同业存单</t>
  </si>
  <si>
    <t>同业存单发行</t>
  </si>
  <si>
    <t>同业存单投资</t>
  </si>
  <si>
    <t>债券发行</t>
  </si>
  <si>
    <t>商业银行债</t>
  </si>
  <si>
    <t>银行次级债</t>
  </si>
  <si>
    <t>银行永续债</t>
  </si>
  <si>
    <t>其他</t>
  </si>
  <si>
    <t>债券借贷</t>
  </si>
  <si>
    <t>银行自定义</t>
  </si>
  <si>
    <t>债券投资与同业投资</t>
  </si>
  <si>
    <t>债券投资</t>
  </si>
  <si>
    <t>国债</t>
  </si>
  <si>
    <t>地方政府债</t>
  </si>
  <si>
    <t>央票</t>
  </si>
  <si>
    <t>政府支持机构债</t>
  </si>
  <si>
    <t>政策性金融债</t>
  </si>
  <si>
    <t>商业性金融债</t>
  </si>
  <si>
    <t>非金融企业债券</t>
  </si>
  <si>
    <t>资产支持证券（信贷资产证券化）</t>
  </si>
  <si>
    <t>资产支持证券（交易所资产支持证券）</t>
  </si>
  <si>
    <t>资产支持证券（资产支持票据）</t>
  </si>
  <si>
    <t>外国债券</t>
  </si>
  <si>
    <t>权益类投资</t>
  </si>
  <si>
    <t>长期股权投资</t>
  </si>
  <si>
    <t>上市股票</t>
  </si>
  <si>
    <t>非上市股权</t>
  </si>
  <si>
    <t>公募基金投资</t>
  </si>
  <si>
    <t>债券基金</t>
  </si>
  <si>
    <t>货币市场基金</t>
  </si>
  <si>
    <t>股票基金</t>
  </si>
  <si>
    <t>基金中基金</t>
  </si>
  <si>
    <t>混合基金</t>
  </si>
  <si>
    <t>私募基金投资</t>
  </si>
  <si>
    <t>私募证券投资基金</t>
  </si>
  <si>
    <t>私募股权投资基金</t>
  </si>
  <si>
    <t>私募创业投资基金</t>
  </si>
  <si>
    <t>资产管理产品投资</t>
  </si>
  <si>
    <t>非保本理财投资</t>
  </si>
  <si>
    <t>信托产品（资金信托）</t>
  </si>
  <si>
    <t>信托产品（财产权信托）</t>
  </si>
  <si>
    <t>证券业资产管理产品（不含公募基金）</t>
  </si>
  <si>
    <t>保险业资产管理产品</t>
  </si>
  <si>
    <t>其他投资</t>
  </si>
  <si>
    <t>其他债权融资（其他交易平台债权融资工具）</t>
  </si>
  <si>
    <t>其他债权融资（非标转标资产）</t>
  </si>
  <si>
    <t>贵金属交易</t>
  </si>
  <si>
    <t>外汇交易</t>
  </si>
  <si>
    <t>商品类交易</t>
  </si>
  <si>
    <t>衍生品交易</t>
  </si>
  <si>
    <t>利率类产品、汇率类产品、商品及其他类产品、股权相关产品、信用类产品、贵金属类产品、复合类产品</t>
  </si>
  <si>
    <t>买入期权，卖出期权，期货合约，远期合约，互换合约，混合类合约。</t>
  </si>
  <si>
    <t>数据表和数据项删除情况一览表</t>
  </si>
  <si>
    <t>变更原因</t>
  </si>
  <si>
    <t>所有明细记录表（9张）</t>
  </si>
  <si>
    <t>核心交易流水号、子交易流水号、笔次序号</t>
  </si>
  <si>
    <t>删除数据项</t>
  </si>
  <si>
    <r>
      <rPr>
        <sz val="12"/>
        <rFont val="宋体"/>
        <charset val="134"/>
      </rPr>
      <t>不同银行机构的核心系统定义不同，无法与这三个数据项完全对应。使用</t>
    </r>
    <r>
      <rPr>
        <sz val="12"/>
        <rFont val="Times New Roman"/>
        <charset val="134"/>
      </rPr>
      <t>“</t>
    </r>
    <r>
      <rPr>
        <sz val="12"/>
        <rFont val="宋体"/>
        <charset val="134"/>
      </rPr>
      <t>时间戳</t>
    </r>
    <r>
      <rPr>
        <sz val="12"/>
        <rFont val="Times New Roman"/>
        <charset val="134"/>
      </rPr>
      <t>”</t>
    </r>
    <r>
      <rPr>
        <sz val="12"/>
        <rFont val="宋体"/>
        <charset val="134"/>
      </rPr>
      <t>数据项（</t>
    </r>
    <r>
      <rPr>
        <sz val="12"/>
        <rFont val="Times New Roman"/>
        <charset val="134"/>
      </rPr>
      <t>19</t>
    </r>
    <r>
      <rPr>
        <sz val="12"/>
        <rFont val="宋体"/>
        <charset val="134"/>
      </rPr>
      <t>位）（如：时间戳</t>
    </r>
    <r>
      <rPr>
        <sz val="12"/>
        <rFont val="Times New Roman"/>
        <charset val="134"/>
      </rPr>
      <t>(</t>
    </r>
    <r>
      <rPr>
        <sz val="12"/>
        <rFont val="宋体"/>
        <charset val="134"/>
      </rPr>
      <t>纳秒</t>
    </r>
    <r>
      <rPr>
        <sz val="12"/>
        <rFont val="Times New Roman"/>
        <charset val="134"/>
      </rPr>
      <t>)</t>
    </r>
    <r>
      <rPr>
        <sz val="12"/>
        <rFont val="宋体"/>
        <charset val="134"/>
      </rPr>
      <t>：</t>
    </r>
    <r>
      <rPr>
        <sz val="12"/>
        <rFont val="Times New Roman"/>
        <charset val="134"/>
      </rPr>
      <t>1530027865231834600</t>
    </r>
    <r>
      <rPr>
        <sz val="12"/>
        <rFont val="宋体"/>
        <charset val="134"/>
      </rPr>
      <t>），来标识交易序列，代替</t>
    </r>
    <r>
      <rPr>
        <sz val="12"/>
        <rFont val="Times New Roman"/>
        <charset val="134"/>
      </rPr>
      <t>“</t>
    </r>
    <r>
      <rPr>
        <sz val="12"/>
        <rFont val="宋体"/>
        <charset val="134"/>
      </rPr>
      <t>流水号</t>
    </r>
    <r>
      <rPr>
        <sz val="12"/>
        <rFont val="Times New Roman"/>
        <charset val="134"/>
      </rPr>
      <t>”</t>
    </r>
    <r>
      <rPr>
        <sz val="12"/>
        <rFont val="宋体"/>
        <charset val="134"/>
      </rPr>
      <t>。</t>
    </r>
  </si>
  <si>
    <t>开户行机构号</t>
  </si>
  <si>
    <t>KHHJGH</t>
  </si>
  <si>
    <t>与“内部机构号”重复</t>
  </si>
  <si>
    <t>信贷合同表、信贷借据表、贷款展期</t>
  </si>
  <si>
    <t>基准利率</t>
  </si>
  <si>
    <t>JZLL</t>
  </si>
  <si>
    <t>百分比为单位，即1/100，一般为年利。</t>
  </si>
  <si>
    <t>现在统一用“实际利率”来表示</t>
  </si>
  <si>
    <t>LLFD</t>
  </si>
  <si>
    <t>是否LPR</t>
  </si>
  <si>
    <t>SFLPR</t>
  </si>
  <si>
    <t>C..4</t>
  </si>
  <si>
    <t>“利率类型”修改为：LPR，非LPR</t>
  </si>
  <si>
    <t>机构工作开始时间</t>
  </si>
  <si>
    <t>JGGZKSSJ</t>
  </si>
  <si>
    <t>C20</t>
  </si>
  <si>
    <t>非监管关注重点</t>
  </si>
  <si>
    <t>机构工作终止时间</t>
  </si>
  <si>
    <t>JGGZZZSJ</t>
  </si>
  <si>
    <t>YZBM</t>
  </si>
  <si>
    <t>新增了行政区划代码数据项</t>
  </si>
  <si>
    <t>网点号</t>
  </si>
  <si>
    <t>WDH</t>
  </si>
  <si>
    <t>银行内部机构号。</t>
  </si>
  <si>
    <t>已有内部机构号</t>
  </si>
  <si>
    <t>已有岗位编号和岗位名称</t>
  </si>
  <si>
    <t>GDXX</t>
  </si>
  <si>
    <t>股东信息</t>
  </si>
  <si>
    <t>实控人姓名</t>
  </si>
  <si>
    <t>SKRXM</t>
  </si>
  <si>
    <t>银行自身实控人，无需每条都报送。</t>
  </si>
  <si>
    <t>实控人证件类别</t>
  </si>
  <si>
    <t>SKRZJLB</t>
  </si>
  <si>
    <t>对公客户：统一社会信用代码，组织机构代码
个人客户：居民身份证，军官证，文职干部证，警官证，士兵证，户口簿，临时身份证，其他有效通行旅行证件，护照，学生证，无证件，其他-银行自定义。无法以枚举类型填报的，以“其它-XX”填报，其中“XX”为银行自定义类型。</t>
  </si>
  <si>
    <t>实控人证件号码</t>
  </si>
  <si>
    <t>SKRZJHM</t>
  </si>
  <si>
    <t>证件号码。涉及个人身份证件时需按照本规范给定规则进行脱敏处理。</t>
  </si>
  <si>
    <t>GRJCXX</t>
  </si>
  <si>
    <t>个人基础信息</t>
  </si>
  <si>
    <t>客户英文姓名</t>
  </si>
  <si>
    <t>KHYWXM</t>
  </si>
  <si>
    <t>英文或拼音。</t>
  </si>
  <si>
    <t>配偶对应客户号</t>
  </si>
  <si>
    <t>PODYKHH</t>
  </si>
  <si>
    <t>来源系统</t>
  </si>
  <si>
    <t>LYXT</t>
  </si>
  <si>
    <t>该客户信息源自的系统名称。</t>
  </si>
  <si>
    <t>家庭住址</t>
  </si>
  <si>
    <t>JTZZ</t>
  </si>
  <si>
    <t>中文描述。个人住址。金融机构以金融机构许可证登记地址为准。集团母公司为境内企业的，按照《企业法人营业执照》中的注册地填报，要写明省（区、市）、地（区、市、州、盟）、县（区、市、旗）。集团母公司为境外企业的，不填报。</t>
  </si>
  <si>
    <t>家庭电话</t>
  </si>
  <si>
    <t>JTDH</t>
  </si>
  <si>
    <t>统一新增了“联系电话”字段</t>
  </si>
  <si>
    <t>移动电话</t>
  </si>
  <si>
    <t>YDDH</t>
  </si>
  <si>
    <t>家庭月收入</t>
  </si>
  <si>
    <t>JTYSR</t>
  </si>
  <si>
    <t>较多银行未采集</t>
  </si>
  <si>
    <t>配偶姓名</t>
  </si>
  <si>
    <t>POXM</t>
  </si>
  <si>
    <t>配偶信息可在“个人客户关系表”中查询</t>
  </si>
  <si>
    <t>配偶联系电话</t>
  </si>
  <si>
    <t>POLXDH</t>
  </si>
  <si>
    <t>配偶移动电话</t>
  </si>
  <si>
    <t>POYDDH</t>
  </si>
  <si>
    <t>配偶证件类别</t>
  </si>
  <si>
    <t>POZJLB</t>
  </si>
  <si>
    <t>对公客户：统一社会信用代码，没有统一社会信用代码的对公客户填报组织机构代码。
个人客户：居民身份证，军官证，文职干部证，警官证，士兵证，户口簿，临时身份证，其他有效通行旅行证件，护照，学生证，无证件，其他-XX。无法以枚举类型填报的，以“XX”报送，其中“XX”为银行自定义类型。</t>
  </si>
  <si>
    <t>SHMDYY</t>
  </si>
  <si>
    <t>GRKHGXXX</t>
  </si>
  <si>
    <t>个人客户关系信息</t>
  </si>
  <si>
    <t>配偶证件号码</t>
  </si>
  <si>
    <t>POZJHM</t>
  </si>
  <si>
    <t>对应个人客户工作单位名称</t>
  </si>
  <si>
    <t>DYGRKHGZDWMC</t>
  </si>
  <si>
    <t>名称应与公章所使用的名称完全一致。银行机构以银保监会金融机构许可证登记名称为准。无独立金融机构许可证的机构，可在本名称中体现出机构特征。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t>
  </si>
  <si>
    <t>个人基础信息已有该数据</t>
  </si>
  <si>
    <t>对应个人客户工作单位地址</t>
  </si>
  <si>
    <t>DYGRKHGZDWDZ</t>
  </si>
  <si>
    <t>对应个人客户工作单位电话</t>
  </si>
  <si>
    <t>DYGRKHGZDWDH</t>
  </si>
  <si>
    <t>总行机构代码</t>
  </si>
  <si>
    <t>人行支付行号</t>
  </si>
  <si>
    <t>授权范围</t>
  </si>
  <si>
    <t>SQFW</t>
  </si>
  <si>
    <t>可以授权的业务种类，银行自定义。</t>
  </si>
  <si>
    <t>该数据项定义不明确，目前大部分银行机构无法填报</t>
  </si>
  <si>
    <t>GYYHJB</t>
  </si>
  <si>
    <t>容易与柜员权限级别产生混淆</t>
  </si>
  <si>
    <t>DGKH</t>
  </si>
  <si>
    <t>对公客户</t>
  </si>
  <si>
    <t>客户英文名称</t>
  </si>
  <si>
    <t>KHYWMC</t>
  </si>
  <si>
    <t>统一授信标志</t>
  </si>
  <si>
    <t>TYSXBZ</t>
  </si>
  <si>
    <t>通过客户类型可以判断是否为统一授信。</t>
  </si>
  <si>
    <t>贷款证号</t>
  </si>
  <si>
    <t>DKZH</t>
  </si>
  <si>
    <t>贷款卡号</t>
  </si>
  <si>
    <t>中国人民银行发放的企业贷款卡号码。</t>
  </si>
  <si>
    <t>非监管关注重点，只保留统一社会信用代码</t>
  </si>
  <si>
    <t>国税证号</t>
  </si>
  <si>
    <t>GSZH</t>
  </si>
  <si>
    <t>地税证号</t>
  </si>
  <si>
    <t>DSZH</t>
  </si>
  <si>
    <t>与证件类别重复</t>
  </si>
  <si>
    <t>营业执照有效截止日期</t>
  </si>
  <si>
    <t>YYZZYXJZRQ</t>
  </si>
  <si>
    <t>增加了集团客户表，该数据项可以删除</t>
  </si>
  <si>
    <t>总资产</t>
  </si>
  <si>
    <t>ZZC</t>
  </si>
  <si>
    <t>增加了对公客户财务信息表，该数据项可以删除</t>
  </si>
  <si>
    <t>净资产</t>
  </si>
  <si>
    <t>JZC</t>
  </si>
  <si>
    <t>年收入</t>
  </si>
  <si>
    <t>NSR</t>
  </si>
  <si>
    <t>遵循《GB/T 12406-2008 表示货币和资金的代码》的字母代码，如CNY。</t>
  </si>
  <si>
    <t>传真号码</t>
  </si>
  <si>
    <t>CZHM</t>
  </si>
  <si>
    <t>区号座机电话。</t>
  </si>
  <si>
    <t>KHLB</t>
  </si>
  <si>
    <t>银监会客户分类标准。对公，对私。</t>
  </si>
  <si>
    <t>GLGX</t>
  </si>
  <si>
    <t>关联关系</t>
  </si>
  <si>
    <t>本表填报对公客户的关联关系，不存在个人。</t>
  </si>
  <si>
    <t>录入日期</t>
  </si>
  <si>
    <t>LRRQ</t>
  </si>
  <si>
    <t>交易介质名称</t>
  </si>
  <si>
    <t>JYJZMC</t>
  </si>
  <si>
    <t>卡，折，单，其他。</t>
  </si>
  <si>
    <t>个人活期存款分户账中增加了外部账号字段</t>
  </si>
  <si>
    <t>交易介质号</t>
  </si>
  <si>
    <t>JYJZH</t>
  </si>
  <si>
    <t>卡、折、单及其他对应介质号码</t>
  </si>
  <si>
    <t>1、统计科目编号为人行统计报送编号，存在1个编号对应多个科目的情况，2、该编号无法涵盖所有科目。3、该编号不是账务要素，是统计要素</t>
  </si>
  <si>
    <t>GRHQCKFHZMXJL</t>
  </si>
  <si>
    <t>个人定期存款分户账中增加了外部账号字段</t>
  </si>
  <si>
    <t>GRDQCKFHZMXJL</t>
  </si>
  <si>
    <t>DGHQCKFHZMXJL</t>
  </si>
  <si>
    <t>对公交易办理一般是单位财务人员，无代办情况</t>
  </si>
  <si>
    <t>对公客户：统一社会信用代码，组织机构代码
个人客户：居民身份证，军官证，文职干部证，警官证，士兵证，户口簿，临时身份证，其他有效通行旅行证件，护照，学生证，无证件，其他。</t>
  </si>
  <si>
    <t>DGDQCKFHZMXJL</t>
  </si>
  <si>
    <t>NBFHZZHLX</t>
  </si>
  <si>
    <t>枚举值不明确，机构难以填报。</t>
  </si>
  <si>
    <t>NBFHZMXJL</t>
  </si>
  <si>
    <t>信贷业务借据中已经对业务种类进行细分，且人行统计指标编码均为代码，不利于检查人员理解，建议删除</t>
  </si>
  <si>
    <t>会计核算方式</t>
  </si>
  <si>
    <t>KJHSFS</t>
  </si>
  <si>
    <t>003041</t>
  </si>
  <si>
    <t>表内,表外,表内及表外</t>
  </si>
  <si>
    <t>表内或表外通过信贷业务种类进行划分</t>
  </si>
  <si>
    <t>逾期利率</t>
  </si>
  <si>
    <t>正常本金</t>
  </si>
  <si>
    <t>ZCBJ</t>
  </si>
  <si>
    <t>新增贷款余额数据项</t>
  </si>
  <si>
    <t>逾期本金</t>
  </si>
  <si>
    <t>YQBJ</t>
  </si>
  <si>
    <t>该数据项改为表内欠息月，在个人信贷业务借据中可查询</t>
  </si>
  <si>
    <t>该数据项在个人信贷业务借据中可查询</t>
  </si>
  <si>
    <t>贷款期限</t>
  </si>
  <si>
    <t>DKQX</t>
  </si>
  <si>
    <t>实际到期日减去起始日，按天表示。</t>
  </si>
  <si>
    <t>实际到期日期减发放日期即可得出贷款期限，不必单列数据项</t>
  </si>
  <si>
    <t>数据项“发放日期”即为起息日期</t>
  </si>
  <si>
    <t>信贷员姓名</t>
  </si>
  <si>
    <t>XDYXM</t>
  </si>
  <si>
    <t>GRXDFHZMXJL</t>
  </si>
  <si>
    <t>DGXDFHZMXJL</t>
  </si>
  <si>
    <t>GRXDYWJJ</t>
  </si>
  <si>
    <t>个人信贷业务借据</t>
  </si>
  <si>
    <t>贷款类型</t>
  </si>
  <si>
    <t>贷款，委托贷款，贴现，贸易融资，垫款，法人账户透支，信用证，承兑汇票，其他-银行自定义类型。以枚举类型填报，如无法以枚举类型填报，则以“XX”填报，其中“XX”为银行自定义类型。</t>
  </si>
  <si>
    <t>该表目前仅包含贷款和委托贷款，贷款类型已不适用</t>
  </si>
  <si>
    <t>已有贷款总期数和当前期数</t>
  </si>
  <si>
    <t>受托支付标志</t>
  </si>
  <si>
    <t>STZFBZ</t>
  </si>
  <si>
    <t>“放款方式”字段为受托支付时可作为受托支付标志</t>
  </si>
  <si>
    <t>贷款原始到期日期</t>
  </si>
  <si>
    <t>DKYSDQRQ</t>
  </si>
  <si>
    <t>容易与贷款实际到期日期产生混淆</t>
  </si>
  <si>
    <t>百分比为单位，即1/100，保留两位小数。</t>
  </si>
  <si>
    <t>现在票据出票业务不再在信贷业务借据中报送，信贷业务不存在保证金，因此可以删除</t>
  </si>
  <si>
    <t>信贷业务全为转账支付，该字段无意义</t>
  </si>
  <si>
    <t>还款渠道</t>
  </si>
  <si>
    <t>HKQD</t>
  </si>
  <si>
    <t>柜面，ATM，VTM，POS，网银，手机银行，同业清算，SWIFT，银证业务，网联支付，云闪付，银联无卡交易，其他-银行自定义。以枚举类型填报，如无法以枚举类型填报，则以“其它-XX”填报，其中“XX”为银行自定义类型。</t>
  </si>
  <si>
    <t>由于借据每次还款交易对应的渠道可能不同，且在分户账明细记录中已采集。</t>
  </si>
  <si>
    <t>DGXDYWJJ</t>
  </si>
  <si>
    <t>对公信贷业务借据</t>
  </si>
  <si>
    <t>09</t>
  </si>
  <si>
    <t>已有贷款总期数和当前期数，此数据项重复</t>
  </si>
  <si>
    <t>01</t>
  </si>
  <si>
    <t>贷款新规种类</t>
  </si>
  <si>
    <t>DKXGZL</t>
  </si>
  <si>
    <t>按三办法一指引分类，个贷，固贷和流贷。</t>
  </si>
  <si>
    <t>新增了“信贷业务种类”字段</t>
  </si>
  <si>
    <t>表内或表外通过信贷业务种类进行判断</t>
  </si>
  <si>
    <t>是否国家限制行业</t>
  </si>
  <si>
    <t>SFGJXZXY</t>
  </si>
  <si>
    <t>005060</t>
  </si>
  <si>
    <t>根据国家发改委发布的《产业结构调整指导目录》判断该笔贷款实际投向是否属于国家限制行业。《产业结构调整指导目录》包括鼓励、限制、淘汰三个类别，属于后两类视为国家限制行业；对于流动资金贷款、贴现、垫款等无法区分实际投向的贷款，按照客户主营业务判断。银行可以通过国家发改委官方网站下载该目录的最新版本，今后如遇更新则按照新版本执行。是，否标志。</t>
  </si>
  <si>
    <t>是否国家限制行业通过贷款投向行业和贷款用途判断</t>
  </si>
  <si>
    <t>自主支付，受托支付，混合支付。</t>
  </si>
  <si>
    <t>该数据项在信贷业务借据表中体现</t>
  </si>
  <si>
    <t>合同到期日减起始日期，按天表示。</t>
  </si>
  <si>
    <t>I</t>
  </si>
  <si>
    <t>005058</t>
  </si>
  <si>
    <t>境内地区参照《GB/T 2260 中华人民共和国行政区划代码》填写国内行政区划名称，精确到地市级；境外地区参照《GB/T 2659-2000 世界各国和地区名称》填写国名或地区名称。</t>
  </si>
  <si>
    <t>DKTXXY</t>
  </si>
  <si>
    <t>依据《国民经济行业分类》（GB/T 4754）标准，填报该笔贷款投向行业的代码。原则上应填至小类代码（一位字母和四位数字），确有填写困难的至少应填至大类（一位字母和两位数字）。如行业投向是稻谷种植的，则应填写A0111；若数据不支持，无法填写至小类的应填至大类A01。无法确定实际投向的，如流动资金贷款，应按照客户主营业务所属行业填报；个人消费贷款可不用填报投向行业。</t>
  </si>
  <si>
    <t>DKZQ</t>
  </si>
  <si>
    <t>贷款展期</t>
  </si>
  <si>
    <t>03</t>
  </si>
  <si>
    <t>原合同号</t>
  </si>
  <si>
    <t>YHTH</t>
  </si>
  <si>
    <t>贷款展期不重新分配借据号</t>
  </si>
  <si>
    <t>原借据号</t>
  </si>
  <si>
    <t>YJJH</t>
  </si>
  <si>
    <t>柜员编号。银行自定义。</t>
  </si>
  <si>
    <t>统一为经办人工号</t>
  </si>
  <si>
    <t>02</t>
  </si>
  <si>
    <t>收回表内利息</t>
  </si>
  <si>
    <t xml:space="preserve">贷款核销后贷款利息均转至表外，核销后新产生利息也均在表外。 </t>
  </si>
  <si>
    <t>对公客户：统一社会信用代码，组织机构代码，境外机构，其他-XX。
个人客户：居民身份证，军官证，文职干部证，警官证，士兵证，户口簿，临时身份证，其他有效通行旅行证件，护照，学生证，无证件，其他-XX。
无法以枚举类型填报的，以“其他-XX”报送，其中“XX”为银行自定义类型。</t>
  </si>
  <si>
    <t>与证件类别对应的证件号码。涉及个人身份证件时需按照本规范给定规则进行脱敏处理。境外机构填写默认值999999。</t>
  </si>
  <si>
    <t>SXXX</t>
  </si>
  <si>
    <t>授信信息</t>
  </si>
  <si>
    <t>生效日期</t>
  </si>
  <si>
    <t>已有授信开始日期</t>
  </si>
  <si>
    <t>是否循环额度</t>
  </si>
  <si>
    <t>SFXHED</t>
  </si>
  <si>
    <t>对公综合授信均为循环额度</t>
  </si>
  <si>
    <t>是否临时额度</t>
  </si>
  <si>
    <t>SFLSED</t>
  </si>
  <si>
    <t>授信种类中已有临时额度</t>
  </si>
  <si>
    <t>贷款五级形态变动</t>
  </si>
  <si>
    <t>06</t>
  </si>
  <si>
    <t>强制与五级分类各类金额对应无意义</t>
  </si>
  <si>
    <t>转入金额</t>
  </si>
  <si>
    <t>ZRJE</t>
  </si>
  <si>
    <t>转出金额</t>
  </si>
  <si>
    <t>ZCJE</t>
  </si>
  <si>
    <t>调整员工号</t>
  </si>
  <si>
    <t>TZGYH</t>
  </si>
  <si>
    <t>工号。</t>
  </si>
  <si>
    <t>仅保留经办员工号。</t>
  </si>
  <si>
    <t>授权员工号</t>
  </si>
  <si>
    <t>仅保留审批员工号。</t>
  </si>
  <si>
    <t>规划许可证编号</t>
  </si>
  <si>
    <t>GHXKZBH</t>
  </si>
  <si>
    <t>环评许可证编号</t>
  </si>
  <si>
    <t>HPXKZBH</t>
  </si>
  <si>
    <t>YTDK</t>
  </si>
  <si>
    <t>银团贷款</t>
  </si>
  <si>
    <t>实际承担贷款金额</t>
  </si>
  <si>
    <t>SJCDDKJE</t>
  </si>
  <si>
    <t>与“承担贷款金额”有歧义，建议删除，统一填报实际贷款金额</t>
  </si>
  <si>
    <t>承担剩余贷款金额</t>
  </si>
  <si>
    <t>CDSYDKJE</t>
  </si>
  <si>
    <t>用“承担贷款金额”-“已发放承担贷款金额”即可</t>
  </si>
  <si>
    <t>协议类型</t>
  </si>
  <si>
    <t>XYLX</t>
  </si>
  <si>
    <t>未明确填报要求，容易产生混淆。</t>
  </si>
  <si>
    <t>XYZT</t>
  </si>
  <si>
    <t>银团贷款关联信贷合同表，与信贷合同表.合同状态重复。</t>
  </si>
  <si>
    <t>信贷借据表中已有信贷员工号，该数据项重复。</t>
  </si>
  <si>
    <t>协议起始日期</t>
  </si>
  <si>
    <t>XYQSRQ</t>
  </si>
  <si>
    <t>信贷合同表中已有合同开始日期，该数据项重复。</t>
  </si>
  <si>
    <t>协议终止日期</t>
  </si>
  <si>
    <t>XYZZRQ</t>
  </si>
  <si>
    <t>信贷合同表中已有合同到期日期，该数据项重复。</t>
  </si>
  <si>
    <t>XDYWDBHT</t>
  </si>
  <si>
    <t>信贷业务担保合同</t>
  </si>
  <si>
    <t>12</t>
  </si>
  <si>
    <t>担保合同签订日期</t>
  </si>
  <si>
    <t>DBHTQDRQ</t>
  </si>
  <si>
    <t>容易与担保合同生效日期产生混淆，建议删除。</t>
  </si>
  <si>
    <t>XDYWZHDYW</t>
  </si>
  <si>
    <t>信贷业务质或抵押物</t>
  </si>
  <si>
    <t>14</t>
  </si>
  <si>
    <t>担保合同质或抵押物不需要该字段。</t>
  </si>
  <si>
    <t>质或抵押物账面价值</t>
  </si>
  <si>
    <t>ZHDYWZMJZ</t>
  </si>
  <si>
    <t>字段意义重复。</t>
  </si>
  <si>
    <t>评估机构名称</t>
  </si>
  <si>
    <t>PGJGMC</t>
  </si>
  <si>
    <t>登记日期</t>
  </si>
  <si>
    <t>DJRQ</t>
  </si>
  <si>
    <t>实物收取日期</t>
  </si>
  <si>
    <t>SWSQRQ</t>
  </si>
  <si>
    <t>登记机构</t>
  </si>
  <si>
    <t>DJJG</t>
  </si>
  <si>
    <t>005056</t>
  </si>
  <si>
    <t>抵质押物的登记机关，如工商所、公证处等机构。</t>
  </si>
  <si>
    <t>操作机构</t>
  </si>
  <si>
    <t>CZJG</t>
  </si>
  <si>
    <t>保险单号</t>
  </si>
  <si>
    <t>BXDH</t>
  </si>
  <si>
    <t>该物品保险单号。</t>
  </si>
  <si>
    <t>核保日期</t>
  </si>
  <si>
    <t>HBRQ</t>
  </si>
  <si>
    <t>核保人一姓名</t>
  </si>
  <si>
    <t>HBRYXM</t>
  </si>
  <si>
    <t>核保人二姓名</t>
  </si>
  <si>
    <t>HBREXM</t>
  </si>
  <si>
    <t>质押票证账号</t>
  </si>
  <si>
    <t>ZYPZZH</t>
  </si>
  <si>
    <t>质押票证账号。</t>
  </si>
  <si>
    <t>质押票证金额</t>
  </si>
  <si>
    <t>ZYPZJE</t>
  </si>
  <si>
    <t>质押票证类型</t>
  </si>
  <si>
    <t>ZYPZLX</t>
  </si>
  <si>
    <t>质押票证开立日期</t>
  </si>
  <si>
    <t>ZYPZKLRQ</t>
  </si>
  <si>
    <t>权证名称</t>
  </si>
  <si>
    <t>QZMC</t>
  </si>
  <si>
    <t>权证有效到期日期</t>
  </si>
  <si>
    <t>QZYXDQRQ</t>
  </si>
  <si>
    <t>登记有效终止日期</t>
  </si>
  <si>
    <t>DJYXZZRQ</t>
  </si>
  <si>
    <t>WTDK</t>
  </si>
  <si>
    <t>委托贷款</t>
  </si>
  <si>
    <t>委托账号类型</t>
  </si>
  <si>
    <t>WTZHLX</t>
  </si>
  <si>
    <t>005055</t>
  </si>
  <si>
    <t>委托基金，委托存款，其他。</t>
  </si>
  <si>
    <t>目前银行机构难以区分什么是委托基金，什么是委托存款，总会也没有相对清晰的解释，建议删除。</t>
  </si>
  <si>
    <t>实际委托贷款金额</t>
  </si>
  <si>
    <t>SJWTDKJE</t>
  </si>
  <si>
    <t>“委托金额”统一填报实际委托金额，该字段容易与委托金额产生混淆。</t>
  </si>
  <si>
    <t>委托贷款用途</t>
  </si>
  <si>
    <t>WTDKYT</t>
  </si>
  <si>
    <t>委托贷款关联信贷合同表和借据表，已有贷款用途字段</t>
  </si>
  <si>
    <t>SXFFS</t>
  </si>
  <si>
    <t>没有明确定义，建议删除。</t>
  </si>
  <si>
    <t>PJPMXX</t>
  </si>
  <si>
    <t>票据票面信息</t>
  </si>
  <si>
    <t>出票人账号所在行名称</t>
  </si>
  <si>
    <t>CPRZHSZHMC</t>
  </si>
  <si>
    <t>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t>
  </si>
  <si>
    <t>因该表改为票据出票信息，银行机构名称即是出票人所在行名称，此数据项可以删除</t>
  </si>
  <si>
    <t>付款人全称</t>
  </si>
  <si>
    <t>FKRQC</t>
  </si>
  <si>
    <t>仅填列贴现行名称和账号即可</t>
  </si>
  <si>
    <t>付款人账号</t>
  </si>
  <si>
    <t>FKRZH</t>
  </si>
  <si>
    <t>XYKXX</t>
  </si>
  <si>
    <t>信用卡信息</t>
  </si>
  <si>
    <t>员工卡标志</t>
  </si>
  <si>
    <t>YGKBZ</t>
  </si>
  <si>
    <t>制卡日期</t>
  </si>
  <si>
    <t>ZKRQ</t>
  </si>
  <si>
    <t>已有开卡日期</t>
  </si>
  <si>
    <t>受理日期</t>
  </si>
  <si>
    <t>SLRQ</t>
  </si>
  <si>
    <t>受理员工号</t>
  </si>
  <si>
    <t>SLYGH</t>
  </si>
  <si>
    <t>审批员工号</t>
  </si>
  <si>
    <t>SPYGH</t>
  </si>
  <si>
    <t>本币取现金额</t>
  </si>
  <si>
    <t>BBQXJE</t>
  </si>
  <si>
    <t>具体授信信息在持卡人当前授信情况表中报送</t>
  </si>
  <si>
    <t>本币消费金额</t>
  </si>
  <si>
    <t>BBXFJE</t>
  </si>
  <si>
    <t>本币透支金额</t>
  </si>
  <si>
    <t>BBTZJE</t>
  </si>
  <si>
    <t>外币消费金额</t>
  </si>
  <si>
    <t>WBXFJE</t>
  </si>
  <si>
    <t>外币取现金额</t>
  </si>
  <si>
    <t>WBQXJE</t>
  </si>
  <si>
    <t>外币透支金额</t>
  </si>
  <si>
    <t>WBTZJE</t>
  </si>
  <si>
    <t>本币余额</t>
  </si>
  <si>
    <t>BBYE</t>
  </si>
  <si>
    <t>外币余额</t>
  </si>
  <si>
    <t>WBYE</t>
  </si>
  <si>
    <t>保留金额</t>
  </si>
  <si>
    <t>BLJE</t>
  </si>
  <si>
    <t>BNLJXFJE</t>
  </si>
  <si>
    <t>临时额度</t>
  </si>
  <si>
    <t>LSED</t>
  </si>
  <si>
    <t xml:space="preserve">额度 </t>
  </si>
  <si>
    <t>当前欠费金额</t>
  </si>
  <si>
    <t>DQQFJE</t>
  </si>
  <si>
    <t>003034</t>
  </si>
  <si>
    <t>当前透支利息</t>
  </si>
  <si>
    <t>DQTZLX</t>
  </si>
  <si>
    <t>CKRJCQKB</t>
  </si>
  <si>
    <t>持卡人基础情况表</t>
  </si>
  <si>
    <t>删除整表</t>
  </si>
  <si>
    <t>该表与个人基础信息有大量数据重复，且授信额度等信息可在持卡人授信情况表中查询，建议删除该表</t>
  </si>
  <si>
    <t>YXJGDM</t>
  </si>
  <si>
    <t>YXJGMC</t>
  </si>
  <si>
    <t>发卡分行</t>
  </si>
  <si>
    <t>FXFH</t>
  </si>
  <si>
    <t>持卡人出生年月</t>
  </si>
  <si>
    <t>CKRCSNY</t>
  </si>
  <si>
    <t>持卡人性别</t>
  </si>
  <si>
    <t>CKRXB</t>
  </si>
  <si>
    <t>男，女，其他类型按银行自定义填写中文描述。</t>
  </si>
  <si>
    <t>教育程度</t>
  </si>
  <si>
    <t>JYCD</t>
  </si>
  <si>
    <t>参照《GB/T 4658-2006 学历代码》填写中文描述或中文字典。</t>
  </si>
  <si>
    <t>持卡人职业</t>
  </si>
  <si>
    <t>CKRZY</t>
  </si>
  <si>
    <t>工作单位</t>
  </si>
  <si>
    <t>GZDW</t>
  </si>
  <si>
    <t>GZXZ</t>
  </si>
  <si>
    <t>国有企业、民营企业、政府机关、事业单位、其他单位</t>
  </si>
  <si>
    <t>所处行业</t>
  </si>
  <si>
    <t>SCHY</t>
  </si>
  <si>
    <t>填报该客户所属行业的小类代码对应的行业。行业分类按《GB/T 4754 国民经济行业分类》执行。境外机构按“境外”填报。</t>
  </si>
  <si>
    <t>是否中小企业主或私营业主客户</t>
  </si>
  <si>
    <t>SFZXQYZHSYYZKH</t>
  </si>
  <si>
    <t>首次发卡日期</t>
  </si>
  <si>
    <t>SCFKRQ</t>
  </si>
  <si>
    <t>首次发卡认定月收入</t>
  </si>
  <si>
    <t>SCFKRDYSR</t>
  </si>
  <si>
    <t>首次发卡额度</t>
  </si>
  <si>
    <t>SCFKED</t>
  </si>
  <si>
    <t>首次发卡核定总授信额度</t>
  </si>
  <si>
    <t>SCFKHDZSXED</t>
  </si>
  <si>
    <t>首次发卡时已有信用卡发卡银行数</t>
  </si>
  <si>
    <t>SCFKSYYXYKFKYHS</t>
  </si>
  <si>
    <t>首次发卡时已有他行授信金额</t>
  </si>
  <si>
    <t>SCFKSYYTHSXJE</t>
  </si>
  <si>
    <t>首次发卡申请渠道</t>
  </si>
  <si>
    <t>SCFKSQQD</t>
  </si>
  <si>
    <t>申请渠道</t>
  </si>
  <si>
    <t>006025</t>
  </si>
  <si>
    <t>柜面、直销、官网、网银、互联网引流-XX、其他-银行自定义渠道类型。若为互联网引流公司，则以互联网引流-公司全称的格式进行填报。</t>
  </si>
  <si>
    <t>备注（是否视频面签激活）</t>
  </si>
  <si>
    <t>XYKJYMX</t>
  </si>
  <si>
    <t>信用卡交易明细记录</t>
  </si>
  <si>
    <t>交易发生日期</t>
  </si>
  <si>
    <t>JYFSRQ</t>
  </si>
  <si>
    <t>与“交易记账日期”重复</t>
  </si>
  <si>
    <t>工作站性质</t>
  </si>
  <si>
    <t>GZZXZ</t>
  </si>
  <si>
    <t>柜员工作站，ATM，VTM，多媒体自助终端，自动补登折机，POS，其他。</t>
  </si>
  <si>
    <t>该表新增了“交易渠道”字段，该字段可以删除</t>
  </si>
  <si>
    <t>工作站编号</t>
  </si>
  <si>
    <t>GZZBH</t>
  </si>
  <si>
    <t>工作站编号。</t>
  </si>
  <si>
    <t>发卡行手续费率</t>
  </si>
  <si>
    <t>FKHSXFL</t>
  </si>
  <si>
    <t>手续费率各家行不一样，填报机构难以填报他行商户的手续费率</t>
  </si>
  <si>
    <t>在收单商户信息表中可以查询</t>
  </si>
  <si>
    <t>CKRSXQKB</t>
  </si>
  <si>
    <t>持卡人授信情况表</t>
  </si>
  <si>
    <t>04</t>
  </si>
  <si>
    <t>当前客户等级</t>
  </si>
  <si>
    <t>DQKHDJ</t>
  </si>
  <si>
    <t>客户等级</t>
  </si>
  <si>
    <t>006022</t>
  </si>
  <si>
    <t>以客户所持有最高等级的卡片填报：黑金、白金、金卡、普卡等</t>
  </si>
  <si>
    <t>当前客户类型</t>
  </si>
  <si>
    <t>DQKHLX</t>
  </si>
  <si>
    <t>信用卡客户类型</t>
  </si>
  <si>
    <t>006023</t>
  </si>
  <si>
    <t>分类高风险高收益、高风险中收益、高风险低收益，中风险高收益……等9类填报</t>
  </si>
  <si>
    <t>当前认定月收入</t>
  </si>
  <si>
    <t>DQRDYSR</t>
  </si>
  <si>
    <t>近6个月平均额度使用率</t>
  </si>
  <si>
    <t>JLGYPJEDSYL</t>
  </si>
  <si>
    <t>近6个月平均还款率</t>
  </si>
  <si>
    <t>JLGYPJHKL</t>
  </si>
  <si>
    <t>新增授信前额度</t>
  </si>
  <si>
    <t>XZSXQKD</t>
  </si>
  <si>
    <t>新增授信后额度</t>
  </si>
  <si>
    <t>XZSXHED</t>
  </si>
  <si>
    <t>新增授信时认定月收入</t>
  </si>
  <si>
    <t>XZSXSRDYSR</t>
  </si>
  <si>
    <t>新增授信时核定总授信额度（即刚性扣减他行额度前核定的总授信额度）</t>
  </si>
  <si>
    <t>XZSXSHDZSED</t>
  </si>
  <si>
    <t>新增授信时已有信用卡发卡银行数</t>
  </si>
  <si>
    <t>XZSXSYYXYKFKYHS</t>
  </si>
  <si>
    <t>新增授信时已有他行授信金额</t>
  </si>
  <si>
    <t>XZSXSYYTHSXJE</t>
  </si>
  <si>
    <t>本月累计消费交易量（不含取现、转账）</t>
  </si>
  <si>
    <t>BYLJXFJYL</t>
  </si>
  <si>
    <t>本月累计取现、转账交易量</t>
  </si>
  <si>
    <t>BYLJQXZZJYL</t>
  </si>
  <si>
    <t>本月累计分期交易量</t>
  </si>
  <si>
    <t>BYLJFQJYL</t>
  </si>
  <si>
    <t>CKRFQYWQKB</t>
  </si>
  <si>
    <t>持卡人分期业务情况表</t>
  </si>
  <si>
    <t>05</t>
  </si>
  <si>
    <t>是否核给专项分期额度</t>
  </si>
  <si>
    <t>SFHGZXFQED</t>
  </si>
  <si>
    <t>专项分期时认定月收入</t>
  </si>
  <si>
    <t>ZXFQSRDYSR</t>
  </si>
  <si>
    <t>专项分期时已有信用卡发卡银行数</t>
  </si>
  <si>
    <t>ZXFQSYYXYKFKYHS</t>
  </si>
  <si>
    <t>专项分期授信时已有他行授信金额</t>
  </si>
  <si>
    <t>ZXFQSXSYYTHSXJE</t>
  </si>
  <si>
    <t>办理分期时持卡人你行总授信额度</t>
  </si>
  <si>
    <t>BLFQSCKRXHZSXED</t>
  </si>
  <si>
    <t>分期资金转入借记卡卡号</t>
  </si>
  <si>
    <t>FQZJZRJJKH</t>
  </si>
  <si>
    <t>分期商户</t>
  </si>
  <si>
    <t xml:space="preserve">FQSH </t>
  </si>
  <si>
    <t>分期商户MCC码</t>
  </si>
  <si>
    <t>分期商户MCC名称</t>
  </si>
  <si>
    <t>中间价</t>
  </si>
  <si>
    <t>ZJJ</t>
  </si>
  <si>
    <t>本版本修改为多少外币数量折多少本币数量，更为直观，不会造成歧义。</t>
  </si>
  <si>
    <t>基准价</t>
  </si>
  <si>
    <t>JZJ</t>
  </si>
  <si>
    <t>2005年7月21日后，外汇管理局已不再对外公布人民币汇率基准价。</t>
  </si>
  <si>
    <t>DGBWSXYW</t>
  </si>
  <si>
    <t>新版数据规范表外授信业务已完全拆解，该表可以删除。</t>
  </si>
  <si>
    <t>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t>
  </si>
  <si>
    <t>机构实际使用的明细科目编号。</t>
  </si>
  <si>
    <t>机构实际使用的明细科目名称。</t>
  </si>
  <si>
    <t>003033</t>
  </si>
  <si>
    <t>表外业务品种</t>
  </si>
  <si>
    <t>BWYWPZ</t>
  </si>
  <si>
    <t>005063</t>
  </si>
  <si>
    <t>承兑汇票-银行自定义业务名称，信用证-银行自定义业务名称，保函-银行自定义业务名称，信用风险仍在银行的销售与购买协议-银行自定义业务名称，承诺-银行自定义业务名称，委托贷款-银行自定义业务名称，委托投资-银行自定义业务名称，他行代办-银行自定义业务名称，其他-银行自定义业务名称。</t>
  </si>
  <si>
    <t>YE</t>
  </si>
  <si>
    <t>授信业务期限</t>
  </si>
  <si>
    <t>SXYWQX</t>
  </si>
  <si>
    <t>是否垫付</t>
  </si>
  <si>
    <t>SFDF</t>
  </si>
  <si>
    <t>表外业务实际发放日期</t>
  </si>
  <si>
    <t>BWYWSJFFRQ</t>
  </si>
  <si>
    <t>表外业务原始到期日期</t>
  </si>
  <si>
    <t>BWYWYSDQRQ</t>
  </si>
  <si>
    <t>表外业务实际到期日期</t>
  </si>
  <si>
    <t>BWYWSJDQRQ</t>
  </si>
  <si>
    <t>结清日期</t>
  </si>
  <si>
    <t>JQRQ</t>
  </si>
  <si>
    <t>D10.2</t>
  </si>
  <si>
    <t>商业发票号码</t>
  </si>
  <si>
    <t>SYFPHM</t>
  </si>
  <si>
    <t>贸易背景真实性审查收集的商业发票号码，多张发票以英文半角分号隔开</t>
  </si>
  <si>
    <t>商业发票币种</t>
  </si>
  <si>
    <t>SYFPBZ</t>
  </si>
  <si>
    <t>商业发票金额</t>
  </si>
  <si>
    <t>SYFPJE</t>
  </si>
  <si>
    <t>商业发票种类</t>
  </si>
  <si>
    <t>SYFPZL</t>
  </si>
  <si>
    <t>银行自定义，例如：商业发票，详细发票，证实发票，收妥发票，厂商发票，形式发票，样品发票，领事发票，寄售发票，海关发票</t>
  </si>
  <si>
    <t>ZJJYXXB</t>
  </si>
  <si>
    <t>资金交易信息表</t>
  </si>
  <si>
    <t>原资金交易信息表包含自营及代客使用各项金融工具的交易信息，现自营端有自营资金交易信息表和自营资金交易余额表，代客端有票据开票信息、保函及信用证、代客交易信息表、代理代销业务及其他表外授信业务表。原资金交易信息表已完全拆解，因此可以删除。</t>
  </si>
  <si>
    <t>理财产品登记编码</t>
  </si>
  <si>
    <t>LCCPDJBM</t>
  </si>
  <si>
    <t>资金交易类型</t>
  </si>
  <si>
    <t>自营，代客。</t>
  </si>
  <si>
    <t>资金交易子类</t>
  </si>
  <si>
    <t>JYZL</t>
  </si>
  <si>
    <t>买入，远期买入，远期卖出，卖出，外汇买卖，期权创设，同业借款，质押式正回购，质押式逆回购，买断式正回购，买断式逆回购，拆入，拆出，外汇互换，货币互换，利率互换支付固定利率，利率互换支付浮动利率，利率远期支付固定利率，利率远期支付浮动利率，承销，分销买入，分销卖出，同业代付，同业存入，同业存出，协议存入，协议存出，债券借贷－借入，债券借贷－借出，现金支付，现金收取，交易终止，其他（银行自定义）。</t>
  </si>
  <si>
    <t>金融产品在中登公司记录的正确编号，包括但不限于标准化或非标准化金融产品。如果不是标准产品，则由银行自定义。</t>
  </si>
  <si>
    <t>009017</t>
  </si>
  <si>
    <t>HTH</t>
  </si>
  <si>
    <t>基础资产所属行业</t>
  </si>
  <si>
    <t>JCZCSSHY</t>
  </si>
  <si>
    <t>基础资产是否为本行客户</t>
  </si>
  <si>
    <t>JCZCSFWBHKH</t>
  </si>
  <si>
    <t>基础资产增信方式</t>
  </si>
  <si>
    <t>JCZCZXFS</t>
  </si>
  <si>
    <t>增信方式</t>
  </si>
  <si>
    <t>银行自定义。例如：保证担保，抵押，存单质押，保证金质押，股权质押，其他权利质押，银行保函，银行远期购买，银行担保，银行承兑，其他。</t>
  </si>
  <si>
    <t>基础资产增信人</t>
  </si>
  <si>
    <t>JCZCZXR</t>
  </si>
  <si>
    <t>交易对手编号</t>
  </si>
  <si>
    <t>JYDSBH</t>
  </si>
  <si>
    <t>账户归属者的名称。客户是境内涉密法人的，账户名称填报为“*********”。</t>
  </si>
  <si>
    <t>起始日期</t>
  </si>
  <si>
    <t>QSRQ</t>
  </si>
  <si>
    <t>MMBZ</t>
  </si>
  <si>
    <t>即远期标志</t>
  </si>
  <si>
    <t>JYQBZ</t>
  </si>
  <si>
    <t>即期，远期。</t>
  </si>
  <si>
    <t>买入币种</t>
  </si>
  <si>
    <t>MRBZ</t>
  </si>
  <si>
    <t>买入金额</t>
  </si>
  <si>
    <t>MRJE</t>
  </si>
  <si>
    <t>卖出币种</t>
  </si>
  <si>
    <t>MCBZ</t>
  </si>
  <si>
    <t>卖出金额</t>
  </si>
  <si>
    <t>MCJE</t>
  </si>
  <si>
    <t>成交价格</t>
  </si>
  <si>
    <t>CJJG</t>
  </si>
  <si>
    <t>数字加单位表示，如10万元或1.5%。</t>
  </si>
  <si>
    <t>交易状态</t>
  </si>
  <si>
    <t>JYZT</t>
  </si>
  <si>
    <t>部分成交，成交确认，部分撤单，撤单，交易执行中，交易终止。</t>
  </si>
  <si>
    <t>复核日期</t>
  </si>
  <si>
    <t>FHRQ</t>
  </si>
  <si>
    <t>取消日期</t>
  </si>
  <si>
    <t>实际交割日期</t>
  </si>
  <si>
    <t>SJJGRQ</t>
  </si>
  <si>
    <t>清算标志</t>
  </si>
  <si>
    <t>QSBZ</t>
  </si>
  <si>
    <t>借方账号</t>
  </si>
  <si>
    <t>JFZH</t>
  </si>
  <si>
    <t>贷方账号</t>
  </si>
  <si>
    <t>借方金额</t>
  </si>
  <si>
    <t>JFJE</t>
  </si>
  <si>
    <t>贷方金额</t>
  </si>
  <si>
    <t>DFJE</t>
  </si>
  <si>
    <t>借方币种</t>
  </si>
  <si>
    <t>JFBZ</t>
  </si>
  <si>
    <t>贷方币种</t>
  </si>
  <si>
    <t>DFBZ</t>
  </si>
  <si>
    <t>借方利率</t>
  </si>
  <si>
    <t>JFLL</t>
  </si>
  <si>
    <t>贷方利率</t>
  </si>
  <si>
    <t>DFLL</t>
  </si>
  <si>
    <t>保证金交易标志</t>
  </si>
  <si>
    <t>BZJJYBZ</t>
  </si>
  <si>
    <t>关联保证金账号</t>
  </si>
  <si>
    <t>GLBZJZH</t>
  </si>
  <si>
    <t>关联业务编号</t>
  </si>
  <si>
    <t>GLYWBH</t>
  </si>
  <si>
    <t>外部关联系统名称</t>
  </si>
  <si>
    <t>WBGLXTMC</t>
  </si>
  <si>
    <t>系统名</t>
  </si>
  <si>
    <t>信息系统名称</t>
  </si>
  <si>
    <t>交易员工号</t>
  </si>
  <si>
    <t>该数据项调整至金融工具信息表中。</t>
  </si>
  <si>
    <t>评级</t>
  </si>
  <si>
    <t>外部专业性的评级公司名称及对融资人主体的信用评级结果。</t>
  </si>
  <si>
    <t>基础资产客户编号</t>
  </si>
  <si>
    <t>JCZCKHBH</t>
  </si>
  <si>
    <t>参照《GB/T 2659-2000 世界各国和地区名称》。</t>
  </si>
  <si>
    <t>基础客户评级机构</t>
  </si>
  <si>
    <t>JCKHPJJG</t>
  </si>
  <si>
    <t>基础资产或客户行业</t>
  </si>
  <si>
    <t>按照G31标准填写穿透后的最终投向。当业务中类为私募基金投资、结构性存款投资、资产管理产品投资和其他投资时，必填。其他业务类型允许为空。</t>
  </si>
  <si>
    <t>违约金额</t>
  </si>
  <si>
    <t>WYJE</t>
  </si>
  <si>
    <t>审批人</t>
  </si>
  <si>
    <t>SPR</t>
  </si>
  <si>
    <t>余额表不涉及交易方向</t>
  </si>
  <si>
    <t>存量日期</t>
  </si>
  <si>
    <t>原数据项意义不明</t>
  </si>
  <si>
    <t>XYZHTB</t>
  </si>
  <si>
    <t>信用证合同表</t>
  </si>
  <si>
    <t>信用证合约编号</t>
  </si>
  <si>
    <t>XYZHYBH</t>
  </si>
  <si>
    <t>信用证申请人编号</t>
  </si>
  <si>
    <t>XYZSQRBH</t>
  </si>
  <si>
    <t>信用证申请人名称</t>
  </si>
  <si>
    <t>XYZSQRMC</t>
  </si>
  <si>
    <t>贸易合同编号</t>
  </si>
  <si>
    <t>MYHTBH</t>
  </si>
  <si>
    <t>货品描述</t>
  </si>
  <si>
    <t>HPMS</t>
  </si>
  <si>
    <t>贸易币种代码</t>
  </si>
  <si>
    <t>MYBZDM</t>
  </si>
  <si>
    <t>贸易合同金额</t>
  </si>
  <si>
    <t>MYHTJE</t>
  </si>
  <si>
    <t>通知行名称</t>
  </si>
  <si>
    <t>TZHMC</t>
  </si>
  <si>
    <t>信用证种类</t>
  </si>
  <si>
    <t>XYZZL</t>
  </si>
  <si>
    <t>币种代码</t>
  </si>
  <si>
    <t>BZDM</t>
  </si>
  <si>
    <t>信用证金额</t>
  </si>
  <si>
    <t>信用证付款期限描述</t>
  </si>
  <si>
    <t>XYZFKQXMS</t>
  </si>
  <si>
    <t>信用证支付类型</t>
  </si>
  <si>
    <t>XYZZFLX</t>
  </si>
  <si>
    <t>担保合约编号信息</t>
  </si>
  <si>
    <t>DBHYBHXX</t>
  </si>
  <si>
    <t>签约日期</t>
  </si>
  <si>
    <t>XYZMXB</t>
  </si>
  <si>
    <t>信用证明细信息表</t>
  </si>
  <si>
    <t>信用证号码</t>
  </si>
  <si>
    <t>XYZBH</t>
  </si>
  <si>
    <t>信用证编号</t>
  </si>
  <si>
    <t>信用证余额</t>
  </si>
  <si>
    <t>信用证开证日期</t>
  </si>
  <si>
    <t>XYZKZRQ</t>
  </si>
  <si>
    <t>信用证到期日期</t>
  </si>
  <si>
    <t>XYZDQRQ</t>
  </si>
  <si>
    <t>信用证撤销日期</t>
  </si>
  <si>
    <t>XYZCXRQ</t>
  </si>
  <si>
    <t>信用证闭卷日期</t>
  </si>
  <si>
    <t>XYZBJRQ</t>
  </si>
  <si>
    <t>信用证押汇金额</t>
  </si>
  <si>
    <t>XYZYHJE</t>
  </si>
  <si>
    <t>信用证押汇余额</t>
  </si>
  <si>
    <t>XYZYHYE</t>
  </si>
  <si>
    <t>信贷资产风险分类</t>
  </si>
  <si>
    <t>XDZCFXFLDM</t>
  </si>
  <si>
    <t>XYKZHJYMXB</t>
  </si>
  <si>
    <t>信用卡账户交易明细记录</t>
  </si>
  <si>
    <t>交易类型2</t>
  </si>
  <si>
    <t>JYLX2</t>
  </si>
  <si>
    <t>006021</t>
  </si>
  <si>
    <t>线上/线下</t>
  </si>
  <si>
    <t>交易柜员</t>
  </si>
  <si>
    <t>JYGY</t>
  </si>
  <si>
    <t>最新预期收益率</t>
  </si>
  <si>
    <t>ZXYQSYL</t>
  </si>
  <si>
    <t>理财新规过渡期延长期限将于2021年底结束，届时预期收益型产品将退出历史舞台，净值型产品无预期收益率。</t>
  </si>
  <si>
    <t>产品统计日期</t>
  </si>
  <si>
    <t>CPTJRQ</t>
  </si>
  <si>
    <r>
      <rPr>
        <sz val="12"/>
        <rFont val="Times New Roman"/>
        <charset val="134"/>
      </rPr>
      <t>YYYYMMDD</t>
    </r>
    <r>
      <rPr>
        <sz val="12"/>
        <rFont val="宋体"/>
        <charset val="134"/>
      </rPr>
      <t>，默认值</t>
    </r>
    <r>
      <rPr>
        <sz val="12"/>
        <rFont val="Times New Roman"/>
        <charset val="134"/>
      </rPr>
      <t>99991231</t>
    </r>
    <r>
      <rPr>
        <sz val="12"/>
        <rFont val="宋体"/>
        <charset val="134"/>
      </rPr>
      <t>。</t>
    </r>
  </si>
  <si>
    <t>产品收益类型</t>
  </si>
  <si>
    <t>CPSYLX</t>
  </si>
  <si>
    <t>理财产品收益特征</t>
  </si>
  <si>
    <t>保证收益类，保本浮动收益类，非保本浮动收益类。</t>
  </si>
  <si>
    <t>《商业银行理财业务监督管理办法》第三条规定“本办法所称理财产品是指商业银行按照约定条件和实际投资收益情况向投资者支付收益、不保证本金支付和收益水平的非保本理财产品”，现在的理财产品均为非保本型，因此不必再增加此字段特意强调说明。</t>
  </si>
  <si>
    <t>产品会计核算方式</t>
  </si>
  <si>
    <t>表内，表外。</t>
  </si>
  <si>
    <t>在“表内”核算的是以前的保本型产品，现在已经没有保本型产品，因此理财业务全部都是表外业务，可以不再保留该字段</t>
  </si>
  <si>
    <t>是否有预期收益率</t>
  </si>
  <si>
    <t>SFYYQSYL</t>
  </si>
  <si>
    <t>是否有收益率测算依据</t>
  </si>
  <si>
    <t>SFYSYLCSYJ</t>
  </si>
  <si>
    <t>“收益率测算依据”是针对预期收益型产品说的，现在没有预期收益率产品了，净值型产品只有“业绩比较基准”，但该表后面已经设有业绩比较基准上限、下限相关字段，股该字段可以删除</t>
  </si>
  <si>
    <t>申报期预计客户最高年收益率</t>
  </si>
  <si>
    <t>SBQYJKHZGNSYL</t>
  </si>
  <si>
    <t>净值型产品不存在最低、最高、平均收益率</t>
  </si>
  <si>
    <t>申报期预计客户最低年收益率</t>
  </si>
  <si>
    <t>SBQYJKHZDNSYL</t>
  </si>
  <si>
    <t>发行期预计客户最高年收益率</t>
  </si>
  <si>
    <t>FXQYJKHZGNSYL</t>
  </si>
  <si>
    <t>发行期预计客户最低年收益率</t>
  </si>
  <si>
    <t>FXQYJKHZDNSYL</t>
  </si>
  <si>
    <t>发行期预计平均收益率</t>
  </si>
  <si>
    <t>FXQYJPJSYL</t>
  </si>
  <si>
    <t>NY</t>
  </si>
  <si>
    <r>
      <rPr>
        <sz val="12"/>
        <rFont val="Times New Roman"/>
        <charset val="134"/>
      </rPr>
      <t>YYYYMM</t>
    </r>
    <r>
      <rPr>
        <sz val="12"/>
        <rFont val="宋体"/>
        <charset val="134"/>
      </rPr>
      <t>，默认值</t>
    </r>
    <r>
      <rPr>
        <sz val="12"/>
        <rFont val="Times New Roman"/>
        <charset val="134"/>
      </rPr>
      <t>999912</t>
    </r>
    <r>
      <rPr>
        <sz val="12"/>
        <rFont val="宋体"/>
        <charset val="134"/>
      </rPr>
      <t>。</t>
    </r>
  </si>
  <si>
    <t>年份</t>
  </si>
  <si>
    <t>NF</t>
  </si>
  <si>
    <t>年份。</t>
  </si>
  <si>
    <t>月份</t>
  </si>
  <si>
    <t>YF</t>
  </si>
  <si>
    <t>月份。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</si>
</sst>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63">
    <font>
      <sz val="12"/>
      <name val="宋体"/>
      <charset val="134"/>
    </font>
    <font>
      <sz val="12"/>
      <name val="Times New Roman"/>
      <charset val="134"/>
    </font>
    <font>
      <strike/>
      <sz val="12"/>
      <name val="宋体"/>
      <charset val="134"/>
    </font>
    <font>
      <b/>
      <sz val="12"/>
      <name val="宋体"/>
      <charset val="134"/>
    </font>
    <font>
      <sz val="12"/>
      <color rgb="FFFF0000"/>
      <name val="Times New Roman"/>
      <charset val="134"/>
    </font>
    <font>
      <sz val="12"/>
      <color rgb="FFFF0000"/>
      <name val="宋体"/>
      <charset val="134"/>
    </font>
    <font>
      <strike/>
      <sz val="12"/>
      <color rgb="FFFF0000"/>
      <name val="宋体"/>
      <charset val="134"/>
    </font>
    <font>
      <strike/>
      <sz val="12"/>
      <color rgb="FFFF0000"/>
      <name val="Times New Roman"/>
      <charset val="134"/>
    </font>
    <font>
      <b/>
      <sz val="14"/>
      <name val="宋体"/>
      <charset val="134"/>
    </font>
    <font>
      <b/>
      <sz val="11"/>
      <name val="宋体"/>
      <charset val="134"/>
    </font>
    <font>
      <sz val="11"/>
      <name val="宋体"/>
      <charset val="134"/>
    </font>
    <font>
      <sz val="12"/>
      <color rgb="FF0070C0"/>
      <name val="Times New Roman"/>
      <charset val="134"/>
    </font>
    <font>
      <sz val="14"/>
      <name val="Times New Roman"/>
      <charset val="134"/>
    </font>
    <font>
      <sz val="12"/>
      <name val="宋体"/>
      <charset val="134"/>
      <scheme val="minor"/>
    </font>
    <font>
      <b/>
      <sz val="18"/>
      <name val="宋体"/>
      <charset val="134"/>
    </font>
    <font>
      <b/>
      <sz val="18"/>
      <name val="宋体"/>
      <charset val="134"/>
      <scheme val="minor"/>
    </font>
    <font>
      <sz val="14"/>
      <name val="宋体"/>
      <charset val="134"/>
    </font>
    <font>
      <sz val="12"/>
      <color rgb="FFFF0000"/>
      <name val="宋体"/>
      <charset val="134"/>
      <scheme val="minor"/>
    </font>
    <font>
      <sz val="14"/>
      <color rgb="FFFF0000"/>
      <name val="Times New Roman"/>
      <charset val="134"/>
    </font>
    <font>
      <sz val="14"/>
      <color rgb="FF0070C0"/>
      <name val="Times New Roman"/>
      <charset val="134"/>
    </font>
    <font>
      <sz val="12"/>
      <color rgb="FF0070C0"/>
      <name val="宋体"/>
      <charset val="134"/>
      <scheme val="minor"/>
    </font>
    <font>
      <sz val="12"/>
      <color rgb="FF0070C0"/>
      <name val="宋体"/>
      <charset val="134"/>
    </font>
    <font>
      <sz val="12"/>
      <color theme="4"/>
      <name val="宋体"/>
      <charset val="134"/>
      <scheme val="minor"/>
    </font>
    <font>
      <sz val="12"/>
      <color theme="4"/>
      <name val="Times New Roman"/>
      <charset val="134"/>
    </font>
    <font>
      <sz val="12"/>
      <color theme="4"/>
      <name val="宋体"/>
      <charset val="134"/>
    </font>
    <font>
      <sz val="14"/>
      <color rgb="FFFF0000"/>
      <name val="宋体"/>
      <charset val="134"/>
    </font>
    <font>
      <sz val="12"/>
      <name val="华文细黑"/>
      <charset val="134"/>
    </font>
    <font>
      <sz val="12"/>
      <color rgb="FFFF0000"/>
      <name val="华文细黑"/>
      <charset val="134"/>
    </font>
    <font>
      <sz val="11"/>
      <color rgb="FFFF0000"/>
      <name val="华文细黑"/>
      <charset val="134"/>
    </font>
    <font>
      <sz val="11"/>
      <name val="华文细黑"/>
      <charset val="134"/>
    </font>
    <font>
      <sz val="12"/>
      <color rgb="FFFF0000"/>
      <name val="Times New Roman"/>
      <charset val="0"/>
    </font>
    <font>
      <sz val="12"/>
      <color theme="1"/>
      <name val="宋体"/>
      <charset val="134"/>
      <scheme val="minor"/>
    </font>
    <font>
      <sz val="12"/>
      <color theme="1"/>
      <name val="Times New Roman"/>
      <charset val="134"/>
    </font>
    <font>
      <b/>
      <sz val="14"/>
      <color rgb="FFFF0000"/>
      <name val="宋体"/>
      <charset val="134"/>
    </font>
    <font>
      <b/>
      <sz val="12"/>
      <color rgb="FFFF0000"/>
      <name val="宋体"/>
      <charset val="134"/>
    </font>
    <font>
      <b/>
      <sz val="12"/>
      <color rgb="FFFF0000"/>
      <name val="宋体"/>
      <charset val="134"/>
      <scheme val="minor"/>
    </font>
    <font>
      <b/>
      <sz val="24"/>
      <name val="宋体"/>
      <charset val="134"/>
    </font>
    <font>
      <b/>
      <sz val="24"/>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theme="0"/>
      <name val="宋体"/>
      <charset val="0"/>
      <scheme val="minor"/>
    </font>
    <font>
      <sz val="11"/>
      <color theme="1"/>
      <name val="宋体"/>
      <charset val="0"/>
      <scheme val="minor"/>
    </font>
    <font>
      <sz val="11"/>
      <color indexed="8"/>
      <name val="宋体"/>
      <charset val="134"/>
    </font>
    <font>
      <sz val="9"/>
      <name val="宋体"/>
      <charset val="134"/>
    </font>
    <font>
      <sz val="10"/>
      <name val="Arial"/>
      <charset val="134"/>
    </font>
    <font>
      <sz val="11"/>
      <name val="Times New Roman"/>
      <charset val="134"/>
    </font>
    <font>
      <b/>
      <sz val="18"/>
      <name val="Times New Roman"/>
      <charset val="134"/>
    </font>
  </fonts>
  <fills count="40">
    <fill>
      <patternFill patternType="none"/>
    </fill>
    <fill>
      <patternFill patternType="gray125"/>
    </fill>
    <fill>
      <patternFill patternType="solid">
        <fgColor rgb="FFFFFF99"/>
        <bgColor indexed="64"/>
      </patternFill>
    </fill>
    <fill>
      <patternFill patternType="solid">
        <fgColor rgb="FFFFC000"/>
        <bgColor indexed="64"/>
      </patternFill>
    </fill>
    <fill>
      <patternFill patternType="solid">
        <fgColor indexed="43"/>
        <bgColor indexed="64"/>
      </patternFill>
    </fill>
    <fill>
      <patternFill patternType="solid">
        <fgColor rgb="FFFFFF00"/>
        <bgColor indexed="64"/>
      </patternFill>
    </fill>
    <fill>
      <patternFill patternType="solid">
        <fgColor theme="3" tint="0.6"/>
        <bgColor indexed="64"/>
      </patternFill>
    </fill>
    <fill>
      <patternFill patternType="solid">
        <fgColor indexed="53"/>
        <bgColor indexed="64"/>
      </patternFill>
    </fill>
    <fill>
      <patternFill patternType="solid">
        <fgColor theme="3" tint="0.8"/>
        <bgColor indexed="64"/>
      </patternFill>
    </fill>
    <fill>
      <patternFill patternType="solid">
        <fgColor theme="9" tint="-0.25"/>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7">
    <xf numFmtId="0" fontId="0" fillId="0" borderId="0">
      <alignment vertical="center"/>
    </xf>
    <xf numFmtId="43" fontId="38" fillId="0" borderId="0" applyFont="0" applyFill="0" applyBorder="0" applyAlignment="0" applyProtection="0">
      <alignment vertical="center"/>
    </xf>
    <xf numFmtId="44" fontId="38" fillId="0" borderId="0" applyFont="0" applyFill="0" applyBorder="0" applyAlignment="0" applyProtection="0">
      <alignment vertical="center"/>
    </xf>
    <xf numFmtId="9" fontId="38" fillId="0" borderId="0" applyFont="0" applyFill="0" applyBorder="0" applyAlignment="0" applyProtection="0">
      <alignment vertical="center"/>
    </xf>
    <xf numFmtId="41" fontId="38" fillId="0" borderId="0" applyFont="0" applyFill="0" applyBorder="0" applyAlignment="0" applyProtection="0">
      <alignment vertical="center"/>
    </xf>
    <xf numFmtId="42" fontId="38"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10" borderId="13"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14" applyNumberFormat="0" applyFill="0" applyAlignment="0" applyProtection="0">
      <alignment vertical="center"/>
    </xf>
    <xf numFmtId="0" fontId="45" fillId="0" borderId="15" applyNumberFormat="0" applyFill="0" applyAlignment="0" applyProtection="0">
      <alignment vertical="center"/>
    </xf>
    <xf numFmtId="0" fontId="46" fillId="0" borderId="16" applyNumberFormat="0" applyFill="0" applyAlignment="0" applyProtection="0">
      <alignment vertical="center"/>
    </xf>
    <xf numFmtId="0" fontId="46" fillId="0" borderId="0" applyNumberFormat="0" applyFill="0" applyBorder="0" applyAlignment="0" applyProtection="0">
      <alignment vertical="center"/>
    </xf>
    <xf numFmtId="0" fontId="47" fillId="11" borderId="17" applyNumberFormat="0" applyAlignment="0" applyProtection="0">
      <alignment vertical="center"/>
    </xf>
    <xf numFmtId="0" fontId="48" fillId="12" borderId="18" applyNumberFormat="0" applyAlignment="0" applyProtection="0">
      <alignment vertical="center"/>
    </xf>
    <xf numFmtId="0" fontId="49" fillId="12" borderId="17" applyNumberFormat="0" applyAlignment="0" applyProtection="0">
      <alignment vertical="center"/>
    </xf>
    <xf numFmtId="0" fontId="50" fillId="13" borderId="19" applyNumberFormat="0" applyAlignment="0" applyProtection="0">
      <alignment vertical="center"/>
    </xf>
    <xf numFmtId="0" fontId="51" fillId="0" borderId="20" applyNumberFormat="0" applyFill="0" applyAlignment="0" applyProtection="0">
      <alignment vertical="center"/>
    </xf>
    <xf numFmtId="0" fontId="52" fillId="0" borderId="21" applyNumberFormat="0" applyFill="0" applyAlignment="0" applyProtection="0">
      <alignment vertical="center"/>
    </xf>
    <xf numFmtId="0" fontId="53" fillId="14" borderId="0" applyNumberFormat="0" applyBorder="0" applyAlignment="0" applyProtection="0">
      <alignment vertical="center"/>
    </xf>
    <xf numFmtId="0" fontId="54" fillId="15" borderId="0" applyNumberFormat="0" applyBorder="0" applyAlignment="0" applyProtection="0">
      <alignment vertical="center"/>
    </xf>
    <xf numFmtId="0" fontId="55" fillId="4" borderId="0" applyNumberFormat="0" applyBorder="0" applyAlignment="0" applyProtection="0">
      <alignment vertical="center"/>
    </xf>
    <xf numFmtId="0" fontId="56" fillId="16" borderId="0" applyNumberFormat="0" applyBorder="0" applyAlignment="0" applyProtection="0">
      <alignment vertical="center"/>
    </xf>
    <xf numFmtId="0" fontId="57" fillId="17" borderId="0" applyNumberFormat="0" applyBorder="0" applyAlignment="0" applyProtection="0">
      <alignment vertical="center"/>
    </xf>
    <xf numFmtId="0" fontId="57" fillId="18"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7" fillId="21" borderId="0" applyNumberFormat="0" applyBorder="0" applyAlignment="0" applyProtection="0">
      <alignment vertical="center"/>
    </xf>
    <xf numFmtId="0" fontId="57" fillId="22"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7" fillId="25" borderId="0" applyNumberFormat="0" applyBorder="0" applyAlignment="0" applyProtection="0">
      <alignment vertical="center"/>
    </xf>
    <xf numFmtId="0" fontId="57" fillId="26"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7" fillId="29" borderId="0" applyNumberFormat="0" applyBorder="0" applyAlignment="0" applyProtection="0">
      <alignment vertical="center"/>
    </xf>
    <xf numFmtId="0" fontId="57" fillId="30"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7" fillId="33" borderId="0" applyNumberFormat="0" applyBorder="0" applyAlignment="0" applyProtection="0">
      <alignment vertical="center"/>
    </xf>
    <xf numFmtId="0" fontId="57" fillId="34" borderId="0" applyNumberFormat="0" applyBorder="0" applyAlignment="0" applyProtection="0">
      <alignment vertical="center"/>
    </xf>
    <xf numFmtId="0" fontId="56" fillId="35" borderId="0" applyNumberFormat="0" applyBorder="0" applyAlignment="0" applyProtection="0">
      <alignment vertical="center"/>
    </xf>
    <xf numFmtId="0" fontId="56" fillId="36" borderId="0" applyNumberFormat="0" applyBorder="0" applyAlignment="0" applyProtection="0">
      <alignment vertical="center"/>
    </xf>
    <xf numFmtId="0" fontId="57" fillId="37" borderId="0" applyNumberFormat="0" applyBorder="0" applyAlignment="0" applyProtection="0">
      <alignment vertical="center"/>
    </xf>
    <xf numFmtId="0" fontId="57" fillId="38" borderId="0" applyNumberFormat="0" applyBorder="0" applyAlignment="0" applyProtection="0">
      <alignment vertical="center"/>
    </xf>
    <xf numFmtId="0" fontId="56" fillId="39" borderId="0" applyNumberFormat="0" applyBorder="0" applyAlignment="0" applyProtection="0">
      <alignment vertical="center"/>
    </xf>
    <xf numFmtId="0" fontId="0" fillId="0" borderId="0"/>
    <xf numFmtId="0" fontId="0" fillId="0" borderId="0"/>
    <xf numFmtId="0" fontId="58" fillId="0" borderId="0" applyNumberFormat="0" applyBorder="0" applyProtection="0">
      <alignment vertical="center"/>
    </xf>
    <xf numFmtId="0" fontId="58" fillId="0" borderId="0" applyNumberFormat="0" applyBorder="0" applyProtection="0">
      <alignment vertical="center"/>
    </xf>
    <xf numFmtId="0" fontId="0" fillId="0" borderId="0"/>
    <xf numFmtId="0" fontId="59" fillId="0" borderId="0">
      <alignment vertical="center"/>
    </xf>
    <xf numFmtId="0" fontId="0" fillId="0" borderId="0"/>
    <xf numFmtId="0" fontId="60" fillId="0" borderId="0"/>
  </cellStyleXfs>
  <cellXfs count="404">
    <xf numFmtId="0" fontId="0" fillId="0" borderId="0" xfId="0">
      <alignment vertical="center"/>
    </xf>
    <xf numFmtId="0" fontId="1" fillId="0" borderId="0" xfId="0" applyFont="1" applyFill="1" applyAlignment="1">
      <alignment vertical="center" wrapText="1"/>
    </xf>
    <xf numFmtId="0" fontId="0" fillId="0" borderId="0" xfId="0" applyFill="1" applyAlignment="1">
      <alignment vertical="center" wrapText="1"/>
    </xf>
    <xf numFmtId="0" fontId="0" fillId="0" borderId="0" xfId="0" applyFill="1">
      <alignment vertical="center"/>
    </xf>
    <xf numFmtId="0" fontId="2" fillId="0" borderId="0" xfId="0" applyFont="1">
      <alignment vertical="center"/>
    </xf>
    <xf numFmtId="0" fontId="1" fillId="0" borderId="0" xfId="0" applyFont="1" applyFill="1" applyBorder="1">
      <alignment vertical="center"/>
    </xf>
    <xf numFmtId="0" fontId="1" fillId="0" borderId="0" xfId="0" applyFont="1" applyFill="1">
      <alignment vertical="center"/>
    </xf>
    <xf numFmtId="49" fontId="1" fillId="0" borderId="0" xfId="50" applyNumberFormat="1" applyFont="1" applyFill="1" applyBorder="1" applyAlignment="1">
      <alignment vertical="center"/>
    </xf>
    <xf numFmtId="0" fontId="3" fillId="0" borderId="1" xfId="50" applyFont="1" applyFill="1" applyBorder="1" applyAlignment="1">
      <alignment horizontal="center" vertical="center" wrapText="1"/>
    </xf>
    <xf numFmtId="0" fontId="3" fillId="0" borderId="2" xfId="50" applyFont="1" applyFill="1" applyBorder="1" applyAlignment="1">
      <alignment horizontal="center" vertical="center" wrapText="1"/>
    </xf>
    <xf numFmtId="0" fontId="3" fillId="0" borderId="3" xfId="50" applyFont="1" applyFill="1" applyBorder="1" applyAlignment="1">
      <alignment horizontal="center" vertical="center" wrapText="1"/>
    </xf>
    <xf numFmtId="0" fontId="3" fillId="0" borderId="4" xfId="50" applyFont="1" applyFill="1" applyBorder="1" applyAlignment="1">
      <alignment horizontal="center" vertical="center" wrapText="1"/>
    </xf>
    <xf numFmtId="0" fontId="3" fillId="0" borderId="5" xfId="50" applyFont="1" applyFill="1" applyBorder="1" applyAlignment="1">
      <alignment horizontal="center" vertical="center" wrapText="1"/>
    </xf>
    <xf numFmtId="0" fontId="3" fillId="0" borderId="6" xfId="50" applyFont="1" applyFill="1" applyBorder="1" applyAlignment="1">
      <alignment horizontal="center" vertical="center" wrapText="1"/>
    </xf>
    <xf numFmtId="0" fontId="1" fillId="0" borderId="7" xfId="50" applyFont="1" applyFill="1" applyBorder="1" applyAlignment="1">
      <alignment vertical="center" wrapText="1"/>
    </xf>
    <xf numFmtId="0" fontId="1" fillId="0" borderId="7" xfId="50" applyFont="1" applyFill="1" applyBorder="1" applyAlignment="1">
      <alignment horizontal="center" vertical="center" wrapText="1"/>
    </xf>
    <xf numFmtId="0" fontId="0" fillId="0" borderId="7" xfId="50" applyFont="1" applyFill="1" applyBorder="1" applyAlignment="1">
      <alignment horizontal="center" vertical="center" wrapText="1"/>
    </xf>
    <xf numFmtId="0" fontId="0" fillId="0" borderId="7"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2" borderId="7" xfId="50" applyFont="1" applyFill="1" applyBorder="1" applyAlignment="1">
      <alignment vertical="center"/>
    </xf>
    <xf numFmtId="0" fontId="0" fillId="2" borderId="7" xfId="50" applyFont="1" applyFill="1" applyBorder="1" applyAlignment="1">
      <alignment vertical="center" wrapText="1"/>
    </xf>
    <xf numFmtId="0" fontId="0" fillId="0" borderId="7" xfId="0" applyFill="1" applyBorder="1" applyAlignment="1">
      <alignment vertical="center" wrapText="1"/>
    </xf>
    <xf numFmtId="0" fontId="0" fillId="3" borderId="7" xfId="0" applyFont="1" applyFill="1" applyBorder="1" applyAlignment="1">
      <alignment vertical="center" wrapText="1"/>
    </xf>
    <xf numFmtId="0" fontId="0" fillId="3" borderId="7" xfId="0" applyFill="1" applyBorder="1" applyAlignment="1">
      <alignment vertical="center" wrapText="1"/>
    </xf>
    <xf numFmtId="0" fontId="0" fillId="2" borderId="7" xfId="50" applyFont="1" applyFill="1" applyBorder="1" applyAlignment="1">
      <alignment vertical="center"/>
    </xf>
    <xf numFmtId="0" fontId="1" fillId="0" borderId="7" xfId="50" applyFont="1" applyFill="1" applyBorder="1" applyAlignment="1">
      <alignment vertical="center"/>
    </xf>
    <xf numFmtId="0" fontId="0" fillId="0" borderId="7" xfId="50" applyFont="1" applyFill="1" applyBorder="1" applyAlignment="1">
      <alignment vertical="center"/>
    </xf>
    <xf numFmtId="0" fontId="1" fillId="0" borderId="7" xfId="0" applyFont="1" applyFill="1" applyBorder="1" applyAlignment="1">
      <alignment vertical="center" wrapText="1"/>
    </xf>
    <xf numFmtId="0" fontId="0" fillId="0" borderId="7" xfId="50" applyFont="1" applyBorder="1" applyAlignment="1">
      <alignment horizontal="left" vertical="center"/>
    </xf>
    <xf numFmtId="0" fontId="1" fillId="0" borderId="7" xfId="50" applyFont="1" applyBorder="1" applyAlignment="1">
      <alignment horizontal="left" vertical="center"/>
    </xf>
    <xf numFmtId="0" fontId="0" fillId="0" borderId="7" xfId="50" applyFont="1" applyBorder="1" applyAlignment="1">
      <alignment horizontal="left" vertical="center" wrapText="1"/>
    </xf>
    <xf numFmtId="0" fontId="1" fillId="0" borderId="7" xfId="50" applyFont="1" applyFill="1" applyBorder="1" applyAlignment="1">
      <alignment horizontal="left" vertical="center"/>
    </xf>
    <xf numFmtId="0" fontId="0" fillId="0" borderId="7" xfId="50" applyFont="1" applyFill="1" applyBorder="1" applyAlignment="1">
      <alignment horizontal="left" vertical="center"/>
    </xf>
    <xf numFmtId="0" fontId="0" fillId="0" borderId="7" xfId="50" applyFont="1" applyFill="1" applyBorder="1" applyAlignment="1">
      <alignment horizontal="left" vertical="center" wrapText="1"/>
    </xf>
    <xf numFmtId="49" fontId="1" fillId="2" borderId="7" xfId="50" applyNumberFormat="1" applyFont="1" applyFill="1" applyBorder="1" applyAlignment="1">
      <alignment vertical="center"/>
    </xf>
    <xf numFmtId="0" fontId="0" fillId="0" borderId="7" xfId="0" applyBorder="1">
      <alignment vertical="center"/>
    </xf>
    <xf numFmtId="49" fontId="1" fillId="0" borderId="7" xfId="50" applyNumberFormat="1" applyFont="1" applyFill="1" applyBorder="1" applyAlignment="1">
      <alignment vertical="center"/>
    </xf>
    <xf numFmtId="0" fontId="4" fillId="2" borderId="7" xfId="50" applyFont="1" applyFill="1" applyBorder="1" applyAlignment="1">
      <alignment vertical="center"/>
    </xf>
    <xf numFmtId="0" fontId="5" fillId="2" borderId="7" xfId="50" applyFont="1" applyFill="1" applyBorder="1" applyAlignment="1">
      <alignment vertical="center"/>
    </xf>
    <xf numFmtId="0" fontId="4" fillId="0" borderId="7" xfId="50" applyFont="1" applyFill="1" applyBorder="1" applyAlignment="1">
      <alignment vertical="center"/>
    </xf>
    <xf numFmtId="0" fontId="5" fillId="0" borderId="7" xfId="50" applyFont="1" applyFill="1" applyBorder="1" applyAlignment="1">
      <alignment vertical="center"/>
    </xf>
    <xf numFmtId="0" fontId="1" fillId="0" borderId="7" xfId="0" applyFont="1" applyFill="1" applyBorder="1" applyAlignment="1">
      <alignment horizontal="left" vertical="center" wrapText="1"/>
    </xf>
    <xf numFmtId="0" fontId="5" fillId="0" borderId="7" xfId="50" applyFont="1" applyBorder="1" applyAlignment="1">
      <alignment horizontal="left" vertical="center"/>
    </xf>
    <xf numFmtId="0" fontId="4" fillId="0" borderId="7" xfId="50" applyFont="1" applyBorder="1" applyAlignment="1">
      <alignment horizontal="left" vertical="center"/>
    </xf>
    <xf numFmtId="0" fontId="5" fillId="0" borderId="7" xfId="50" applyFont="1" applyBorder="1" applyAlignment="1">
      <alignment horizontal="left" vertical="center" wrapText="1"/>
    </xf>
    <xf numFmtId="0" fontId="6" fillId="0" borderId="7" xfId="50" applyFont="1" applyBorder="1" applyAlignment="1">
      <alignment horizontal="left" vertical="center"/>
    </xf>
    <xf numFmtId="0" fontId="7" fillId="0" borderId="7" xfId="50" applyFont="1" applyBorder="1" applyAlignment="1">
      <alignment horizontal="left" vertical="center"/>
    </xf>
    <xf numFmtId="49" fontId="4" fillId="0" borderId="7" xfId="50" applyNumberFormat="1" applyFont="1" applyFill="1" applyBorder="1" applyAlignment="1">
      <alignment vertical="center"/>
    </xf>
    <xf numFmtId="0" fontId="0" fillId="0" borderId="7" xfId="0" applyBorder="1" applyAlignment="1">
      <alignment vertical="center" wrapText="1"/>
    </xf>
    <xf numFmtId="49" fontId="4" fillId="2" borderId="7" xfId="50" applyNumberFormat="1" applyFont="1" applyFill="1" applyBorder="1" applyAlignment="1">
      <alignment vertical="center"/>
    </xf>
    <xf numFmtId="0" fontId="1" fillId="4" borderId="7" xfId="50" applyFont="1" applyFill="1" applyBorder="1" applyAlignment="1">
      <alignment vertical="center"/>
    </xf>
    <xf numFmtId="0" fontId="0" fillId="4" borderId="7" xfId="50" applyFont="1" applyFill="1" applyBorder="1" applyAlignment="1">
      <alignment vertical="center"/>
    </xf>
    <xf numFmtId="49" fontId="1" fillId="4" borderId="7" xfId="50" applyNumberFormat="1" applyFont="1" applyFill="1" applyBorder="1" applyAlignment="1">
      <alignment vertical="center"/>
    </xf>
    <xf numFmtId="0" fontId="1" fillId="4" borderId="7" xfId="50" applyFont="1" applyFill="1" applyBorder="1" applyAlignment="1">
      <alignment horizontal="left" vertical="center"/>
    </xf>
    <xf numFmtId="49" fontId="0" fillId="0" borderId="7" xfId="50" applyNumberFormat="1" applyFont="1" applyFill="1" applyBorder="1" applyAlignment="1">
      <alignment vertical="center"/>
    </xf>
    <xf numFmtId="0" fontId="0" fillId="0" borderId="7" xfId="0" applyFont="1" applyFill="1" applyBorder="1" applyAlignment="1">
      <alignment vertical="center" wrapText="1"/>
    </xf>
    <xf numFmtId="0" fontId="1" fillId="5" borderId="7" xfId="50" applyFont="1" applyFill="1" applyBorder="1" applyAlignment="1">
      <alignment vertical="center"/>
    </xf>
    <xf numFmtId="0" fontId="0" fillId="5" borderId="7" xfId="50" applyFont="1" applyFill="1" applyBorder="1" applyAlignment="1">
      <alignment vertical="center"/>
    </xf>
    <xf numFmtId="49" fontId="1" fillId="5" borderId="7" xfId="50" applyNumberFormat="1" applyFont="1" applyFill="1" applyBorder="1" applyAlignment="1">
      <alignment vertical="center"/>
    </xf>
    <xf numFmtId="0" fontId="1" fillId="0" borderId="7" xfId="0" applyFont="1" applyFill="1" applyBorder="1" applyAlignment="1">
      <alignment horizontal="left" vertical="center"/>
    </xf>
    <xf numFmtId="0" fontId="0" fillId="0" borderId="7" xfId="50" applyFont="1" applyFill="1" applyBorder="1" applyAlignment="1">
      <alignment vertical="center" wrapText="1"/>
    </xf>
    <xf numFmtId="0" fontId="1" fillId="0" borderId="7" xfId="0" applyFont="1" applyFill="1" applyBorder="1">
      <alignment vertical="center"/>
    </xf>
    <xf numFmtId="176" fontId="0" fillId="0" borderId="7" xfId="50" applyNumberFormat="1" applyFont="1" applyFill="1" applyBorder="1" applyAlignment="1">
      <alignment vertical="center"/>
    </xf>
    <xf numFmtId="49" fontId="1" fillId="0" borderId="7" xfId="50" applyNumberFormat="1" applyFont="1" applyFill="1" applyBorder="1" applyAlignment="1">
      <alignment vertical="center" wrapText="1"/>
    </xf>
    <xf numFmtId="0" fontId="8" fillId="0" borderId="0"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9" fillId="0" borderId="7" xfId="0" applyFont="1" applyFill="1" applyBorder="1" applyAlignment="1">
      <alignment horizontal="left" vertical="center" wrapText="1"/>
    </xf>
    <xf numFmtId="0" fontId="9" fillId="0" borderId="7" xfId="0" applyNumberFormat="1" applyFont="1" applyFill="1" applyBorder="1" applyAlignment="1">
      <alignment horizontal="left" vertical="center"/>
    </xf>
    <xf numFmtId="0" fontId="3" fillId="0" borderId="7" xfId="0" applyFont="1" applyFill="1" applyBorder="1" applyAlignment="1">
      <alignment horizontal="left" vertical="center"/>
    </xf>
    <xf numFmtId="0" fontId="10" fillId="0" borderId="8" xfId="0" applyFont="1" applyFill="1" applyBorder="1" applyAlignment="1">
      <alignment horizontal="center" vertical="center" wrapText="1"/>
    </xf>
    <xf numFmtId="0" fontId="10" fillId="0" borderId="9" xfId="0" applyFont="1" applyFill="1" applyBorder="1" applyAlignment="1">
      <alignment horizontal="left" vertical="center"/>
    </xf>
    <xf numFmtId="0" fontId="10" fillId="0" borderId="7" xfId="0" applyFont="1" applyFill="1" applyBorder="1" applyAlignment="1">
      <alignment horizontal="left" vertical="center"/>
    </xf>
    <xf numFmtId="0" fontId="10" fillId="0" borderId="8" xfId="0" applyFont="1" applyFill="1" applyBorder="1" applyAlignment="1">
      <alignment horizontal="left" vertical="center"/>
    </xf>
    <xf numFmtId="0" fontId="10" fillId="0" borderId="10" xfId="0" applyFont="1" applyFill="1" applyBorder="1" applyAlignment="1">
      <alignment horizontal="left" vertical="center"/>
    </xf>
    <xf numFmtId="0" fontId="10" fillId="0" borderId="7" xfId="0" applyNumberFormat="1" applyFont="1" applyFill="1" applyBorder="1" applyAlignment="1">
      <alignment horizontal="left" vertical="center"/>
    </xf>
    <xf numFmtId="0" fontId="10" fillId="0" borderId="9" xfId="0" applyNumberFormat="1" applyFont="1" applyFill="1" applyBorder="1" applyAlignment="1">
      <alignment horizontal="left" vertical="center"/>
    </xf>
    <xf numFmtId="0" fontId="10" fillId="0" borderId="8" xfId="0" applyNumberFormat="1" applyFont="1" applyFill="1" applyBorder="1" applyAlignment="1">
      <alignment horizontal="left" vertical="center"/>
    </xf>
    <xf numFmtId="0" fontId="10" fillId="0" borderId="7" xfId="0" applyFont="1" applyFill="1" applyBorder="1" applyAlignment="1">
      <alignment horizontal="center" vertical="center" wrapText="1"/>
    </xf>
    <xf numFmtId="0" fontId="10" fillId="0" borderId="11" xfId="0" applyFont="1" applyFill="1" applyBorder="1" applyAlignment="1">
      <alignment horizontal="left" vertical="center"/>
    </xf>
    <xf numFmtId="0" fontId="10" fillId="0" borderId="10" xfId="0" applyFont="1" applyFill="1" applyBorder="1" applyAlignment="1">
      <alignment horizontal="center" vertical="center" wrapText="1"/>
    </xf>
    <xf numFmtId="0" fontId="10" fillId="0" borderId="7" xfId="0" applyFont="1" applyFill="1" applyBorder="1" applyAlignment="1">
      <alignment horizontal="left" vertical="center" wrapText="1"/>
    </xf>
    <xf numFmtId="0" fontId="4" fillId="0" borderId="7" xfId="0" applyFont="1" applyFill="1" applyBorder="1">
      <alignment vertical="center"/>
    </xf>
    <xf numFmtId="0" fontId="11" fillId="0" borderId="7" xfId="0" applyFont="1" applyFill="1" applyBorder="1">
      <alignment vertical="center"/>
    </xf>
    <xf numFmtId="0" fontId="4" fillId="6" borderId="7" xfId="0" applyFont="1" applyFill="1" applyBorder="1">
      <alignment vertical="center"/>
    </xf>
    <xf numFmtId="0" fontId="1" fillId="6" borderId="7" xfId="0" applyFont="1" applyFill="1" applyBorder="1">
      <alignment vertical="center"/>
    </xf>
    <xf numFmtId="0" fontId="0" fillId="0" borderId="7" xfId="0" applyFont="1" applyFill="1" applyBorder="1">
      <alignment vertical="center"/>
    </xf>
    <xf numFmtId="0" fontId="4" fillId="0" borderId="0" xfId="0" applyFont="1" applyFill="1" applyBorder="1">
      <alignment vertical="center"/>
    </xf>
    <xf numFmtId="0" fontId="4" fillId="0" borderId="0" xfId="0" applyFont="1" applyFill="1">
      <alignment vertical="center"/>
    </xf>
    <xf numFmtId="0" fontId="5" fillId="0" borderId="7" xfId="0" applyFont="1" applyFill="1" applyBorder="1">
      <alignment vertical="center"/>
    </xf>
    <xf numFmtId="0" fontId="5" fillId="0" borderId="7" xfId="0" applyFont="1" applyBorder="1">
      <alignment vertical="center"/>
    </xf>
    <xf numFmtId="0" fontId="0" fillId="0" borderId="7" xfId="0" applyFill="1" applyBorder="1">
      <alignment vertical="center"/>
    </xf>
    <xf numFmtId="0" fontId="4" fillId="0" borderId="7" xfId="0" applyFont="1" applyFill="1" applyBorder="1" applyAlignment="1">
      <alignment vertical="center" wrapText="1"/>
    </xf>
    <xf numFmtId="0" fontId="0" fillId="0" borderId="7" xfId="0" applyFont="1" applyBorder="1">
      <alignment vertical="center"/>
    </xf>
    <xf numFmtId="0" fontId="12" fillId="0" borderId="7" xfId="50" applyFont="1" applyBorder="1" applyAlignment="1">
      <alignment vertical="center"/>
    </xf>
    <xf numFmtId="49" fontId="1" fillId="0" borderId="7" xfId="50" applyNumberFormat="1" applyFont="1" applyBorder="1" applyAlignment="1">
      <alignment vertical="center"/>
    </xf>
    <xf numFmtId="0" fontId="1" fillId="0" borderId="7" xfId="50" applyFont="1" applyBorder="1" applyAlignment="1">
      <alignment vertical="center"/>
    </xf>
    <xf numFmtId="49" fontId="1" fillId="0" borderId="7" xfId="50" applyNumberFormat="1" applyFont="1" applyBorder="1" applyAlignment="1">
      <alignment horizontal="left" vertical="center"/>
    </xf>
    <xf numFmtId="0" fontId="13" fillId="0" borderId="7" xfId="50" applyFont="1" applyBorder="1" applyAlignment="1">
      <alignment horizontal="left" vertical="center"/>
    </xf>
    <xf numFmtId="0" fontId="13" fillId="0" borderId="7" xfId="50" applyFont="1" applyBorder="1" applyAlignment="1">
      <alignment horizontal="left" vertical="center" wrapText="1"/>
    </xf>
    <xf numFmtId="0" fontId="1" fillId="0" borderId="7" xfId="50" applyFont="1" applyFill="1" applyBorder="1" applyAlignment="1">
      <alignment horizontal="left" vertical="center" wrapText="1"/>
    </xf>
    <xf numFmtId="0" fontId="0" fillId="0" borderId="7" xfId="50" applyFont="1" applyBorder="1" applyAlignment="1">
      <alignment vertical="center"/>
    </xf>
    <xf numFmtId="0" fontId="1" fillId="0" borderId="7" xfId="50" applyFont="1" applyBorder="1" applyAlignment="1">
      <alignment horizontal="left" vertical="center" wrapText="1"/>
    </xf>
    <xf numFmtId="0" fontId="8" fillId="0" borderId="7" xfId="50" applyFont="1" applyBorder="1" applyAlignment="1">
      <alignment horizontal="center" vertical="center"/>
    </xf>
    <xf numFmtId="0" fontId="14" fillId="0" borderId="7" xfId="50" applyFont="1" applyBorder="1" applyAlignment="1">
      <alignment horizontal="center" vertical="center"/>
    </xf>
    <xf numFmtId="0" fontId="14" fillId="0" borderId="7" xfId="50" applyFont="1" applyBorder="1" applyAlignment="1">
      <alignment horizontal="left" vertical="center"/>
    </xf>
    <xf numFmtId="0" fontId="15" fillId="0" borderId="7" xfId="50" applyFont="1" applyBorder="1" applyAlignment="1">
      <alignment horizontal="left" vertical="center"/>
    </xf>
    <xf numFmtId="0" fontId="15" fillId="0" borderId="7" xfId="50" applyFont="1" applyBorder="1" applyAlignment="1">
      <alignment horizontal="left" vertical="center" wrapText="1"/>
    </xf>
    <xf numFmtId="0" fontId="14" fillId="0" borderId="7" xfId="50" applyFont="1" applyFill="1" applyBorder="1" applyAlignment="1">
      <alignment horizontal="left" vertical="center"/>
    </xf>
    <xf numFmtId="0" fontId="16" fillId="0" borderId="7" xfId="50" applyFont="1" applyBorder="1" applyAlignment="1">
      <alignment horizontal="center" vertical="center"/>
    </xf>
    <xf numFmtId="49" fontId="0" fillId="0" borderId="7" xfId="50" applyNumberFormat="1" applyFont="1" applyBorder="1" applyAlignment="1">
      <alignment horizontal="center" vertical="center"/>
    </xf>
    <xf numFmtId="0" fontId="0" fillId="0" borderId="7" xfId="50" applyFont="1" applyBorder="1" applyAlignment="1">
      <alignment horizontal="center" vertical="center"/>
    </xf>
    <xf numFmtId="49" fontId="0" fillId="0" borderId="7" xfId="50" applyNumberFormat="1" applyFont="1" applyBorder="1" applyAlignment="1">
      <alignment horizontal="left" vertical="center"/>
    </xf>
    <xf numFmtId="0" fontId="13" fillId="0" borderId="7" xfId="50" applyFont="1" applyBorder="1" applyAlignment="1">
      <alignment horizontal="center" vertical="center"/>
    </xf>
    <xf numFmtId="0" fontId="13" fillId="0" borderId="9" xfId="50" applyFont="1" applyBorder="1" applyAlignment="1">
      <alignment horizontal="left" vertical="center"/>
    </xf>
    <xf numFmtId="0" fontId="13" fillId="0" borderId="7" xfId="50" applyFont="1" applyBorder="1" applyAlignment="1">
      <alignment horizontal="center" vertical="center" wrapText="1"/>
    </xf>
    <xf numFmtId="0" fontId="12" fillId="0" borderId="7" xfId="50" applyFont="1" applyBorder="1" applyAlignment="1">
      <alignment horizontal="center" vertical="center"/>
    </xf>
    <xf numFmtId="49" fontId="1" fillId="0" borderId="7" xfId="50" applyNumberFormat="1" applyFont="1" applyBorder="1" applyAlignment="1">
      <alignment horizontal="center" vertical="center"/>
    </xf>
    <xf numFmtId="0" fontId="1" fillId="0" borderId="7" xfId="50" applyFont="1" applyBorder="1" applyAlignment="1">
      <alignment horizontal="center" vertical="center"/>
    </xf>
    <xf numFmtId="0" fontId="13" fillId="0" borderId="10" xfId="50" applyFont="1" applyBorder="1" applyAlignment="1">
      <alignment horizontal="left" vertical="center"/>
    </xf>
    <xf numFmtId="0" fontId="16" fillId="7" borderId="7" xfId="50" applyFont="1" applyFill="1" applyBorder="1" applyAlignment="1">
      <alignment vertical="center"/>
    </xf>
    <xf numFmtId="49" fontId="1" fillId="7" borderId="7" xfId="50" applyNumberFormat="1" applyFont="1" applyFill="1" applyBorder="1" applyAlignment="1">
      <alignment vertical="center"/>
    </xf>
    <xf numFmtId="0" fontId="1" fillId="7" borderId="7" xfId="50" applyFont="1" applyFill="1" applyBorder="1" applyAlignment="1">
      <alignment vertical="center"/>
    </xf>
    <xf numFmtId="0" fontId="13" fillId="7" borderId="7" xfId="50" applyFont="1" applyFill="1" applyBorder="1" applyAlignment="1">
      <alignment horizontal="left" vertical="center"/>
    </xf>
    <xf numFmtId="0" fontId="1" fillId="7" borderId="7" xfId="50" applyFont="1" applyFill="1" applyBorder="1" applyAlignment="1">
      <alignment horizontal="left" vertical="center"/>
    </xf>
    <xf numFmtId="0" fontId="13" fillId="7" borderId="7" xfId="50" applyFont="1" applyFill="1" applyBorder="1" applyAlignment="1">
      <alignment horizontal="left" vertical="center" wrapText="1"/>
    </xf>
    <xf numFmtId="0" fontId="12" fillId="2" borderId="7" xfId="50" applyFont="1" applyFill="1" applyBorder="1" applyAlignment="1">
      <alignment vertical="center"/>
    </xf>
    <xf numFmtId="0" fontId="1" fillId="2" borderId="7" xfId="50" applyFont="1" applyFill="1" applyBorder="1" applyAlignment="1">
      <alignment horizontal="left" vertical="center"/>
    </xf>
    <xf numFmtId="0" fontId="13" fillId="2" borderId="7" xfId="50" applyFont="1" applyFill="1" applyBorder="1" applyAlignment="1">
      <alignment horizontal="left" vertical="center"/>
    </xf>
    <xf numFmtId="0" fontId="17" fillId="2" borderId="7" xfId="50" applyFont="1" applyFill="1" applyBorder="1" applyAlignment="1">
      <alignment horizontal="left" vertical="center" wrapText="1"/>
    </xf>
    <xf numFmtId="0" fontId="5" fillId="8" borderId="7" xfId="50" applyFont="1" applyFill="1" applyBorder="1" applyAlignment="1">
      <alignment horizontal="left" vertical="center" wrapText="1"/>
    </xf>
    <xf numFmtId="0" fontId="12" fillId="0" borderId="7" xfId="50" applyFont="1" applyFill="1" applyBorder="1" applyAlignment="1">
      <alignment vertical="center"/>
    </xf>
    <xf numFmtId="0" fontId="13" fillId="0" borderId="7" xfId="50" applyFont="1" applyFill="1" applyBorder="1" applyAlignment="1">
      <alignment horizontal="left" vertical="center"/>
    </xf>
    <xf numFmtId="49" fontId="1" fillId="0" borderId="7" xfId="50" applyNumberFormat="1" applyFont="1" applyFill="1" applyBorder="1" applyAlignment="1">
      <alignment horizontal="left" vertical="center"/>
    </xf>
    <xf numFmtId="0" fontId="13" fillId="0" borderId="7" xfId="50" applyFont="1" applyFill="1" applyBorder="1" applyAlignment="1">
      <alignment horizontal="left" vertical="center" wrapText="1"/>
    </xf>
    <xf numFmtId="0" fontId="18" fillId="0" borderId="7" xfId="50" applyFont="1" applyFill="1" applyBorder="1" applyAlignment="1">
      <alignment vertical="center"/>
    </xf>
    <xf numFmtId="0" fontId="17" fillId="0" borderId="7" xfId="50" applyFont="1" applyFill="1" applyBorder="1" applyAlignment="1">
      <alignment horizontal="left" vertical="center"/>
    </xf>
    <xf numFmtId="0" fontId="4" fillId="0" borderId="7" xfId="50" applyFont="1" applyFill="1" applyBorder="1" applyAlignment="1">
      <alignment horizontal="left" vertical="center"/>
    </xf>
    <xf numFmtId="49" fontId="4" fillId="0" borderId="7" xfId="50" applyNumberFormat="1" applyFont="1" applyFill="1" applyBorder="1" applyAlignment="1">
      <alignment horizontal="left" vertical="center"/>
    </xf>
    <xf numFmtId="0" fontId="17" fillId="0" borderId="7" xfId="50" applyFont="1" applyFill="1" applyBorder="1" applyAlignment="1">
      <alignment horizontal="left" vertical="center" wrapText="1"/>
    </xf>
    <xf numFmtId="0" fontId="5" fillId="0" borderId="7" xfId="50" applyFont="1" applyFill="1" applyBorder="1" applyAlignment="1">
      <alignment horizontal="left" vertical="center" wrapText="1"/>
    </xf>
    <xf numFmtId="0" fontId="4" fillId="0" borderId="7" xfId="50" applyFont="1" applyFill="1" applyBorder="1" applyAlignment="1">
      <alignment horizontal="left" vertical="center" wrapText="1"/>
    </xf>
    <xf numFmtId="0" fontId="18" fillId="0" borderId="7" xfId="0" applyFont="1" applyFill="1" applyBorder="1" applyAlignment="1">
      <alignment vertical="center"/>
    </xf>
    <xf numFmtId="49" fontId="4" fillId="0" borderId="7" xfId="0" applyNumberFormat="1" applyFont="1" applyFill="1" applyBorder="1" applyAlignment="1">
      <alignment vertical="center"/>
    </xf>
    <xf numFmtId="0" fontId="4" fillId="6" borderId="7" xfId="50" applyFont="1" applyFill="1" applyBorder="1" applyAlignment="1">
      <alignment horizontal="left" vertical="center" wrapText="1"/>
    </xf>
    <xf numFmtId="0" fontId="19" fillId="0" borderId="7" xfId="50" applyFont="1" applyBorder="1" applyAlignment="1">
      <alignment vertical="center"/>
    </xf>
    <xf numFmtId="49" fontId="11" fillId="0" borderId="7" xfId="50" applyNumberFormat="1" applyFont="1" applyBorder="1" applyAlignment="1">
      <alignment vertical="center"/>
    </xf>
    <xf numFmtId="0" fontId="11" fillId="0" borderId="7" xfId="50" applyFont="1" applyBorder="1" applyAlignment="1">
      <alignment vertical="center"/>
    </xf>
    <xf numFmtId="0" fontId="20" fillId="0" borderId="7" xfId="50" applyFont="1" applyBorder="1" applyAlignment="1">
      <alignment horizontal="left" vertical="center"/>
    </xf>
    <xf numFmtId="0" fontId="11" fillId="0" borderId="7" xfId="50" applyFont="1" applyBorder="1" applyAlignment="1">
      <alignment horizontal="left" vertical="center"/>
    </xf>
    <xf numFmtId="0" fontId="20" fillId="0" borderId="7" xfId="50" applyFont="1" applyBorder="1" applyAlignment="1">
      <alignment horizontal="left" vertical="center" wrapText="1"/>
    </xf>
    <xf numFmtId="0" fontId="21" fillId="6" borderId="7" xfId="50" applyFont="1" applyFill="1" applyBorder="1" applyAlignment="1">
      <alignment horizontal="left" vertical="center" wrapText="1"/>
    </xf>
    <xf numFmtId="0" fontId="11" fillId="0" borderId="7" xfId="50" applyFont="1" applyFill="1" applyBorder="1" applyAlignment="1">
      <alignment horizontal="left" vertical="center" wrapText="1"/>
    </xf>
    <xf numFmtId="0" fontId="13" fillId="2" borderId="7" xfId="50" applyFont="1" applyFill="1" applyBorder="1" applyAlignment="1">
      <alignment horizontal="left" vertical="center" wrapText="1"/>
    </xf>
    <xf numFmtId="49" fontId="4" fillId="0" borderId="7" xfId="50" applyNumberFormat="1" applyFont="1" applyBorder="1" applyAlignment="1">
      <alignment horizontal="left" vertical="center"/>
    </xf>
    <xf numFmtId="0" fontId="18" fillId="0" borderId="7" xfId="50" applyFont="1" applyBorder="1" applyAlignment="1">
      <alignment vertical="center"/>
    </xf>
    <xf numFmtId="49" fontId="4" fillId="0" borderId="7" xfId="50" applyNumberFormat="1" applyFont="1" applyBorder="1" applyAlignment="1">
      <alignment vertical="center"/>
    </xf>
    <xf numFmtId="0" fontId="4" fillId="0" borderId="7" xfId="50" applyFont="1" applyBorder="1" applyAlignment="1">
      <alignment vertical="center"/>
    </xf>
    <xf numFmtId="0" fontId="17" fillId="0" borderId="7" xfId="50" applyFont="1" applyBorder="1" applyAlignment="1">
      <alignment horizontal="left" vertical="center"/>
    </xf>
    <xf numFmtId="0" fontId="17" fillId="0" borderId="7" xfId="50" applyFont="1" applyBorder="1" applyAlignment="1">
      <alignment horizontal="left" vertical="center" wrapText="1"/>
    </xf>
    <xf numFmtId="0" fontId="12" fillId="0" borderId="7" xfId="0" applyFont="1" applyBorder="1" applyAlignment="1">
      <alignment vertical="center"/>
    </xf>
    <xf numFmtId="49" fontId="1" fillId="0" borderId="7" xfId="0" applyNumberFormat="1" applyFont="1" applyBorder="1" applyAlignment="1">
      <alignment vertical="center"/>
    </xf>
    <xf numFmtId="0" fontId="1" fillId="0" borderId="7" xfId="0" applyFont="1" applyBorder="1" applyAlignment="1">
      <alignment vertical="center"/>
    </xf>
    <xf numFmtId="0" fontId="17" fillId="0" borderId="7" xfId="0" applyFont="1" applyBorder="1" applyAlignment="1">
      <alignment horizontal="left" vertical="center" wrapText="1"/>
    </xf>
    <xf numFmtId="0" fontId="13" fillId="0" borderId="7" xfId="0" applyFont="1" applyFill="1" applyBorder="1" applyAlignment="1">
      <alignment horizontal="left" vertical="center" wrapText="1"/>
    </xf>
    <xf numFmtId="0" fontId="5" fillId="6" borderId="7" xfId="50" applyFont="1" applyFill="1" applyBorder="1" applyAlignment="1">
      <alignment horizontal="left" vertical="center" wrapText="1"/>
    </xf>
    <xf numFmtId="0" fontId="12" fillId="2" borderId="7" xfId="0" applyFont="1" applyFill="1" applyBorder="1" applyAlignment="1">
      <alignment vertical="center"/>
    </xf>
    <xf numFmtId="49" fontId="1" fillId="2" borderId="7" xfId="0" applyNumberFormat="1" applyFont="1" applyFill="1" applyBorder="1" applyAlignment="1">
      <alignment vertical="center"/>
    </xf>
    <xf numFmtId="0" fontId="18" fillId="0" borderId="7" xfId="0" applyFont="1" applyBorder="1" applyAlignment="1">
      <alignment vertical="center"/>
    </xf>
    <xf numFmtId="49" fontId="4" fillId="0" borderId="7" xfId="0" applyNumberFormat="1" applyFont="1" applyBorder="1" applyAlignment="1">
      <alignment vertical="center"/>
    </xf>
    <xf numFmtId="0" fontId="22" fillId="0" borderId="7" xfId="50" applyFont="1" applyFill="1" applyBorder="1" applyAlignment="1">
      <alignment horizontal="left" vertical="center"/>
    </xf>
    <xf numFmtId="0" fontId="23" fillId="0" borderId="7" xfId="50" applyFont="1" applyFill="1" applyBorder="1" applyAlignment="1">
      <alignment horizontal="left" vertical="center"/>
    </xf>
    <xf numFmtId="0" fontId="22" fillId="0" borderId="7" xfId="50" applyFont="1" applyFill="1" applyBorder="1" applyAlignment="1">
      <alignment horizontal="left" vertical="center" wrapText="1"/>
    </xf>
    <xf numFmtId="0" fontId="24" fillId="6" borderId="7" xfId="50" applyFont="1" applyFill="1" applyBorder="1" applyAlignment="1">
      <alignment horizontal="left" vertical="center" wrapText="1"/>
    </xf>
    <xf numFmtId="0" fontId="23" fillId="0" borderId="7" xfId="50" applyFont="1" applyFill="1" applyBorder="1" applyAlignment="1">
      <alignment horizontal="left" vertical="center" wrapText="1"/>
    </xf>
    <xf numFmtId="49" fontId="1" fillId="7" borderId="7" xfId="50" applyNumberFormat="1" applyFont="1" applyFill="1" applyBorder="1" applyAlignment="1">
      <alignment horizontal="left" vertical="center"/>
    </xf>
    <xf numFmtId="0" fontId="17" fillId="7" borderId="7" xfId="50" applyFont="1" applyFill="1" applyBorder="1" applyAlignment="1">
      <alignment horizontal="left" vertical="center" wrapText="1"/>
    </xf>
    <xf numFmtId="0" fontId="4" fillId="0" borderId="7" xfId="0" applyFont="1" applyBorder="1" applyAlignment="1">
      <alignment vertical="center"/>
    </xf>
    <xf numFmtId="0" fontId="4" fillId="0" borderId="7" xfId="0" applyFont="1" applyFill="1" applyBorder="1" applyAlignment="1">
      <alignment vertical="center"/>
    </xf>
    <xf numFmtId="0" fontId="17" fillId="0" borderId="7" xfId="0" applyFont="1" applyFill="1" applyBorder="1" applyAlignment="1">
      <alignment vertical="center" wrapText="1"/>
    </xf>
    <xf numFmtId="0" fontId="18" fillId="2" borderId="7" xfId="0" applyFont="1" applyFill="1" applyBorder="1" applyAlignment="1">
      <alignment vertical="center"/>
    </xf>
    <xf numFmtId="49" fontId="4" fillId="2" borderId="7" xfId="0" applyNumberFormat="1" applyFont="1" applyFill="1" applyBorder="1" applyAlignment="1">
      <alignment vertical="center"/>
    </xf>
    <xf numFmtId="49" fontId="4" fillId="2" borderId="7" xfId="50" applyNumberFormat="1" applyFont="1" applyFill="1" applyBorder="1" applyAlignment="1">
      <alignment horizontal="left" vertical="center"/>
    </xf>
    <xf numFmtId="0" fontId="17" fillId="2" borderId="7" xfId="50" applyFont="1" applyFill="1" applyBorder="1" applyAlignment="1">
      <alignment horizontal="left" vertical="center"/>
    </xf>
    <xf numFmtId="0" fontId="4" fillId="2" borderId="7" xfId="50" applyFont="1" applyFill="1" applyBorder="1" applyAlignment="1">
      <alignment horizontal="left" vertical="center"/>
    </xf>
    <xf numFmtId="0" fontId="12" fillId="0" borderId="7" xfId="0" applyFont="1" applyFill="1" applyBorder="1" applyAlignment="1">
      <alignment vertical="center"/>
    </xf>
    <xf numFmtId="49" fontId="1" fillId="0" borderId="7" xfId="0" applyNumberFormat="1" applyFont="1" applyFill="1" applyBorder="1" applyAlignment="1">
      <alignment vertical="center"/>
    </xf>
    <xf numFmtId="0" fontId="1" fillId="0" borderId="7" xfId="0" applyFont="1" applyFill="1" applyBorder="1" applyAlignment="1">
      <alignment vertical="center"/>
    </xf>
    <xf numFmtId="0" fontId="4" fillId="8" borderId="7" xfId="50" applyFont="1" applyFill="1" applyBorder="1" applyAlignment="1">
      <alignment horizontal="left" vertical="center" wrapText="1"/>
    </xf>
    <xf numFmtId="0" fontId="18" fillId="6" borderId="7" xfId="50" applyFont="1" applyFill="1" applyBorder="1" applyAlignment="1">
      <alignment vertical="center"/>
    </xf>
    <xf numFmtId="49" fontId="4" fillId="6" borderId="7" xfId="50" applyNumberFormat="1" applyFont="1" applyFill="1" applyBorder="1" applyAlignment="1">
      <alignment vertical="center"/>
    </xf>
    <xf numFmtId="0" fontId="4" fillId="6" borderId="7" xfId="50" applyFont="1" applyFill="1" applyBorder="1" applyAlignment="1">
      <alignment vertical="center"/>
    </xf>
    <xf numFmtId="0" fontId="5" fillId="6" borderId="7" xfId="50" applyFont="1" applyFill="1" applyBorder="1" applyAlignment="1">
      <alignment vertical="center"/>
    </xf>
    <xf numFmtId="49" fontId="4" fillId="6" borderId="7" xfId="50" applyNumberFormat="1" applyFont="1" applyFill="1" applyBorder="1" applyAlignment="1">
      <alignment horizontal="left" vertical="center"/>
    </xf>
    <xf numFmtId="0" fontId="17" fillId="6" borderId="7" xfId="50" applyFont="1" applyFill="1" applyBorder="1" applyAlignment="1">
      <alignment horizontal="left" vertical="center"/>
    </xf>
    <xf numFmtId="0" fontId="4" fillId="6" borderId="7" xfId="50" applyFont="1" applyFill="1" applyBorder="1" applyAlignment="1">
      <alignment horizontal="left" vertical="center"/>
    </xf>
    <xf numFmtId="0" fontId="17" fillId="6" borderId="7" xfId="50" applyFont="1" applyFill="1" applyBorder="1" applyAlignment="1">
      <alignment horizontal="left" vertical="center" wrapText="1"/>
    </xf>
    <xf numFmtId="0" fontId="20" fillId="0" borderId="7" xfId="50" applyFont="1" applyFill="1" applyBorder="1" applyAlignment="1">
      <alignment horizontal="left" vertical="center" wrapText="1"/>
    </xf>
    <xf numFmtId="0" fontId="17" fillId="6" borderId="7" xfId="50" applyFont="1" applyFill="1" applyBorder="1" applyAlignment="1">
      <alignment vertical="center"/>
    </xf>
    <xf numFmtId="0" fontId="5" fillId="0" borderId="7" xfId="50" applyFont="1" applyFill="1" applyBorder="1" applyAlignment="1">
      <alignment horizontal="left" vertical="center"/>
    </xf>
    <xf numFmtId="0" fontId="18" fillId="2" borderId="7" xfId="50" applyFont="1" applyFill="1" applyBorder="1" applyAlignment="1">
      <alignment vertical="center"/>
    </xf>
    <xf numFmtId="0" fontId="17" fillId="0" borderId="7" xfId="50" applyNumberFormat="1" applyFont="1" applyFill="1" applyBorder="1" applyAlignment="1">
      <alignment horizontal="left" vertical="center" wrapText="1"/>
    </xf>
    <xf numFmtId="0" fontId="13" fillId="0" borderId="7" xfId="0" applyFont="1" applyFill="1" applyBorder="1" applyAlignment="1">
      <alignment vertical="center" wrapText="1"/>
    </xf>
    <xf numFmtId="0" fontId="1" fillId="7" borderId="7" xfId="0" applyFont="1" applyFill="1" applyBorder="1" applyAlignment="1">
      <alignment vertical="center"/>
    </xf>
    <xf numFmtId="0" fontId="1" fillId="7" borderId="7" xfId="0" applyFont="1" applyFill="1" applyBorder="1" applyAlignment="1">
      <alignment horizontal="left" vertical="center"/>
    </xf>
    <xf numFmtId="0" fontId="0" fillId="0" borderId="7" xfId="0" applyFont="1" applyFill="1" applyBorder="1" applyAlignment="1">
      <alignment horizontal="left" vertical="center" wrapText="1"/>
    </xf>
    <xf numFmtId="0" fontId="4" fillId="0" borderId="7" xfId="0" applyFont="1" applyFill="1" applyBorder="1" applyAlignment="1">
      <alignment horizontal="left" vertical="center" wrapText="1"/>
    </xf>
    <xf numFmtId="0" fontId="5" fillId="0" borderId="7" xfId="0" applyFont="1" applyFill="1" applyBorder="1" applyAlignment="1">
      <alignment horizontal="left" vertical="center" wrapText="1"/>
    </xf>
    <xf numFmtId="0" fontId="12" fillId="0" borderId="7" xfId="50" applyFont="1" applyBorder="1" applyAlignment="1">
      <alignment vertical="center" wrapText="1"/>
    </xf>
    <xf numFmtId="49" fontId="1" fillId="0" borderId="7" xfId="50" applyNumberFormat="1" applyFont="1" applyBorder="1" applyAlignment="1">
      <alignment vertical="center" wrapText="1"/>
    </xf>
    <xf numFmtId="0" fontId="1" fillId="0" borderId="7" xfId="50" applyFont="1" applyBorder="1" applyAlignment="1">
      <alignment vertical="center" wrapText="1"/>
    </xf>
    <xf numFmtId="0" fontId="18" fillId="6" borderId="7" xfId="0" applyFont="1" applyFill="1" applyBorder="1" applyAlignment="1">
      <alignment vertical="center"/>
    </xf>
    <xf numFmtId="49" fontId="4" fillId="6" borderId="7" xfId="0" applyNumberFormat="1" applyFont="1" applyFill="1" applyBorder="1" applyAlignment="1">
      <alignment vertical="center"/>
    </xf>
    <xf numFmtId="0" fontId="4" fillId="6" borderId="7" xfId="0" applyFont="1" applyFill="1" applyBorder="1" applyAlignment="1">
      <alignment horizontal="left" vertical="center" wrapText="1"/>
    </xf>
    <xf numFmtId="0" fontId="4" fillId="0" borderId="7" xfId="50" applyFont="1" applyBorder="1" applyAlignment="1">
      <alignment horizontal="left" vertical="center" wrapText="1"/>
    </xf>
    <xf numFmtId="49" fontId="4" fillId="0" borderId="7" xfId="50" applyNumberFormat="1" applyFont="1" applyBorder="1" applyAlignment="1">
      <alignment horizontal="left" vertical="center" wrapText="1"/>
    </xf>
    <xf numFmtId="0" fontId="12" fillId="0" borderId="7" xfId="0" applyFont="1" applyBorder="1" applyAlignment="1">
      <alignment horizontal="left" vertical="center" wrapText="1"/>
    </xf>
    <xf numFmtId="0" fontId="1" fillId="0" borderId="7" xfId="0" applyFont="1" applyBorder="1" applyAlignment="1">
      <alignment horizontal="left" vertical="center" wrapText="1"/>
    </xf>
    <xf numFmtId="0" fontId="13" fillId="0" borderId="7" xfId="0" applyFont="1" applyBorder="1" applyAlignment="1">
      <alignment horizontal="left" vertical="center" wrapText="1"/>
    </xf>
    <xf numFmtId="0" fontId="17" fillId="0" borderId="7" xfId="0" applyFont="1" applyBorder="1" applyAlignment="1">
      <alignment horizontal="left" vertical="center"/>
    </xf>
    <xf numFmtId="0" fontId="13" fillId="0" borderId="7" xfId="0" applyFont="1" applyBorder="1" applyAlignment="1">
      <alignment horizontal="left" vertical="center"/>
    </xf>
    <xf numFmtId="0" fontId="0" fillId="0" borderId="7" xfId="49" applyFont="1" applyFill="1" applyBorder="1" applyAlignment="1">
      <alignment horizontal="left" vertical="center" wrapText="1"/>
    </xf>
    <xf numFmtId="0" fontId="5" fillId="0" borderId="7" xfId="49" applyFont="1" applyFill="1" applyBorder="1" applyAlignment="1">
      <alignment horizontal="left" vertical="center" wrapText="1"/>
    </xf>
    <xf numFmtId="0" fontId="17" fillId="0" borderId="7" xfId="49" applyFont="1" applyFill="1" applyBorder="1" applyAlignment="1">
      <alignment horizontal="left" vertical="center" wrapText="1"/>
    </xf>
    <xf numFmtId="0" fontId="17" fillId="8" borderId="7" xfId="50" applyFont="1" applyFill="1" applyBorder="1" applyAlignment="1">
      <alignment horizontal="left" vertical="center" wrapText="1"/>
    </xf>
    <xf numFmtId="0" fontId="17" fillId="0" borderId="7" xfId="0" applyFont="1" applyFill="1" applyBorder="1" applyAlignment="1">
      <alignment horizontal="left" vertical="center" wrapText="1"/>
    </xf>
    <xf numFmtId="0" fontId="5" fillId="6" borderId="7" xfId="49" applyFont="1" applyFill="1" applyBorder="1" applyAlignment="1">
      <alignment horizontal="left" vertical="center" wrapText="1"/>
    </xf>
    <xf numFmtId="0" fontId="0" fillId="8" borderId="7" xfId="50" applyFont="1" applyFill="1" applyBorder="1" applyAlignment="1">
      <alignment horizontal="left" vertical="center" wrapText="1"/>
    </xf>
    <xf numFmtId="49" fontId="1" fillId="2" borderId="7" xfId="50" applyNumberFormat="1" applyFont="1" applyFill="1" applyBorder="1" applyAlignment="1">
      <alignment horizontal="left" vertical="center"/>
    </xf>
    <xf numFmtId="49" fontId="1" fillId="0" borderId="7" xfId="0" applyNumberFormat="1" applyFont="1" applyBorder="1" applyAlignment="1">
      <alignment horizontal="left" vertical="center"/>
    </xf>
    <xf numFmtId="49" fontId="4" fillId="0" borderId="7" xfId="0" applyNumberFormat="1" applyFont="1" applyBorder="1" applyAlignment="1">
      <alignment horizontal="left" vertical="center"/>
    </xf>
    <xf numFmtId="0" fontId="5" fillId="8" borderId="7" xfId="0" applyFont="1" applyFill="1" applyBorder="1" applyAlignment="1">
      <alignment horizontal="left" vertical="center" wrapText="1"/>
    </xf>
    <xf numFmtId="0" fontId="5" fillId="6" borderId="7" xfId="0" applyFont="1" applyFill="1" applyBorder="1" applyAlignment="1">
      <alignment horizontal="left" vertical="center" wrapText="1"/>
    </xf>
    <xf numFmtId="49" fontId="4" fillId="0" borderId="7" xfId="0" applyNumberFormat="1" applyFont="1" applyFill="1" applyBorder="1" applyAlignment="1">
      <alignment horizontal="left" vertical="center"/>
    </xf>
    <xf numFmtId="49" fontId="1" fillId="0" borderId="7" xfId="0" applyNumberFormat="1" applyFont="1" applyFill="1" applyBorder="1" applyAlignment="1">
      <alignment horizontal="left" vertical="center"/>
    </xf>
    <xf numFmtId="0" fontId="18" fillId="0" borderId="7" xfId="0" applyFont="1" applyFill="1" applyBorder="1" applyAlignment="1">
      <alignment vertical="center" wrapText="1"/>
    </xf>
    <xf numFmtId="49" fontId="4" fillId="0" borderId="7" xfId="0" applyNumberFormat="1" applyFont="1" applyFill="1" applyBorder="1" applyAlignment="1">
      <alignment vertical="center" wrapText="1"/>
    </xf>
    <xf numFmtId="49" fontId="4" fillId="0" borderId="7" xfId="50" applyNumberFormat="1" applyFont="1" applyFill="1" applyBorder="1" applyAlignment="1">
      <alignment vertical="center" wrapText="1"/>
    </xf>
    <xf numFmtId="0" fontId="4" fillId="8" borderId="7" xfId="0" applyFont="1" applyFill="1" applyBorder="1" applyAlignment="1">
      <alignment horizontal="left" vertical="center" wrapText="1"/>
    </xf>
    <xf numFmtId="0" fontId="25" fillId="0" borderId="7" xfId="50" applyFont="1" applyFill="1" applyBorder="1" applyAlignment="1">
      <alignment horizontal="left" vertical="center"/>
    </xf>
    <xf numFmtId="0" fontId="16" fillId="0" borderId="7" xfId="50" applyFont="1" applyFill="1" applyBorder="1" applyAlignment="1">
      <alignment horizontal="left" vertical="center"/>
    </xf>
    <xf numFmtId="0" fontId="5" fillId="8" borderId="7" xfId="50" applyFont="1" applyFill="1" applyBorder="1" applyAlignment="1">
      <alignment horizontal="left" vertical="center"/>
    </xf>
    <xf numFmtId="0" fontId="0" fillId="8" borderId="7" xfId="50" applyFont="1" applyFill="1" applyBorder="1" applyAlignment="1">
      <alignment horizontal="left" vertical="center"/>
    </xf>
    <xf numFmtId="0" fontId="5" fillId="6" borderId="7" xfId="50" applyFont="1" applyFill="1" applyBorder="1" applyAlignment="1">
      <alignment horizontal="left" vertical="center"/>
    </xf>
    <xf numFmtId="0" fontId="12" fillId="0" borderId="7" xfId="0" applyFont="1" applyBorder="1" applyAlignment="1">
      <alignment vertical="center" wrapText="1"/>
    </xf>
    <xf numFmtId="49" fontId="1" fillId="0" borderId="7" xfId="0" applyNumberFormat="1" applyFont="1" applyBorder="1" applyAlignment="1">
      <alignment vertical="center" wrapText="1"/>
    </xf>
    <xf numFmtId="0" fontId="4" fillId="0" borderId="7" xfId="0" applyFont="1" applyFill="1" applyBorder="1" applyAlignment="1">
      <alignment horizontal="left" vertical="center"/>
    </xf>
    <xf numFmtId="0" fontId="17" fillId="0" borderId="7" xfId="0" applyFont="1" applyFill="1" applyBorder="1" applyAlignment="1">
      <alignment horizontal="left" vertical="center"/>
    </xf>
    <xf numFmtId="0" fontId="13" fillId="0" borderId="7" xfId="50" applyFont="1" applyFill="1" applyBorder="1" applyAlignment="1">
      <alignment vertical="center"/>
    </xf>
    <xf numFmtId="0" fontId="17" fillId="0" borderId="7" xfId="50" applyFont="1" applyFill="1" applyBorder="1" applyAlignment="1">
      <alignment vertical="center"/>
    </xf>
    <xf numFmtId="0" fontId="12" fillId="4" borderId="7" xfId="50" applyFont="1" applyFill="1" applyBorder="1" applyAlignment="1">
      <alignment vertical="center"/>
    </xf>
    <xf numFmtId="49" fontId="1" fillId="4" borderId="7" xfId="50" applyNumberFormat="1" applyFont="1" applyFill="1" applyBorder="1" applyAlignment="1">
      <alignment horizontal="left" vertical="center"/>
    </xf>
    <xf numFmtId="0" fontId="13" fillId="4" borderId="7" xfId="50" applyFont="1" applyFill="1" applyBorder="1" applyAlignment="1">
      <alignment horizontal="left" vertical="center"/>
    </xf>
    <xf numFmtId="0" fontId="13" fillId="4" borderId="7" xfId="50" applyFont="1" applyFill="1" applyBorder="1" applyAlignment="1">
      <alignment horizontal="left" vertical="center" wrapText="1"/>
    </xf>
    <xf numFmtId="0" fontId="4" fillId="4" borderId="7" xfId="50" applyFont="1" applyFill="1" applyBorder="1" applyAlignment="1">
      <alignment vertical="center"/>
    </xf>
    <xf numFmtId="49" fontId="5" fillId="2" borderId="7" xfId="50" applyNumberFormat="1" applyFont="1" applyFill="1" applyBorder="1" applyAlignment="1">
      <alignment vertical="center"/>
    </xf>
    <xf numFmtId="0" fontId="4" fillId="2" borderId="7" xfId="50" applyFont="1" applyFill="1" applyBorder="1" applyAlignment="1">
      <alignment horizontal="left" vertical="center" wrapText="1"/>
    </xf>
    <xf numFmtId="0" fontId="26" fillId="0" borderId="7" xfId="50" applyFont="1" applyFill="1" applyBorder="1" applyAlignment="1">
      <alignment horizontal="left" vertical="center" wrapText="1"/>
    </xf>
    <xf numFmtId="0" fontId="27" fillId="0" borderId="7" xfId="50" applyFont="1" applyFill="1" applyBorder="1" applyAlignment="1">
      <alignment horizontal="left" vertical="center" wrapText="1"/>
    </xf>
    <xf numFmtId="0" fontId="27" fillId="0" borderId="7" xfId="49" applyFont="1" applyFill="1" applyBorder="1" applyAlignment="1">
      <alignment horizontal="left" vertical="center" wrapText="1"/>
    </xf>
    <xf numFmtId="0" fontId="28" fillId="0" borderId="7" xfId="0" applyFont="1" applyFill="1" applyBorder="1" applyAlignment="1">
      <alignment vertical="center" wrapText="1"/>
    </xf>
    <xf numFmtId="0" fontId="29" fillId="0" borderId="7" xfId="0" applyFont="1" applyFill="1" applyBorder="1" applyAlignment="1">
      <alignment vertical="center" wrapText="1"/>
    </xf>
    <xf numFmtId="0" fontId="1" fillId="4" borderId="7" xfId="0" applyFont="1" applyFill="1" applyBorder="1" applyAlignment="1">
      <alignment horizontal="left" vertical="center"/>
    </xf>
    <xf numFmtId="0" fontId="1" fillId="0" borderId="7" xfId="0" applyFont="1" applyBorder="1" applyAlignment="1">
      <alignment horizontal="left" vertical="center"/>
    </xf>
    <xf numFmtId="0" fontId="4" fillId="0" borderId="7" xfId="0" applyFont="1" applyBorder="1" applyAlignment="1">
      <alignment horizontal="left" vertical="center"/>
    </xf>
    <xf numFmtId="0" fontId="17" fillId="0" borderId="7" xfId="54" applyFont="1" applyBorder="1" applyAlignment="1">
      <alignment horizontal="left" vertical="center"/>
    </xf>
    <xf numFmtId="0" fontId="13" fillId="0" borderId="7" xfId="54" applyFont="1" applyBorder="1" applyAlignment="1">
      <alignment horizontal="left" vertical="center"/>
    </xf>
    <xf numFmtId="0" fontId="17" fillId="0" borderId="7" xfId="55" applyFont="1" applyBorder="1" applyAlignment="1">
      <alignment horizontal="left" vertical="center"/>
    </xf>
    <xf numFmtId="0" fontId="13" fillId="0" borderId="7" xfId="0" applyFont="1" applyFill="1" applyBorder="1" applyAlignment="1">
      <alignment horizontal="left" vertical="center"/>
    </xf>
    <xf numFmtId="0" fontId="1" fillId="0" borderId="7" xfId="49" applyFont="1" applyFill="1" applyBorder="1" applyAlignment="1">
      <alignment horizontal="left" vertical="center" wrapText="1"/>
    </xf>
    <xf numFmtId="0" fontId="30" fillId="0" borderId="7" xfId="0" applyFont="1" applyFill="1" applyBorder="1" applyAlignment="1">
      <alignment horizontal="left" vertical="center"/>
    </xf>
    <xf numFmtId="0" fontId="18" fillId="0" borderId="7" xfId="0" applyFont="1" applyFill="1" applyBorder="1" applyAlignment="1">
      <alignment horizontal="center" vertical="center" wrapText="1"/>
    </xf>
    <xf numFmtId="0" fontId="12" fillId="0" borderId="7" xfId="0" applyFont="1" applyFill="1" applyBorder="1" applyAlignment="1">
      <alignment horizontal="center" vertical="center" wrapText="1"/>
    </xf>
    <xf numFmtId="49" fontId="1" fillId="0" borderId="7" xfId="0" applyNumberFormat="1" applyFont="1" applyFill="1" applyBorder="1" applyAlignment="1">
      <alignment vertical="center" wrapText="1"/>
    </xf>
    <xf numFmtId="49" fontId="1" fillId="0" borderId="7" xfId="0" applyNumberFormat="1" applyFont="1" applyFill="1" applyBorder="1" applyAlignment="1">
      <alignment horizontal="left" vertical="center" wrapText="1"/>
    </xf>
    <xf numFmtId="0" fontId="31" fillId="0" borderId="7" xfId="0" applyFont="1" applyFill="1" applyBorder="1" applyAlignment="1">
      <alignment horizontal="left" vertical="center" wrapText="1"/>
    </xf>
    <xf numFmtId="0" fontId="32" fillId="0" borderId="7" xfId="0" applyFont="1" applyFill="1" applyBorder="1" applyAlignment="1">
      <alignment horizontal="left" vertical="center" wrapText="1"/>
    </xf>
    <xf numFmtId="0" fontId="13" fillId="3" borderId="7" xfId="0"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0" fontId="17" fillId="3" borderId="7" xfId="0" applyFont="1" applyFill="1" applyBorder="1" applyAlignment="1">
      <alignment horizontal="left" vertical="center" wrapText="1"/>
    </xf>
    <xf numFmtId="0" fontId="31" fillId="3" borderId="7" xfId="0" applyFont="1" applyFill="1" applyBorder="1" applyAlignment="1">
      <alignment horizontal="left" vertical="center" wrapText="1"/>
    </xf>
    <xf numFmtId="0" fontId="13" fillId="0" borderId="7" xfId="56" applyFont="1" applyFill="1" applyBorder="1" applyAlignment="1">
      <alignment horizontal="left" vertical="center" wrapText="1"/>
    </xf>
    <xf numFmtId="0" fontId="31" fillId="0" borderId="7" xfId="56" applyFont="1" applyFill="1" applyBorder="1" applyAlignment="1">
      <alignment horizontal="left" vertical="center" wrapText="1"/>
    </xf>
    <xf numFmtId="0" fontId="17" fillId="0" borderId="7" xfId="56" applyFont="1" applyFill="1" applyBorder="1" applyAlignment="1">
      <alignment horizontal="left" vertical="center" wrapText="1"/>
    </xf>
    <xf numFmtId="0" fontId="13" fillId="2" borderId="7" xfId="0" applyFont="1" applyFill="1" applyBorder="1" applyAlignment="1">
      <alignment horizontal="left" vertical="center" wrapText="1"/>
    </xf>
    <xf numFmtId="49" fontId="32" fillId="0" borderId="7" xfId="0" applyNumberFormat="1" applyFont="1" applyFill="1" applyBorder="1" applyAlignment="1">
      <alignment vertical="center" wrapText="1"/>
    </xf>
    <xf numFmtId="0" fontId="5" fillId="0" borderId="7" xfId="0" applyFont="1" applyBorder="1" applyAlignment="1">
      <alignment vertical="center" wrapText="1"/>
    </xf>
    <xf numFmtId="0" fontId="13" fillId="0" borderId="7" xfId="55" applyFont="1" applyBorder="1" applyAlignment="1">
      <alignment horizontal="left" vertical="center" wrapText="1"/>
    </xf>
    <xf numFmtId="0" fontId="31" fillId="0" borderId="7" xfId="50" applyFont="1" applyBorder="1" applyAlignment="1">
      <alignment horizontal="left" vertical="center" wrapText="1"/>
    </xf>
    <xf numFmtId="0" fontId="31" fillId="0" borderId="7" xfId="50" applyFont="1" applyFill="1" applyBorder="1" applyAlignment="1">
      <alignment horizontal="left" vertical="center"/>
    </xf>
    <xf numFmtId="0" fontId="32" fillId="0" borderId="7" xfId="50" applyFont="1" applyBorder="1" applyAlignment="1">
      <alignment horizontal="left" vertical="center"/>
    </xf>
    <xf numFmtId="0" fontId="17" fillId="6" borderId="7" xfId="0" applyFont="1" applyFill="1" applyBorder="1" applyAlignment="1">
      <alignment horizontal="left" vertical="center" wrapText="1"/>
    </xf>
    <xf numFmtId="0" fontId="33" fillId="6" borderId="7" xfId="50" applyFont="1" applyFill="1" applyBorder="1" applyAlignment="1">
      <alignment horizontal="left" vertical="center" wrapText="1"/>
    </xf>
    <xf numFmtId="0" fontId="34" fillId="6" borderId="7" xfId="50" applyFont="1" applyFill="1" applyBorder="1" applyAlignment="1">
      <alignment horizontal="left" vertical="center" wrapText="1"/>
    </xf>
    <xf numFmtId="0" fontId="35" fillId="6" borderId="7" xfId="50" applyFont="1" applyFill="1" applyBorder="1" applyAlignment="1">
      <alignment horizontal="left" vertical="center" wrapText="1"/>
    </xf>
    <xf numFmtId="0" fontId="1" fillId="6" borderId="7" xfId="50" applyFont="1" applyFill="1" applyBorder="1" applyAlignment="1">
      <alignment horizontal="left" vertical="center" wrapText="1"/>
    </xf>
    <xf numFmtId="0" fontId="4" fillId="0" borderId="0" xfId="0" applyFont="1">
      <alignment vertical="center"/>
    </xf>
    <xf numFmtId="0" fontId="4" fillId="0" borderId="0" xfId="0" applyFont="1" applyAlignment="1">
      <alignment vertical="center" wrapText="1"/>
    </xf>
    <xf numFmtId="0" fontId="1" fillId="0" borderId="0" xfId="0" applyFont="1" applyAlignment="1">
      <alignment vertical="center" wrapText="1"/>
    </xf>
    <xf numFmtId="0" fontId="1" fillId="0" borderId="0" xfId="0" applyFont="1">
      <alignment vertical="center"/>
    </xf>
    <xf numFmtId="0" fontId="5" fillId="0" borderId="0" xfId="0" applyFont="1">
      <alignment vertical="center"/>
    </xf>
    <xf numFmtId="0" fontId="1" fillId="5" borderId="0" xfId="0" applyFont="1" applyFill="1">
      <alignment vertical="center"/>
    </xf>
    <xf numFmtId="0" fontId="36" fillId="0" borderId="1" xfId="55" applyFont="1" applyBorder="1" applyAlignment="1">
      <alignment horizontal="center" vertical="center"/>
    </xf>
    <xf numFmtId="0" fontId="37" fillId="0" borderId="2" xfId="55" applyFont="1" applyBorder="1" applyAlignment="1">
      <alignment horizontal="center" vertical="center"/>
    </xf>
    <xf numFmtId="0" fontId="37" fillId="0" borderId="2" xfId="55" applyFont="1" applyBorder="1" applyAlignment="1">
      <alignment horizontal="center" vertical="center" wrapText="1"/>
    </xf>
    <xf numFmtId="0" fontId="37" fillId="0" borderId="3" xfId="55" applyFont="1" applyBorder="1" applyAlignment="1">
      <alignment horizontal="center" vertical="center"/>
    </xf>
    <xf numFmtId="0" fontId="37" fillId="0" borderId="4" xfId="55" applyFont="1" applyBorder="1" applyAlignment="1">
      <alignment horizontal="center" vertical="center"/>
    </xf>
    <xf numFmtId="0" fontId="37" fillId="0" borderId="5" xfId="55" applyFont="1" applyBorder="1" applyAlignment="1">
      <alignment horizontal="center" vertical="center"/>
    </xf>
    <xf numFmtId="0" fontId="37" fillId="0" borderId="5" xfId="55" applyFont="1" applyBorder="1" applyAlignment="1">
      <alignment horizontal="center" vertical="center" wrapText="1"/>
    </xf>
    <xf numFmtId="0" fontId="37" fillId="0" borderId="6" xfId="55" applyFont="1" applyBorder="1" applyAlignment="1">
      <alignment horizontal="center" vertical="center"/>
    </xf>
    <xf numFmtId="0" fontId="0" fillId="0" borderId="7" xfId="55" applyFont="1" applyBorder="1" applyAlignment="1">
      <alignment horizontal="center" vertical="center"/>
    </xf>
    <xf numFmtId="0" fontId="0" fillId="0" borderId="7" xfId="55" applyFont="1" applyBorder="1" applyAlignment="1">
      <alignment horizontal="center" vertical="center" wrapText="1"/>
    </xf>
    <xf numFmtId="0" fontId="1" fillId="0" borderId="7" xfId="0" applyFont="1" applyBorder="1" applyAlignment="1">
      <alignment horizontal="center" vertical="center"/>
    </xf>
    <xf numFmtId="0" fontId="1" fillId="0" borderId="7" xfId="55" applyFont="1" applyBorder="1" applyAlignment="1">
      <alignment horizontal="center" vertical="center"/>
    </xf>
    <xf numFmtId="0" fontId="1" fillId="0" borderId="7" xfId="55" applyFont="1" applyBorder="1" applyAlignment="1">
      <alignment horizontal="center" vertical="center" wrapText="1"/>
    </xf>
    <xf numFmtId="0" fontId="0" fillId="3" borderId="7" xfId="55" applyFont="1" applyFill="1" applyBorder="1" applyAlignment="1">
      <alignment vertical="center"/>
    </xf>
    <xf numFmtId="0" fontId="1" fillId="3" borderId="7" xfId="55" applyFont="1" applyFill="1" applyBorder="1" applyAlignment="1">
      <alignment vertical="center"/>
    </xf>
    <xf numFmtId="0" fontId="1" fillId="3" borderId="7" xfId="55" applyFont="1" applyFill="1" applyBorder="1" applyAlignment="1">
      <alignment vertical="center" wrapText="1"/>
    </xf>
    <xf numFmtId="0" fontId="4" fillId="0" borderId="7" xfId="0" applyFont="1" applyBorder="1">
      <alignment vertical="center"/>
    </xf>
    <xf numFmtId="49" fontId="4" fillId="0" borderId="7" xfId="55" applyNumberFormat="1" applyFont="1" applyBorder="1" applyAlignment="1">
      <alignment vertical="center"/>
    </xf>
    <xf numFmtId="0" fontId="5" fillId="0" borderId="7" xfId="55" applyFont="1" applyBorder="1" applyAlignment="1">
      <alignment vertical="center"/>
    </xf>
    <xf numFmtId="0" fontId="4" fillId="0" borderId="7" xfId="55" applyFont="1" applyBorder="1" applyAlignment="1">
      <alignment vertical="center" wrapText="1"/>
    </xf>
    <xf numFmtId="0" fontId="5" fillId="0" borderId="11" xfId="55" applyFont="1" applyBorder="1" applyAlignment="1">
      <alignment vertical="center" wrapText="1"/>
    </xf>
    <xf numFmtId="0" fontId="4" fillId="0" borderId="7" xfId="55" applyFont="1" applyBorder="1" applyAlignment="1">
      <alignment vertical="center"/>
    </xf>
    <xf numFmtId="0" fontId="1" fillId="0" borderId="7" xfId="0" applyFont="1" applyBorder="1">
      <alignment vertical="center"/>
    </xf>
    <xf numFmtId="49" fontId="1" fillId="0" borderId="7" xfId="55" applyNumberFormat="1" applyFont="1" applyBorder="1" applyAlignment="1">
      <alignment vertical="center"/>
    </xf>
    <xf numFmtId="0" fontId="0" fillId="0" borderId="7" xfId="55" applyFont="1" applyBorder="1" applyAlignment="1">
      <alignment vertical="center"/>
    </xf>
    <xf numFmtId="0" fontId="1" fillId="0" borderId="7" xfId="55" applyFont="1" applyBorder="1" applyAlignment="1">
      <alignment vertical="center" wrapText="1"/>
    </xf>
    <xf numFmtId="0" fontId="0" fillId="0" borderId="11" xfId="55" applyFont="1" applyBorder="1" applyAlignment="1">
      <alignment vertical="center" wrapText="1"/>
    </xf>
    <xf numFmtId="0" fontId="1" fillId="0" borderId="7" xfId="55" applyFont="1" applyBorder="1" applyAlignment="1">
      <alignment vertical="center"/>
    </xf>
    <xf numFmtId="0" fontId="1" fillId="0" borderId="11" xfId="55" applyFont="1" applyBorder="1" applyAlignment="1">
      <alignment vertical="center" wrapText="1"/>
    </xf>
    <xf numFmtId="0" fontId="5" fillId="0" borderId="12" xfId="55" applyFont="1" applyFill="1" applyBorder="1" applyAlignment="1">
      <alignment vertical="center" wrapText="1"/>
    </xf>
    <xf numFmtId="0" fontId="4" fillId="0" borderId="10" xfId="55" applyFont="1" applyBorder="1" applyAlignment="1">
      <alignment vertical="center"/>
    </xf>
    <xf numFmtId="0" fontId="5" fillId="0" borderId="10" xfId="55" applyFont="1" applyBorder="1" applyAlignment="1">
      <alignment vertical="center"/>
    </xf>
    <xf numFmtId="0" fontId="4" fillId="0" borderId="10" xfId="55" applyFont="1" applyBorder="1" applyAlignment="1">
      <alignment vertical="center" wrapText="1"/>
    </xf>
    <xf numFmtId="0" fontId="5" fillId="0" borderId="4" xfId="55" applyFont="1" applyBorder="1" applyAlignment="1">
      <alignment vertical="center" wrapText="1"/>
    </xf>
    <xf numFmtId="0" fontId="4" fillId="0" borderId="10" xfId="0" applyFont="1" applyBorder="1">
      <alignment vertical="center"/>
    </xf>
    <xf numFmtId="0" fontId="0" fillId="0" borderId="11" xfId="55" applyFont="1" applyBorder="1" applyAlignment="1">
      <alignment vertical="center"/>
    </xf>
    <xf numFmtId="0" fontId="5" fillId="0" borderId="11" xfId="55" applyFont="1" applyBorder="1" applyAlignment="1">
      <alignment vertical="center"/>
    </xf>
    <xf numFmtId="0" fontId="4" fillId="0" borderId="7" xfId="0" applyFont="1" applyBorder="1" applyAlignment="1">
      <alignment vertical="center" wrapText="1"/>
    </xf>
    <xf numFmtId="0" fontId="5" fillId="0" borderId="7" xfId="55" applyFont="1" applyBorder="1" applyAlignment="1">
      <alignment vertical="center" wrapText="1"/>
    </xf>
    <xf numFmtId="0" fontId="1" fillId="3" borderId="11" xfId="55" applyFont="1" applyFill="1" applyBorder="1" applyAlignment="1">
      <alignment vertical="center" wrapText="1"/>
    </xf>
    <xf numFmtId="0" fontId="0" fillId="0" borderId="11" xfId="55" applyFont="1" applyFill="1" applyBorder="1" applyAlignment="1">
      <alignment vertical="center" wrapText="1"/>
    </xf>
    <xf numFmtId="0" fontId="5" fillId="0" borderId="7" xfId="55" applyFont="1" applyFill="1" applyBorder="1" applyAlignment="1">
      <alignment vertical="center"/>
    </xf>
    <xf numFmtId="0" fontId="5" fillId="0" borderId="11" xfId="55" applyFont="1" applyFill="1" applyBorder="1" applyAlignment="1">
      <alignment vertical="center" wrapText="1"/>
    </xf>
    <xf numFmtId="0" fontId="4" fillId="0" borderId="7" xfId="55" applyFont="1" applyFill="1" applyBorder="1" applyAlignment="1">
      <alignment vertical="center"/>
    </xf>
    <xf numFmtId="0" fontId="5" fillId="0" borderId="11" xfId="50" applyFont="1" applyBorder="1" applyAlignment="1">
      <alignment vertical="center"/>
    </xf>
    <xf numFmtId="0" fontId="5" fillId="0" borderId="7" xfId="0" applyFont="1" applyFill="1" applyBorder="1" applyAlignment="1">
      <alignment vertical="center" wrapText="1"/>
    </xf>
    <xf numFmtId="0" fontId="4" fillId="0" borderId="7" xfId="55" applyFont="1" applyFill="1" applyBorder="1" applyAlignment="1">
      <alignment vertical="center" wrapText="1"/>
    </xf>
    <xf numFmtId="0" fontId="0" fillId="3" borderId="10" xfId="55" applyFont="1" applyFill="1" applyBorder="1" applyAlignment="1">
      <alignment vertical="center"/>
    </xf>
    <xf numFmtId="0" fontId="1" fillId="0" borderId="10" xfId="55" applyFont="1" applyBorder="1" applyAlignment="1">
      <alignment vertical="center"/>
    </xf>
    <xf numFmtId="0" fontId="1" fillId="0" borderId="10" xfId="55" applyFont="1" applyBorder="1" applyAlignment="1">
      <alignment vertical="center" wrapText="1"/>
    </xf>
    <xf numFmtId="0" fontId="1" fillId="0" borderId="4" xfId="55" applyFont="1" applyBorder="1" applyAlignment="1">
      <alignment vertical="center" wrapText="1"/>
    </xf>
    <xf numFmtId="0" fontId="0" fillId="0" borderId="7" xfId="55" applyFont="1" applyFill="1" applyBorder="1" applyAlignment="1">
      <alignment vertical="center"/>
    </xf>
    <xf numFmtId="0" fontId="1" fillId="0" borderId="7" xfId="55" applyFont="1" applyFill="1" applyBorder="1" applyAlignment="1">
      <alignment vertical="center" wrapText="1"/>
    </xf>
    <xf numFmtId="49" fontId="0" fillId="3" borderId="7" xfId="55" applyNumberFormat="1" applyFont="1" applyFill="1" applyBorder="1" applyAlignment="1">
      <alignment vertical="center"/>
    </xf>
    <xf numFmtId="49" fontId="4" fillId="0" borderId="7" xfId="55" applyNumberFormat="1" applyFont="1" applyBorder="1" applyAlignment="1">
      <alignment vertical="center" wrapText="1"/>
    </xf>
    <xf numFmtId="0" fontId="0" fillId="0" borderId="7" xfId="55" applyFont="1" applyBorder="1" applyAlignment="1">
      <alignment vertical="center" wrapText="1"/>
    </xf>
    <xf numFmtId="49" fontId="1" fillId="0" borderId="7" xfId="55" applyNumberFormat="1" applyFont="1" applyBorder="1" applyAlignment="1">
      <alignment vertical="center" wrapText="1"/>
    </xf>
    <xf numFmtId="0" fontId="5" fillId="0" borderId="7" xfId="50" applyFont="1" applyBorder="1" applyAlignment="1">
      <alignment vertical="center"/>
    </xf>
    <xf numFmtId="0" fontId="4" fillId="0" borderId="11" xfId="55" applyFont="1" applyBorder="1" applyAlignment="1">
      <alignment vertical="center" wrapText="1"/>
    </xf>
    <xf numFmtId="0" fontId="0" fillId="0" borderId="11" xfId="0" applyFont="1" applyBorder="1" applyAlignment="1">
      <alignment vertical="center" wrapText="1"/>
    </xf>
    <xf numFmtId="0" fontId="5" fillId="0" borderId="11" xfId="0" applyFont="1" applyBorder="1" applyAlignment="1">
      <alignment vertical="center" wrapText="1"/>
    </xf>
    <xf numFmtId="0" fontId="5" fillId="0" borderId="11" xfId="0" applyFont="1" applyFill="1" applyBorder="1" applyAlignment="1">
      <alignment vertical="center" wrapText="1"/>
    </xf>
    <xf numFmtId="0" fontId="0" fillId="0" borderId="9" xfId="55" applyFont="1" applyBorder="1" applyAlignment="1">
      <alignment vertical="center" wrapText="1"/>
    </xf>
    <xf numFmtId="49" fontId="1" fillId="0" borderId="9" xfId="55" applyNumberFormat="1" applyFont="1" applyBorder="1" applyAlignment="1">
      <alignment vertical="center" wrapText="1"/>
    </xf>
    <xf numFmtId="0" fontId="0" fillId="0" borderId="1" xfId="55" applyFont="1" applyBorder="1" applyAlignment="1">
      <alignment vertical="center" wrapText="1"/>
    </xf>
    <xf numFmtId="0" fontId="5" fillId="0" borderId="7" xfId="55" applyFont="1" applyFill="1" applyBorder="1" applyAlignment="1">
      <alignment vertical="center" wrapText="1"/>
    </xf>
    <xf numFmtId="49" fontId="4" fillId="0" borderId="7" xfId="55" applyNumberFormat="1" applyFont="1" applyFill="1" applyBorder="1" applyAlignment="1">
      <alignment vertical="center" wrapText="1"/>
    </xf>
    <xf numFmtId="0" fontId="3" fillId="0" borderId="0" xfId="0" applyFont="1">
      <alignment vertical="center"/>
    </xf>
    <xf numFmtId="0" fontId="5" fillId="0" borderId="0" xfId="0" applyFont="1" applyAlignment="1">
      <alignment horizontal="left" vertical="center"/>
    </xf>
    <xf numFmtId="0" fontId="0" fillId="0" borderId="0" xfId="0"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49" fontId="4" fillId="7" borderId="7" xfId="50" applyNumberFormat="1" applyFont="1" applyFill="1" applyBorder="1" applyAlignment="1">
      <alignment horizontal="left" vertical="center"/>
    </xf>
    <xf numFmtId="0" fontId="1" fillId="7" borderId="7" xfId="50" applyFont="1" applyFill="1" applyBorder="1" applyAlignment="1">
      <alignment horizontal="left" vertical="center" wrapText="1"/>
    </xf>
    <xf numFmtId="0" fontId="5" fillId="2" borderId="7" xfId="50" applyFont="1" applyFill="1" applyBorder="1" applyAlignment="1">
      <alignment horizontal="left" vertical="center" wrapText="1"/>
    </xf>
    <xf numFmtId="49" fontId="4" fillId="7" borderId="7" xfId="50" applyNumberFormat="1" applyFont="1" applyFill="1" applyBorder="1" applyAlignment="1">
      <alignment vertical="center"/>
    </xf>
    <xf numFmtId="0" fontId="4" fillId="7" borderId="7" xfId="50" applyFont="1" applyFill="1" applyBorder="1" applyAlignment="1">
      <alignment horizontal="left" vertical="center" wrapText="1"/>
    </xf>
    <xf numFmtId="0" fontId="5" fillId="2" borderId="7" xfId="50" applyNumberFormat="1" applyFont="1" applyFill="1" applyBorder="1" applyAlignment="1">
      <alignment horizontal="left" vertical="center" wrapText="1"/>
    </xf>
    <xf numFmtId="49" fontId="5" fillId="6" borderId="7" xfId="50" applyNumberFormat="1" applyFont="1" applyFill="1" applyBorder="1" applyAlignment="1">
      <alignment vertical="center"/>
    </xf>
    <xf numFmtId="0" fontId="5" fillId="6" borderId="7" xfId="50" applyFont="1" applyFill="1" applyBorder="1" applyAlignment="1">
      <alignment vertical="center" wrapText="1"/>
    </xf>
    <xf numFmtId="0" fontId="4" fillId="7" borderId="7" xfId="0" applyFont="1" applyFill="1" applyBorder="1" applyAlignment="1">
      <alignment horizontal="left" vertical="center"/>
    </xf>
    <xf numFmtId="0" fontId="4" fillId="7" borderId="7" xfId="0" applyFont="1" applyFill="1" applyBorder="1" applyAlignment="1">
      <alignment vertical="center"/>
    </xf>
    <xf numFmtId="0" fontId="5" fillId="2" borderId="7" xfId="49" applyFont="1" applyFill="1" applyBorder="1" applyAlignment="1">
      <alignment horizontal="left" vertical="center" wrapText="1"/>
    </xf>
    <xf numFmtId="0" fontId="5" fillId="2" borderId="7" xfId="0" applyFont="1" applyFill="1" applyBorder="1" applyAlignment="1">
      <alignment horizontal="left" vertical="center" wrapText="1"/>
    </xf>
    <xf numFmtId="0" fontId="34" fillId="0" borderId="0" xfId="0" applyFont="1">
      <alignment vertical="center"/>
    </xf>
    <xf numFmtId="0" fontId="16" fillId="9" borderId="7" xfId="50" applyFont="1" applyFill="1" applyBorder="1" applyAlignment="1">
      <alignment vertical="center"/>
    </xf>
    <xf numFmtId="49" fontId="1" fillId="9" borderId="7" xfId="50" applyNumberFormat="1" applyFont="1" applyFill="1" applyBorder="1" applyAlignment="1">
      <alignment vertical="center"/>
    </xf>
    <xf numFmtId="0" fontId="1" fillId="9" borderId="7" xfId="50" applyFont="1" applyFill="1" applyBorder="1" applyAlignment="1">
      <alignment vertical="center"/>
    </xf>
    <xf numFmtId="49" fontId="4" fillId="9" borderId="7" xfId="50" applyNumberFormat="1" applyFont="1" applyFill="1" applyBorder="1" applyAlignment="1">
      <alignment horizontal="left" vertical="center"/>
    </xf>
    <xf numFmtId="49" fontId="4" fillId="9" borderId="7" xfId="50" applyNumberFormat="1" applyFont="1" applyFill="1" applyBorder="1" applyAlignment="1">
      <alignment vertical="center"/>
    </xf>
    <xf numFmtId="0" fontId="4" fillId="9" borderId="7" xfId="50" applyFont="1" applyFill="1" applyBorder="1" applyAlignment="1">
      <alignment horizontal="left" vertical="center" wrapText="1"/>
    </xf>
    <xf numFmtId="49" fontId="4" fillId="4" borderId="7" xfId="50" applyNumberFormat="1" applyFont="1" applyFill="1" applyBorder="1" applyAlignment="1">
      <alignment horizontal="left" vertical="center"/>
    </xf>
    <xf numFmtId="0" fontId="5" fillId="4" borderId="7" xfId="50" applyFont="1" applyFill="1" applyBorder="1" applyAlignment="1">
      <alignment horizontal="left" vertical="center" wrapText="1"/>
    </xf>
    <xf numFmtId="0" fontId="5" fillId="2" borderId="7" xfId="50" applyFont="1" applyFill="1" applyBorder="1" applyAlignment="1">
      <alignment horizontal="left" vertical="center"/>
    </xf>
    <xf numFmtId="0" fontId="5" fillId="2" borderId="7" xfId="50" applyFont="1" applyFill="1" applyBorder="1" applyAlignment="1">
      <alignment vertical="center" wrapText="1"/>
    </xf>
    <xf numFmtId="49" fontId="5" fillId="4" borderId="7" xfId="50" applyNumberFormat="1" applyFont="1" applyFill="1" applyBorder="1" applyAlignment="1">
      <alignment vertical="center"/>
    </xf>
    <xf numFmtId="0" fontId="4" fillId="7" borderId="7" xfId="50" applyFont="1" applyFill="1" applyBorder="1" applyAlignment="1">
      <alignment horizontal="left" vertical="center"/>
    </xf>
    <xf numFmtId="0" fontId="4" fillId="7" borderId="7" xfId="50" applyFont="1" applyFill="1" applyBorder="1" applyAlignment="1">
      <alignment vertical="center"/>
    </xf>
    <xf numFmtId="0" fontId="1" fillId="0" borderId="0" xfId="53" applyFont="1" applyAlignment="1">
      <alignment vertical="center" wrapText="1"/>
    </xf>
    <xf numFmtId="0" fontId="14" fillId="0" borderId="7" xfId="53" applyFont="1" applyBorder="1" applyAlignment="1">
      <alignment horizontal="center" vertical="center" wrapText="1"/>
    </xf>
    <xf numFmtId="0" fontId="12" fillId="0" borderId="7" xfId="53" applyFont="1" applyBorder="1" applyAlignment="1">
      <alignment vertical="center" wrapText="1"/>
    </xf>
    <xf numFmtId="0" fontId="18" fillId="5" borderId="7" xfId="53" applyFont="1" applyFill="1" applyBorder="1" applyAlignment="1">
      <alignment vertical="center" wrapText="1"/>
    </xf>
    <xf numFmtId="0" fontId="18" fillId="5" borderId="7" xfId="53" applyFont="1" applyFill="1" applyBorder="1" applyAlignment="1">
      <alignment horizontal="left" vertical="center" wrapText="1"/>
    </xf>
    <xf numFmtId="0" fontId="4" fillId="0" borderId="7" xfId="55" applyFont="1" applyBorder="1" applyAlignment="1" quotePrefix="1">
      <alignment vertical="center"/>
    </xf>
    <xf numFmtId="0" fontId="1" fillId="0" borderId="7" xfId="55" applyFont="1" applyBorder="1" applyAlignment="1" quotePrefix="1">
      <alignment vertical="center"/>
    </xf>
    <xf numFmtId="0" fontId="4" fillId="0" borderId="7" xfId="50" applyFont="1" applyFill="1" applyBorder="1" applyAlignment="1" quotePrefix="1">
      <alignment horizontal="left" vertical="center"/>
    </xf>
    <xf numFmtId="0" fontId="4" fillId="0" borderId="7" xfId="50" applyFont="1" applyBorder="1" applyAlignment="1" quotePrefix="1">
      <alignment horizontal="left" vertical="center"/>
    </xf>
    <xf numFmtId="0" fontId="1" fillId="0" borderId="7" xfId="50" applyFont="1" applyBorder="1" applyAlignment="1" quotePrefix="1">
      <alignment horizontal="left" vertical="center"/>
    </xf>
    <xf numFmtId="0" fontId="1" fillId="0" borderId="7" xfId="50" applyFont="1" applyFill="1" applyBorder="1" applyAlignment="1" quotePrefix="1">
      <alignment horizontal="left" vertical="center"/>
    </xf>
    <xf numFmtId="0" fontId="4" fillId="0" borderId="7" xfId="50" applyFont="1" applyBorder="1" applyAlignment="1" quotePrefix="1">
      <alignment horizontal="left" vertical="center" wrapText="1"/>
    </xf>
    <xf numFmtId="0" fontId="4" fillId="0" borderId="7" xfId="50" applyFont="1" applyFill="1" applyBorder="1" applyAlignment="1" quotePrefix="1">
      <alignment horizontal="left" vertical="center" wrapText="1"/>
    </xf>
    <xf numFmtId="0" fontId="1" fillId="0" borderId="7" xfId="50" applyFont="1" applyFill="1" applyBorder="1" applyAlignment="1" quotePrefix="1">
      <alignment horizontal="center" vertical="center" wrapText="1"/>
    </xf>
    <xf numFmtId="0" fontId="1" fillId="0" borderId="7" xfId="0" applyFont="1" applyFill="1" applyBorder="1" applyAlignment="1" quotePrefix="1">
      <alignment vertical="center" wrapText="1"/>
    </xf>
    <xf numFmtId="0" fontId="0" fillId="0" borderId="7" xfId="0" applyFill="1" applyBorder="1" applyAlignment="1" quotePrefix="1">
      <alignment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2 2" xfId="49"/>
    <cellStyle name="常规_Sheet2" xfId="50"/>
    <cellStyle name="常规 2 3" xfId="51"/>
    <cellStyle name="常规 2 3 2" xfId="52"/>
    <cellStyle name="常规_Sheet1" xfId="53"/>
    <cellStyle name="常规_数据结构" xfId="54"/>
    <cellStyle name="常规_数据元说明" xfId="55"/>
    <cellStyle name="常规 2" xfId="56"/>
  </cellStyles>
  <tableStyles count="0" defaultTableStyle="TableStyleMedium2"/>
  <colors>
    <mruColors>
      <color rgb="00FFFF99"/>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zw/Desktop/GienTech/AgentTeam/eastQuestionSet/east&#26448;&#26009;/E:/&#26234;&#33021;&#26816;&#26597;/&#33891;&#22825;&#26976;&#24635;&#20250;&#24037;&#20316;&#25991;&#26723;&#65288;2021.5-2121.11&#65289;/&#37329;&#34701;&#26426;&#26500;&#30417;&#31649;&#25968;&#25454;&#26631;&#20934;&#21270;&#35268;&#33539;5.0&#65288;&#20840;&#22871;&#25991;&#20214;&#65289;/&#38468;&#20214;3.&#20013;&#22269;&#38134;&#20445;&#30417;&#20250;&#38134;&#34892;&#19994;&#37329;&#34701;&#26426;&#26500;&#30417;&#31649;&#25968;&#25454;&#26631;&#20934;&#21270;&#35268;&#33539;&#65288;2021&#29256;&#65289;/&#20013;&#22269;&#38134;&#20445;&#30417;&#20250;&#38134;&#34892;&#19994;&#37329;&#34701;&#26426;&#26500;&#30417;&#31649;&#25968;&#25454;&#26631;&#20934;&#21270;&#35268;&#33539;&#65288;2020&#29256;&#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格说明"/>
      <sheetName val="数据元说明"/>
      <sheetName val="数据结构"/>
      <sheetName val="资金交易信息表分交易子类填写说明"/>
      <sheetName val="自营报送范围"/>
      <sheetName val="删除的表和数据项"/>
    </sheetNames>
    <sheetDataSet>
      <sheetData sheetId="0"/>
      <sheetData sheetId="1">
        <row r="2">
          <cell r="A2" t="str">
            <v>数据元说明</v>
          </cell>
        </row>
        <row r="4">
          <cell r="A4" t="str">
            <v>分类</v>
          </cell>
          <cell r="B4" t="str">
            <v>数据元编码</v>
          </cell>
          <cell r="C4" t="str">
            <v>数据元名称</v>
          </cell>
          <cell r="D4" t="str">
            <v>数据元英文</v>
          </cell>
          <cell r="E4" t="str">
            <v>数据元说明</v>
          </cell>
          <cell r="F4" t="str">
            <v>格式</v>
          </cell>
        </row>
        <row r="6">
          <cell r="A6" t="str">
            <v>公共信息</v>
          </cell>
          <cell r="B6" t="str">
            <v>001</v>
          </cell>
        </row>
        <row r="7">
          <cell r="B7" t="str">
            <v>001001</v>
          </cell>
          <cell r="C7" t="str">
            <v>名称</v>
          </cell>
          <cell r="D7" t="str">
            <v>Name</v>
          </cell>
          <cell r="E7" t="str">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ell>
          <cell r="F7" t="str">
            <v>C..400</v>
          </cell>
        </row>
        <row r="8">
          <cell r="B8" t="str">
            <v>001002</v>
          </cell>
          <cell r="C8" t="str">
            <v>是否标志</v>
          </cell>
          <cell r="D8" t="str">
            <v>Yes or No</v>
          </cell>
          <cell r="E8" t="str">
            <v>是，否。</v>
          </cell>
          <cell r="F8" t="str">
            <v>C..4</v>
          </cell>
        </row>
        <row r="9">
          <cell r="B9" t="str">
            <v>001003</v>
          </cell>
          <cell r="C9" t="str">
            <v>比例</v>
          </cell>
          <cell r="D9" t="str">
            <v>Ratio</v>
          </cell>
          <cell r="E9" t="str">
            <v>百分比为单位，即1/100，保留两位小数。</v>
          </cell>
          <cell r="F9" t="str">
            <v>D10.2</v>
          </cell>
        </row>
        <row r="10">
          <cell r="B10" t="str">
            <v>001004</v>
          </cell>
          <cell r="C10" t="str">
            <v>面积</v>
          </cell>
          <cell r="D10" t="str">
            <v>Area</v>
          </cell>
          <cell r="E10" t="str">
            <v>平方米。</v>
          </cell>
          <cell r="F10" t="str">
            <v>D20.2</v>
          </cell>
        </row>
        <row r="11">
          <cell r="B11" t="str">
            <v>001005</v>
          </cell>
          <cell r="C11" t="str">
            <v>日期</v>
          </cell>
          <cell r="D11" t="str">
            <v>Date</v>
          </cell>
          <cell r="E11" t="str">
            <v>YYYYMMDD，默认值99991231。</v>
          </cell>
          <cell r="F11" t="str">
            <v>C8</v>
          </cell>
        </row>
        <row r="12">
          <cell r="B12" t="str">
            <v>001006</v>
          </cell>
          <cell r="C12" t="str">
            <v>年月</v>
          </cell>
          <cell r="D12" t="str">
            <v>Year &amp; Month</v>
          </cell>
          <cell r="E12" t="str">
            <v>YYYYMM，默认值999912。</v>
          </cell>
          <cell r="F12" t="str">
            <v>C6</v>
          </cell>
        </row>
        <row r="13">
          <cell r="B13" t="str">
            <v>001007</v>
          </cell>
          <cell r="C13" t="str">
            <v>时间</v>
          </cell>
          <cell r="D13" t="str">
            <v>Time</v>
          </cell>
          <cell r="E13" t="str">
            <v>24小时制时间，精确到秒。hhmmss，默认值000000。</v>
          </cell>
          <cell r="F13" t="str">
            <v>C6</v>
          </cell>
        </row>
        <row r="14">
          <cell r="B14" t="str">
            <v>001008</v>
          </cell>
          <cell r="C14" t="str">
            <v>时间戳</v>
          </cell>
          <cell r="D14" t="str">
            <v>Timestamp</v>
          </cell>
          <cell r="E14" t="str">
            <v>交易的唯一性的时间表示，YYYYMMDDhhmmssuuuuuu（后六位代表精确度微秒级），默认值99991231000000000000。</v>
          </cell>
          <cell r="F14" t="str">
            <v>C20</v>
          </cell>
        </row>
        <row r="15">
          <cell r="B15" t="str">
            <v>001009</v>
          </cell>
          <cell r="C15" t="str">
            <v>地址</v>
          </cell>
          <cell r="D15" t="str">
            <v>Address</v>
          </cell>
          <cell r="E15" t="str">
            <v>中文描述。个人住址。金融机构以金融机构许可证登记地址为准。集团母公司为境内企业的，按照《企业法人营业执照》中的注册地填报，要写明省（区、市）、地（区、市、州、盟）、县（区、市、旗）。集团母公司为境外企业的，不填报。</v>
          </cell>
          <cell r="F15" t="str">
            <v>C..400</v>
          </cell>
        </row>
        <row r="16">
          <cell r="B16" t="str">
            <v>001010</v>
          </cell>
          <cell r="C16" t="str">
            <v>电话</v>
          </cell>
          <cell r="D16" t="str">
            <v>Tel.</v>
          </cell>
          <cell r="E16" t="str">
            <v>银行自定义。</v>
          </cell>
          <cell r="F16" t="str">
            <v>C..30</v>
          </cell>
        </row>
        <row r="17">
          <cell r="B17" t="str">
            <v>001011</v>
          </cell>
          <cell r="C17" t="str">
            <v>银行机构代码</v>
          </cell>
          <cell r="D17" t="str">
            <v>Bank code</v>
          </cell>
          <cell r="E17" t="str">
            <v>人行支付行号</v>
          </cell>
          <cell r="F17" t="str">
            <v>C..30</v>
          </cell>
        </row>
        <row r="18">
          <cell r="B18" t="str">
            <v>001012</v>
          </cell>
          <cell r="C18" t="str">
            <v>金融许可证号</v>
          </cell>
          <cell r="D18" t="str">
            <v>Financial license number</v>
          </cell>
          <cell r="E18" t="str">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ell>
          <cell r="F18" t="str">
            <v>C..30</v>
          </cell>
        </row>
        <row r="19">
          <cell r="B19" t="str">
            <v>001013</v>
          </cell>
          <cell r="C19" t="str">
            <v>内部机构号</v>
          </cell>
          <cell r="D19" t="str">
            <v>Inner organization number</v>
          </cell>
          <cell r="E19" t="str">
            <v>银行内部机构号。应具有标识机构的唯一性。</v>
          </cell>
          <cell r="F19" t="str">
            <v>C..30</v>
          </cell>
        </row>
        <row r="20">
          <cell r="B20" t="str">
            <v>001014</v>
          </cell>
          <cell r="C20" t="str">
            <v>机构类别</v>
          </cell>
          <cell r="D20" t="str">
            <v>Organization type</v>
          </cell>
          <cell r="E20" t="str">
            <v>管理机构、营业机构、虚拟机构、内设机构</v>
          </cell>
          <cell r="F20" t="str">
            <v>C..30</v>
          </cell>
        </row>
        <row r="21">
          <cell r="B21" t="str">
            <v>001015</v>
          </cell>
          <cell r="C21" t="str">
            <v>邮政编码</v>
          </cell>
          <cell r="D21" t="str">
            <v>Zip code</v>
          </cell>
          <cell r="E21" t="str">
            <v>该机构注册地邮政编码，6位。超过6位的只取前6位。</v>
          </cell>
          <cell r="F21" t="str">
            <v>C6</v>
          </cell>
        </row>
        <row r="22">
          <cell r="B22" t="str">
            <v>001016</v>
          </cell>
          <cell r="C22" t="str">
            <v>网点号</v>
          </cell>
          <cell r="D22" t="str">
            <v>Branch number</v>
          </cell>
          <cell r="E22" t="str">
            <v>银行内部机构号。</v>
          </cell>
          <cell r="F22" t="str">
            <v>C..30</v>
          </cell>
        </row>
        <row r="23">
          <cell r="B23" t="str">
            <v>001017</v>
          </cell>
          <cell r="C23" t="str">
            <v>营业状态</v>
          </cell>
          <cell r="D23" t="str">
            <v>Business state</v>
          </cell>
          <cell r="E23" t="str">
            <v>营业，停业。</v>
          </cell>
          <cell r="F23" t="str">
            <v>C..6</v>
          </cell>
        </row>
        <row r="24">
          <cell r="B24" t="str">
            <v>001018</v>
          </cell>
          <cell r="C24" t="str">
            <v>工号</v>
          </cell>
          <cell r="D24" t="str">
            <v>Emp ID</v>
          </cell>
          <cell r="E24" t="str">
            <v>工号。</v>
          </cell>
          <cell r="F24" t="str">
            <v>C..30</v>
          </cell>
        </row>
        <row r="25">
          <cell r="B25" t="str">
            <v>001019</v>
          </cell>
          <cell r="C25" t="str">
            <v>姓名</v>
          </cell>
          <cell r="D25" t="str">
            <v>Name (people)</v>
          </cell>
          <cell r="E25" t="str">
            <v>姓名。</v>
          </cell>
          <cell r="F25" t="str">
            <v>C..100</v>
          </cell>
        </row>
        <row r="26">
          <cell r="B26" t="str">
            <v>001021</v>
          </cell>
          <cell r="C26" t="str">
            <v>所属部门</v>
          </cell>
          <cell r="D26" t="str">
            <v>Department</v>
          </cell>
          <cell r="E26" t="str">
            <v>中文字典或中文描述，银行自定义。</v>
          </cell>
          <cell r="F26" t="str">
            <v>C..60</v>
          </cell>
        </row>
        <row r="27">
          <cell r="B27" t="str">
            <v>001022</v>
          </cell>
          <cell r="C27" t="str">
            <v>职务</v>
          </cell>
          <cell r="D27" t="str">
            <v>Post.</v>
          </cell>
          <cell r="E27" t="str">
            <v>中文字典或中文描述，银行自定义。</v>
          </cell>
          <cell r="F27" t="str">
            <v>C..60</v>
          </cell>
        </row>
        <row r="28">
          <cell r="B28" t="str">
            <v>001023</v>
          </cell>
          <cell r="C28" t="str">
            <v>状态</v>
          </cell>
          <cell r="D28" t="str">
            <v>Status</v>
          </cell>
          <cell r="E28" t="str">
            <v>中文字典或中文描述，银行自定义。</v>
          </cell>
          <cell r="F28" t="str">
            <v>C..30</v>
          </cell>
        </row>
        <row r="29">
          <cell r="B29" t="str">
            <v>001024</v>
          </cell>
          <cell r="C29" t="str">
            <v>柜员号</v>
          </cell>
          <cell r="D29" t="str">
            <v>Teller number</v>
          </cell>
          <cell r="E29" t="str">
            <v>柜员编号。银行自定义。</v>
          </cell>
          <cell r="F29" t="str">
            <v>C..30</v>
          </cell>
        </row>
        <row r="30">
          <cell r="B30" t="str">
            <v>001025</v>
          </cell>
          <cell r="C30" t="str">
            <v>柜员类型</v>
          </cell>
          <cell r="D30" t="str">
            <v>Type of teller</v>
          </cell>
          <cell r="E30" t="str">
            <v>中文字典或中文描述，银行自定义。</v>
          </cell>
          <cell r="F30" t="str">
            <v>C..30</v>
          </cell>
        </row>
        <row r="31">
          <cell r="B31" t="str">
            <v>001026</v>
          </cell>
          <cell r="C31" t="str">
            <v>审批授信额度</v>
          </cell>
          <cell r="D31" t="str">
            <v>Limit of credit approval</v>
          </cell>
          <cell r="E31" t="str">
            <v>审批授信额度（币种：人民币）。</v>
          </cell>
          <cell r="F31" t="str">
            <v>D20.2</v>
          </cell>
        </row>
        <row r="32">
          <cell r="B32" t="str">
            <v>001027</v>
          </cell>
          <cell r="C32" t="str">
            <v>授权范围</v>
          </cell>
          <cell r="D32" t="str">
            <v>Scope of authority</v>
          </cell>
          <cell r="E32" t="str">
            <v>可以授权的业务种类，银行自定义。</v>
          </cell>
          <cell r="F32" t="str">
            <v>C..200</v>
          </cell>
        </row>
        <row r="33">
          <cell r="B33" t="str">
            <v>001028</v>
          </cell>
          <cell r="C33" t="str">
            <v>柜员用户级别</v>
          </cell>
          <cell r="D33" t="str">
            <v>Teller level</v>
          </cell>
          <cell r="E33" t="str">
            <v>银行自定义。</v>
          </cell>
          <cell r="F33" t="str">
            <v>C..30</v>
          </cell>
        </row>
        <row r="34">
          <cell r="B34" t="str">
            <v>001029</v>
          </cell>
          <cell r="C34" t="str">
            <v>柜员权限级别</v>
          </cell>
          <cell r="D34" t="str">
            <v>Teller authority</v>
          </cell>
          <cell r="E34" t="str">
            <v>柜员权限级别，银行自定义。</v>
          </cell>
          <cell r="F34" t="str">
            <v>C..30</v>
          </cell>
        </row>
        <row r="35">
          <cell r="B35" t="str">
            <v>001030</v>
          </cell>
          <cell r="C35" t="str">
            <v>岗位编号</v>
          </cell>
          <cell r="D35" t="str">
            <v>Post number</v>
          </cell>
          <cell r="E35" t="str">
            <v>银行自定义。</v>
          </cell>
          <cell r="F35" t="str">
            <v>C..60</v>
          </cell>
        </row>
        <row r="36">
          <cell r="B36" t="str">
            <v>001031</v>
          </cell>
          <cell r="C36" t="str">
            <v>岗位种类</v>
          </cell>
          <cell r="D36" t="str">
            <v>Post type</v>
          </cell>
          <cell r="E36" t="str">
            <v>岗位种类，中文字典或中文描述，银行自定义。</v>
          </cell>
          <cell r="F36" t="str">
            <v>C..60</v>
          </cell>
        </row>
        <row r="37">
          <cell r="B37" t="str">
            <v>001032</v>
          </cell>
          <cell r="C37" t="str">
            <v>岗位名称</v>
          </cell>
          <cell r="D37" t="str">
            <v>Post name</v>
          </cell>
          <cell r="E37" t="str">
            <v>岗位名称，中文字典或中文描述，银行自定义。</v>
          </cell>
          <cell r="F37" t="str">
            <v>C..60</v>
          </cell>
        </row>
        <row r="38">
          <cell r="B38" t="str">
            <v>001033</v>
          </cell>
          <cell r="C38" t="str">
            <v>岗位说明</v>
          </cell>
          <cell r="D38" t="str">
            <v>Post description</v>
          </cell>
          <cell r="E38" t="str">
            <v>对岗位工作的中文描述，银行自定义。</v>
          </cell>
          <cell r="F38" t="str">
            <v>C..400</v>
          </cell>
        </row>
        <row r="39">
          <cell r="B39" t="str">
            <v>001034</v>
          </cell>
          <cell r="C39" t="str">
            <v>金融机构代码</v>
          </cell>
          <cell r="D39" t="str">
            <v>Bank code for statistic</v>
          </cell>
          <cell r="E39" t="str">
            <v>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v>
          </cell>
          <cell r="F39" t="str">
            <v>C..30</v>
          </cell>
        </row>
        <row r="40">
          <cell r="B40" t="str">
            <v>001035</v>
          </cell>
          <cell r="C40" t="str">
            <v>地区名称</v>
          </cell>
          <cell r="D40" t="str">
            <v>District name</v>
          </cell>
          <cell r="E40" t="str">
            <v>地区名称。金融机构填写金融机构代码对应的地区名称。集团母公司为境内企业的，按照《企业法人营业执照》中的注册地填报，要写明省（区、市）、地（区、市、州、盟）、县（区、市、旗）。集团母公司为境外企业的，不填报。</v>
          </cell>
          <cell r="F40" t="str">
            <v>C..60</v>
          </cell>
        </row>
        <row r="41">
          <cell r="B41" t="str">
            <v>001036</v>
          </cell>
          <cell r="C41" t="str">
            <v>数量</v>
          </cell>
          <cell r="D41" t="str">
            <v>Quantity</v>
          </cell>
          <cell r="E41" t="str">
            <v>数量。</v>
          </cell>
          <cell r="F41" t="str">
            <v>D20</v>
          </cell>
        </row>
        <row r="42">
          <cell r="B42" t="str">
            <v>001037</v>
          </cell>
          <cell r="C42" t="str">
            <v>名称集合</v>
          </cell>
          <cell r="D42" t="str">
            <v>Collection of names</v>
          </cell>
          <cell r="E42" t="str">
            <v>多个名称</v>
          </cell>
          <cell r="F42" t="str">
            <v>C..1000</v>
          </cell>
        </row>
        <row r="43">
          <cell r="B43" t="str">
            <v>001038</v>
          </cell>
          <cell r="C43" t="str">
            <v>代码集合</v>
          </cell>
          <cell r="D43" t="str">
            <v>Collection of code</v>
          </cell>
          <cell r="E43" t="str">
            <v>多个代码</v>
          </cell>
          <cell r="F43" t="str">
            <v>C..400</v>
          </cell>
        </row>
        <row r="44">
          <cell r="B44" t="str">
            <v>001039</v>
          </cell>
          <cell r="C44" t="str">
            <v>员工状态</v>
          </cell>
          <cell r="D44" t="str">
            <v>State of staff</v>
          </cell>
          <cell r="E44" t="str">
            <v>正式员工离职，正式员工在职，非正式员工离职，非正式员工在职，内退，退休，开除，死亡，调出，其他</v>
          </cell>
          <cell r="F44" t="str">
            <v>C..30</v>
          </cell>
        </row>
        <row r="45">
          <cell r="B45" t="str">
            <v>001040</v>
          </cell>
          <cell r="C45" t="str">
            <v>IP地址</v>
          </cell>
          <cell r="D45" t="str">
            <v>IP address</v>
          </cell>
          <cell r="E45" t="str">
            <v>点分十进制格式表示的IPV4地址</v>
          </cell>
          <cell r="F45" t="str">
            <v>C..15</v>
          </cell>
        </row>
        <row r="46">
          <cell r="B46" t="str">
            <v>001041</v>
          </cell>
          <cell r="C46" t="str">
            <v>MAC地址</v>
          </cell>
          <cell r="D46" t="str">
            <v>MAC address</v>
          </cell>
          <cell r="E46" t="str">
            <v>网络设备唯一的网络标识，以12个16进制数表示（6个字节），每个字节以英文半角冒号（:）隔开</v>
          </cell>
          <cell r="F46" t="str">
            <v>C17</v>
          </cell>
        </row>
        <row r="47">
          <cell r="A47" t="str">
            <v>客户信息</v>
          </cell>
          <cell r="B47" t="str">
            <v>002</v>
          </cell>
        </row>
        <row r="48">
          <cell r="B48" t="str">
            <v>002001</v>
          </cell>
          <cell r="C48" t="str">
            <v>客户统一编号</v>
          </cell>
          <cell r="D48" t="str">
            <v>Customer number</v>
          </cell>
          <cell r="E48" t="str">
            <v>银行自定义的唯一识别客户的标识。供应链融资的填写供应链融资编码。</v>
          </cell>
          <cell r="F48" t="str">
            <v>C..60</v>
          </cell>
        </row>
        <row r="49">
          <cell r="B49" t="str">
            <v>002002</v>
          </cell>
          <cell r="C49" t="str">
            <v>客户英文姓名</v>
          </cell>
          <cell r="D49" t="str">
            <v>English name of customer</v>
          </cell>
          <cell r="E49" t="str">
            <v>英文或拼音。</v>
          </cell>
          <cell r="F49" t="str">
            <v>C..200</v>
          </cell>
        </row>
        <row r="50">
          <cell r="B50" t="str">
            <v>002003</v>
          </cell>
          <cell r="C50" t="str">
            <v>证件类别</v>
          </cell>
          <cell r="D50" t="str">
            <v>Document type</v>
          </cell>
          <cell r="E50" t="str">
            <v>统一社会信用代码，组织机构代码，居民身份证，军官证，文职干部证，警官证，士兵证，户口簿，临时身份证，其他有效通行旅行证件，护照，学生证，无证件，其他。</v>
          </cell>
          <cell r="F50" t="str">
            <v>C..60</v>
          </cell>
        </row>
        <row r="51">
          <cell r="B51" t="str">
            <v>002004</v>
          </cell>
          <cell r="C51" t="str">
            <v>证件号码</v>
          </cell>
          <cell r="D51" t="str">
            <v>Document number</v>
          </cell>
          <cell r="E51" t="str">
            <v>证件号码。涉及个人身份证件时需按照本规范给定规则进行脱敏处理。</v>
          </cell>
          <cell r="F51" t="str">
            <v>C..70</v>
          </cell>
        </row>
        <row r="52">
          <cell r="B52" t="str">
            <v>002005</v>
          </cell>
          <cell r="C52" t="str">
            <v>来源系统</v>
          </cell>
          <cell r="D52" t="str">
            <v>Source system</v>
          </cell>
          <cell r="E52" t="str">
            <v>该客户信息源自的系统名称。</v>
          </cell>
          <cell r="F52" t="str">
            <v>C..100</v>
          </cell>
        </row>
        <row r="53">
          <cell r="B53" t="str">
            <v>002006</v>
          </cell>
          <cell r="C53" t="str">
            <v>国籍</v>
          </cell>
          <cell r="D53" t="str">
            <v>Nationality</v>
          </cell>
          <cell r="E53" t="str">
            <v>参照《GB/T 2659-2000 世界各国和地区名称》。</v>
          </cell>
          <cell r="F53" t="str">
            <v>C..60</v>
          </cell>
        </row>
        <row r="54">
          <cell r="B54" t="str">
            <v>002007</v>
          </cell>
          <cell r="C54" t="str">
            <v>民族</v>
          </cell>
          <cell r="D54" t="str">
            <v>Ethnicity</v>
          </cell>
          <cell r="E54" t="str">
            <v>国家认可的在公安户籍管理部门正式登记注册的客户所属民族的名称。</v>
          </cell>
          <cell r="F54" t="str">
            <v>C..30</v>
          </cell>
        </row>
        <row r="55">
          <cell r="B55" t="str">
            <v>002008</v>
          </cell>
          <cell r="C55" t="str">
            <v>性别</v>
          </cell>
          <cell r="D55" t="str">
            <v>Gender</v>
          </cell>
          <cell r="E55" t="str">
            <v>男，女，其他类型按银行自定义填写中文描述。</v>
          </cell>
          <cell r="F55" t="str">
            <v>C..10</v>
          </cell>
        </row>
        <row r="56">
          <cell r="B56" t="str">
            <v>002009</v>
          </cell>
          <cell r="C56" t="str">
            <v>学历</v>
          </cell>
          <cell r="D56" t="str">
            <v>Education degree</v>
          </cell>
          <cell r="E56" t="str">
            <v>参照《GB/T 4658-2006 学历代码》填写中文描述或中文字典。</v>
          </cell>
          <cell r="F56" t="str">
            <v>C..30</v>
          </cell>
        </row>
        <row r="57">
          <cell r="B57" t="str">
            <v>002010</v>
          </cell>
          <cell r="C57" t="str">
            <v>职业</v>
          </cell>
          <cell r="D57" t="str">
            <v>Career</v>
          </cell>
          <cell r="E57" t="str">
            <v>中文描述或中文字典，银行自定义。</v>
          </cell>
          <cell r="F57" t="str">
            <v>C..80</v>
          </cell>
        </row>
        <row r="58">
          <cell r="B58" t="str">
            <v>002011</v>
          </cell>
          <cell r="C58" t="str">
            <v>婚姻情况</v>
          </cell>
          <cell r="D58" t="str">
            <v>Marriage</v>
          </cell>
          <cell r="E58" t="str">
            <v>未婚，已婚，初婚，再婚，复婚，丧偶，离异；
未说明的婚姻状况。</v>
          </cell>
          <cell r="F58" t="str">
            <v>C..30</v>
          </cell>
        </row>
        <row r="59">
          <cell r="B59" t="str">
            <v>002012</v>
          </cell>
          <cell r="C59" t="str">
            <v>上黑名单原因</v>
          </cell>
          <cell r="D59" t="str">
            <v>Reason of on black list</v>
          </cell>
          <cell r="E59" t="str">
            <v>中文字典或中文描述，银行自定义。</v>
          </cell>
          <cell r="F59" t="str">
            <v>C..400</v>
          </cell>
        </row>
        <row r="60">
          <cell r="B60" t="str">
            <v>002013</v>
          </cell>
          <cell r="C60" t="str">
            <v>单位性质</v>
          </cell>
          <cell r="D60" t="str">
            <v>Unit property</v>
          </cell>
          <cell r="E60" t="str">
            <v>国有企业、民营企业、政府机关、事业单位、其他单位</v>
          </cell>
          <cell r="F60" t="str">
            <v>C..60</v>
          </cell>
        </row>
        <row r="61">
          <cell r="B61" t="str">
            <v>002014</v>
          </cell>
          <cell r="C61" t="str">
            <v>职称</v>
          </cell>
          <cell r="D61" t="str">
            <v>Title</v>
          </cell>
          <cell r="E61" t="str">
            <v>参照《GB/T 8561-2001 专业技术职务代码》填写中文描述或中文字典。</v>
          </cell>
          <cell r="F61" t="str">
            <v>C..60</v>
          </cell>
        </row>
        <row r="62">
          <cell r="B62" t="str">
            <v>002015</v>
          </cell>
          <cell r="C62" t="str">
            <v>社会关系</v>
          </cell>
          <cell r="D62" t="str">
            <v>Social relationship</v>
          </cell>
          <cell r="E62" t="str">
            <v>配偶，父母，子女，亲属关系，朋友，同事，担保，合作伙伴，离异原配偶，其他</v>
          </cell>
          <cell r="F62" t="str">
            <v>C..60</v>
          </cell>
        </row>
        <row r="63">
          <cell r="B63" t="str">
            <v>002016</v>
          </cell>
          <cell r="C63" t="str">
            <v>法人代表</v>
          </cell>
          <cell r="D63" t="str">
            <v>Legal person</v>
          </cell>
          <cell r="E63" t="str">
            <v>该对公客户法人代表。依照法律或者法人组织章程规定，代表法人行使职权的负责人姓名。</v>
          </cell>
          <cell r="F63" t="str">
            <v>C..30</v>
          </cell>
        </row>
        <row r="64">
          <cell r="B64" t="str">
            <v>002017</v>
          </cell>
          <cell r="C64" t="str">
            <v>营业执照号</v>
          </cell>
          <cell r="D64" t="str">
            <v>Business license number</v>
          </cell>
          <cell r="E64" t="str">
            <v>已登记统一社会信用代码的，填18位统一社会信用代码；未登记统一社会信用代码的，按原有方式填写。</v>
          </cell>
          <cell r="F64" t="str">
            <v>C..60</v>
          </cell>
        </row>
        <row r="65">
          <cell r="B65" t="str">
            <v>002018</v>
          </cell>
          <cell r="C65" t="str">
            <v>经营范围</v>
          </cell>
          <cell r="D65" t="str">
            <v>Business scope</v>
          </cell>
          <cell r="E65" t="str">
            <v>客户的经营范围。</v>
          </cell>
          <cell r="F65" t="str">
            <v>C..1500</v>
          </cell>
        </row>
        <row r="66">
          <cell r="B66" t="str">
            <v>002019</v>
          </cell>
          <cell r="C66" t="str">
            <v>所属行业</v>
          </cell>
          <cell r="D66" t="str">
            <v>Industry</v>
          </cell>
          <cell r="E66" t="str">
            <v>填报该客户所属行业的小类代码对应的行业。行业分类按《GB/T 4754 国民经济行业分类》执行。境外机构按“境外”填报。</v>
          </cell>
          <cell r="F66" t="str">
            <v>C..100</v>
          </cell>
        </row>
        <row r="67">
          <cell r="B67" t="str">
            <v>002020</v>
          </cell>
          <cell r="C67" t="str">
            <v>客户类别</v>
          </cell>
          <cell r="D67" t="str">
            <v>Customer type</v>
          </cell>
          <cell r="E67" t="str">
            <v>银监会客户分类标准。对公，对私。</v>
          </cell>
          <cell r="F67" t="str">
            <v>C..30</v>
          </cell>
        </row>
        <row r="68">
          <cell r="B68" t="str">
            <v>002021</v>
          </cell>
          <cell r="C68" t="str">
            <v>贷款卡号</v>
          </cell>
          <cell r="D68" t="str">
            <v>Loan number</v>
          </cell>
          <cell r="E68" t="str">
            <v>中国人民银行发放的企业贷款卡号码。</v>
          </cell>
          <cell r="F68" t="str">
            <v>C..60 </v>
          </cell>
        </row>
        <row r="69">
          <cell r="B69" t="str">
            <v>002022</v>
          </cell>
          <cell r="C69" t="str">
            <v>国税证号</v>
          </cell>
          <cell r="D69" t="str">
            <v>National tax number</v>
          </cell>
          <cell r="E69" t="str">
            <v>已登记统一社会信用代码的，填18位统一社会信用代码；未登记统一社会信用代码的，按原有方式填写。</v>
          </cell>
          <cell r="F69" t="str">
            <v>C..60 </v>
          </cell>
        </row>
        <row r="70">
          <cell r="B70" t="str">
            <v>002023</v>
          </cell>
          <cell r="C70" t="str">
            <v>地税证号</v>
          </cell>
          <cell r="D70" t="str">
            <v>Local tax number</v>
          </cell>
          <cell r="E70" t="str">
            <v>已登记统一社会信用代码的，填18位统一社会信用代码；未登记统一社会信用代码的，按原有方式填写。</v>
          </cell>
          <cell r="F70" t="str">
            <v>C..60 </v>
          </cell>
        </row>
        <row r="71">
          <cell r="B71" t="str">
            <v>002024</v>
          </cell>
          <cell r="C71" t="str">
            <v>信用评级结果</v>
          </cell>
          <cell r="D71" t="str">
            <v>Credit level result </v>
          </cell>
          <cell r="E71" t="str">
            <v>指银行内部对该对公客户的信用评级结果。银行对对公客户不进行信用评级的，不填报。</v>
          </cell>
          <cell r="F71" t="str">
            <v>C..200</v>
          </cell>
        </row>
        <row r="72">
          <cell r="B72" t="str">
            <v>002025</v>
          </cell>
          <cell r="C72" t="str">
            <v>传真号码</v>
          </cell>
          <cell r="D72" t="str">
            <v>Fax</v>
          </cell>
          <cell r="E72" t="str">
            <v>区号座机电话。</v>
          </cell>
          <cell r="F72" t="str">
            <v>C..30</v>
          </cell>
        </row>
        <row r="73">
          <cell r="B73" t="str">
            <v>002026</v>
          </cell>
          <cell r="C73" t="str">
            <v>人数</v>
          </cell>
          <cell r="D73" t="str">
            <v>Number of people</v>
          </cell>
          <cell r="E73" t="str">
            <v>人。</v>
          </cell>
          <cell r="F73" t="str">
            <v>I..10</v>
          </cell>
        </row>
        <row r="74">
          <cell r="B74" t="str">
            <v>002027</v>
          </cell>
          <cell r="C74" t="str">
            <v>统一社会信用代码</v>
          </cell>
          <cell r="D74" t="str">
            <v>Unified social credit code</v>
          </cell>
          <cell r="E74" t="str">
            <v>已登记统一社会信用代码的，填18位统一社会信用代码；未登记统一社会信用代码的，填组织机构代码。境外金融机构、临时验资户类客户填写默认值0。</v>
          </cell>
          <cell r="F74" t="str">
            <v>C..40</v>
          </cell>
        </row>
        <row r="75">
          <cell r="B75" t="str">
            <v>002028</v>
          </cell>
          <cell r="C75" t="str">
            <v>关联人类别</v>
          </cell>
          <cell r="D75" t="str">
            <v>Associated person type</v>
          </cell>
          <cell r="E75" t="str">
            <v>对公，对私。</v>
          </cell>
          <cell r="F75" t="str">
            <v>C..30</v>
          </cell>
        </row>
        <row r="76">
          <cell r="B76" t="str">
            <v>002029</v>
          </cell>
          <cell r="C76" t="str">
            <v>关系类型</v>
          </cell>
          <cell r="D76" t="str">
            <v>Relationship type</v>
          </cell>
          <cell r="E76" t="str">
            <v>股东，上下游关系，共同出资组建企业关系，亲属关系，担保关系，实际控制人，共同受同一自然人控制，集团成员，法定代表人，董事长（理事长），监事长，总经理，财务主管，个人股东，其他关联关系。同一个人兼任或具有多重关联关系的，分别填报。</v>
          </cell>
          <cell r="F76" t="str">
            <v>C..300</v>
          </cell>
        </row>
        <row r="77">
          <cell r="B77" t="str">
            <v>002030</v>
          </cell>
          <cell r="C77" t="str">
            <v>柜员流水号</v>
          </cell>
          <cell r="D77" t="str">
            <v>Serial number of Teller</v>
          </cell>
          <cell r="E77" t="str">
            <v>一个柜员当日所有交易的笔次顺序。</v>
          </cell>
          <cell r="F77" t="str">
            <v>C..30</v>
          </cell>
        </row>
        <row r="78">
          <cell r="B78" t="str">
            <v>002031</v>
          </cell>
          <cell r="C78" t="str">
            <v>工作单位名称</v>
          </cell>
          <cell r="D78" t="str">
            <v>Name of workplace</v>
          </cell>
          <cell r="E78" t="str">
            <v>按照客户工作单位注册的《营业执照》中的名称填报。</v>
          </cell>
          <cell r="F78" t="str">
            <v>C..200</v>
          </cell>
        </row>
        <row r="79">
          <cell r="B79" t="str">
            <v>002032</v>
          </cell>
          <cell r="C79" t="str">
            <v>工作单位地址</v>
          </cell>
          <cell r="D79" t="str">
            <v>Address of workplace</v>
          </cell>
          <cell r="E79" t="str">
            <v>中文描述。按照客户工作单位注册的《营业执照》中的住所填报，要写明省（区、市）、地（区、市、州、盟）、县（区、市、旗）。</v>
          </cell>
          <cell r="F79" t="str">
            <v>C..400</v>
          </cell>
        </row>
        <row r="80">
          <cell r="B80" t="str">
            <v>002033</v>
          </cell>
          <cell r="C80" t="str">
            <v>企业分类</v>
          </cell>
          <cell r="D80" t="str">
            <v>Enterprise type</v>
          </cell>
          <cell r="E80" t="str">
            <v>参照《统计上大中小微型企业划分办法（2017）》（国统字〔2017〕213号）和《金融业企业划型标准规定》（银发〔2015〕309号）的划分标准进行填报，分为以下枚举类型。
大型企业，中型企业，小型企业，微型企业，机关，事业单位，社会团体，其他组织机构，境外机构。</v>
          </cell>
          <cell r="F80" t="str">
            <v>C..30</v>
          </cell>
        </row>
        <row r="81">
          <cell r="B81" t="str">
            <v>002034</v>
          </cell>
          <cell r="C81" t="str">
            <v>个人客户类型</v>
          </cell>
          <cell r="D81" t="str">
            <v>Customer type of customer</v>
          </cell>
          <cell r="E81" t="str">
            <v>个人客户（自然人），个体工商户，小微企业主，其他-银行自定义类型。无法以枚举类型填报的，以“其他-XX”填报，其中“XX”为银行自定义类型。</v>
          </cell>
          <cell r="F81" t="str">
            <v>C..60</v>
          </cell>
        </row>
        <row r="82">
          <cell r="A82" t="str">
            <v>账户</v>
          </cell>
          <cell r="B82" t="str">
            <v>003</v>
          </cell>
        </row>
        <row r="83">
          <cell r="B83" t="str">
            <v>003001</v>
          </cell>
          <cell r="C83" t="str">
            <v>账号</v>
          </cell>
          <cell r="D83" t="str">
            <v>Account number</v>
          </cell>
          <cell r="E83" t="str">
            <v>系统内最细一级的账号，无唯一性约束，不需要和序号、子序号等做拼接。</v>
          </cell>
          <cell r="F83" t="str">
            <v>C..60</v>
          </cell>
        </row>
        <row r="84">
          <cell r="B84" t="str">
            <v>003002</v>
          </cell>
          <cell r="C84" t="str">
            <v>总账会计科目编号</v>
          </cell>
          <cell r="D84" t="str">
            <v>Subject number of general ledger accounting</v>
          </cell>
          <cell r="E84" t="str">
            <v>机构实际使用的总账会计科目编码。</v>
          </cell>
          <cell r="F84" t="str">
            <v>C..60</v>
          </cell>
        </row>
        <row r="85">
          <cell r="B85" t="str">
            <v>003003</v>
          </cell>
          <cell r="C85" t="str">
            <v>总账会计科目名称</v>
          </cell>
          <cell r="D85" t="str">
            <v>Subject name of general ledger accounting</v>
          </cell>
          <cell r="E85" t="str">
            <v>机构实际使用的总账会计科目编码对应的名称。</v>
          </cell>
          <cell r="F85" t="str">
            <v>C..200</v>
          </cell>
        </row>
        <row r="86">
          <cell r="B86" t="str">
            <v>003004</v>
          </cell>
          <cell r="C86" t="str">
            <v>统计科目编号</v>
          </cell>
          <cell r="D86" t="str">
            <v>Statistic subject number</v>
          </cell>
          <cell r="E86" t="str">
            <v>对应相关人民银行统计科目编号。</v>
          </cell>
          <cell r="F86" t="str">
            <v>C..20</v>
          </cell>
        </row>
        <row r="87">
          <cell r="B87" t="str">
            <v>003005</v>
          </cell>
          <cell r="C87" t="str">
            <v>统计科目名称</v>
          </cell>
          <cell r="D87" t="str">
            <v>Statistic subject name</v>
          </cell>
          <cell r="E87" t="str">
            <v>对应相关人民银行统计科目名称。</v>
          </cell>
          <cell r="F87" t="str">
            <v>C..120</v>
          </cell>
        </row>
        <row r="88">
          <cell r="B88" t="str">
            <v>003006</v>
          </cell>
          <cell r="C88" t="str">
            <v>明细科目编号</v>
          </cell>
          <cell r="D88" t="str">
            <v>Subject number </v>
          </cell>
          <cell r="E88" t="str">
            <v>机构实际使用的明细科目编号。</v>
          </cell>
          <cell r="F88" t="str">
            <v>C..60</v>
          </cell>
        </row>
        <row r="89">
          <cell r="B89" t="str">
            <v>003007</v>
          </cell>
          <cell r="C89" t="str">
            <v>明细科目名称</v>
          </cell>
          <cell r="D89" t="str">
            <v>Subject name </v>
          </cell>
          <cell r="E89" t="str">
            <v>机构实际使用的明细科目名称。</v>
          </cell>
          <cell r="F89" t="str">
            <v>C..300</v>
          </cell>
        </row>
        <row r="90">
          <cell r="B90" t="str">
            <v>003008</v>
          </cell>
          <cell r="C90" t="str">
            <v>总账会计科目级次</v>
          </cell>
          <cell r="D90" t="str">
            <v>Subject grade of general ledger accounting</v>
          </cell>
          <cell r="E90" t="str">
            <v>总账会计科目编号在科目结构中所对应的级次。</v>
          </cell>
          <cell r="F90" t="str">
            <v>I..2</v>
          </cell>
        </row>
        <row r="91">
          <cell r="B91" t="str">
            <v>003009</v>
          </cell>
          <cell r="C91" t="str">
            <v>总账会计科目类型</v>
          </cell>
          <cell r="D91" t="str">
            <v>Subject type of general ledger accounting</v>
          </cell>
          <cell r="E91" t="str">
            <v>1资产，2负债，3所有者权益，4损益，5资产负债共同类，6表外，7其他</v>
          </cell>
          <cell r="F91" t="str">
            <v>C..60</v>
          </cell>
        </row>
        <row r="92">
          <cell r="B92" t="str">
            <v>003010</v>
          </cell>
          <cell r="C92" t="str">
            <v>借贷标志</v>
          </cell>
          <cell r="D92" t="str">
            <v>D.C. flag</v>
          </cell>
          <cell r="E92" t="str">
            <v>借，贷，借贷并列。</v>
          </cell>
          <cell r="F92" t="str">
            <v>C..12</v>
          </cell>
        </row>
        <row r="93">
          <cell r="B93" t="str">
            <v>003011</v>
          </cell>
          <cell r="C93" t="str">
            <v>金额</v>
          </cell>
          <cell r="D93" t="str">
            <v>Amount</v>
          </cell>
          <cell r="E93" t="str">
            <v>元。</v>
          </cell>
          <cell r="F93" t="str">
            <v>D20.2</v>
          </cell>
        </row>
        <row r="94">
          <cell r="B94" t="str">
            <v>003012</v>
          </cell>
          <cell r="C94" t="str">
            <v>余额</v>
          </cell>
          <cell r="D94" t="str">
            <v>Balance</v>
          </cell>
          <cell r="E94" t="str">
            <v>元。</v>
          </cell>
          <cell r="F94" t="str">
            <v>D20.2</v>
          </cell>
        </row>
        <row r="95">
          <cell r="B95" t="str">
            <v>003013</v>
          </cell>
          <cell r="C95" t="str">
            <v>额度 </v>
          </cell>
          <cell r="D95" t="str">
            <v>Limit</v>
          </cell>
          <cell r="E95" t="str">
            <v>元。</v>
          </cell>
          <cell r="F95" t="str">
            <v>D20.2</v>
          </cell>
        </row>
        <row r="96">
          <cell r="B96" t="str">
            <v>003014</v>
          </cell>
          <cell r="C96" t="str">
            <v>手续费</v>
          </cell>
          <cell r="D96" t="str">
            <v>Commission</v>
          </cell>
          <cell r="E96" t="str">
            <v>元。</v>
          </cell>
          <cell r="F96" t="str">
            <v>D20.2</v>
          </cell>
        </row>
        <row r="97">
          <cell r="B97" t="str">
            <v>003015</v>
          </cell>
          <cell r="C97" t="str">
            <v>手续费率</v>
          </cell>
          <cell r="D97" t="str">
            <v>Commission rate</v>
          </cell>
          <cell r="E97" t="str">
            <v>百分比为单位，即1/100。</v>
          </cell>
          <cell r="F97" t="str">
            <v>D10.6</v>
          </cell>
        </row>
        <row r="98">
          <cell r="B98" t="str">
            <v>003016</v>
          </cell>
          <cell r="C98" t="str">
            <v>币种</v>
          </cell>
          <cell r="D98" t="str">
            <v>Currency</v>
          </cell>
          <cell r="E98" t="str">
            <v>遵循《GB/T 12406-2008 表示货币和资金的代码》的字母代码，如CNY。</v>
          </cell>
          <cell r="F98" t="str">
            <v>C3</v>
          </cell>
        </row>
        <row r="99">
          <cell r="B99" t="str">
            <v>003017</v>
          </cell>
          <cell r="C99" t="str">
            <v>归并口径</v>
          </cell>
          <cell r="D99" t="str">
            <v>Merge requirement</v>
          </cell>
          <cell r="E99" t="str">
            <v>该会计科目或统计科目如何由明细科目计算的公式。</v>
          </cell>
          <cell r="F99" t="str">
            <v>C..2000</v>
          </cell>
        </row>
        <row r="100">
          <cell r="B100" t="str">
            <v>003018</v>
          </cell>
          <cell r="C100" t="str">
            <v>口径说明</v>
          </cell>
          <cell r="D100" t="str">
            <v>Illustration</v>
          </cell>
          <cell r="E100" t="str">
            <v>该会计科目或统计科目如何由明细科目计算的文字说明，与归并口径不能同时为空。文字描述清晰，便于实际操作参考。</v>
          </cell>
          <cell r="F100" t="str">
            <v>C..2000</v>
          </cell>
        </row>
        <row r="101">
          <cell r="B101" t="str">
            <v>003019</v>
          </cell>
          <cell r="C101" t="str">
            <v>账户名称</v>
          </cell>
          <cell r="D101" t="str">
            <v>Account name</v>
          </cell>
          <cell r="E101" t="str">
            <v>账户归属者的名称。客户是境内涉密法人的，账户名称填报为“*********”。</v>
          </cell>
          <cell r="F101" t="str">
            <v>C..200</v>
          </cell>
        </row>
        <row r="102">
          <cell r="B102" t="str">
            <v>003020</v>
          </cell>
          <cell r="C102" t="str">
            <v>个人活期存款账户类型</v>
          </cell>
          <cell r="D102" t="str">
            <v>Type of individual current deposit account</v>
          </cell>
          <cell r="E102" t="str">
            <v>个人活期存款账户的类别。I类户,II类户,III类户,外币活期，非结算，其他户-银行自定义。</v>
          </cell>
          <cell r="F102" t="str">
            <v>C..60</v>
          </cell>
        </row>
        <row r="103">
          <cell r="B103" t="str">
            <v>003021</v>
          </cell>
          <cell r="C103" t="str">
            <v>分类账号类型</v>
          </cell>
          <cell r="D103" t="str">
            <v>Type of account number</v>
          </cell>
          <cell r="E103" t="str">
            <v>借记卡，存折，存单，其他。</v>
          </cell>
          <cell r="F103" t="str">
            <v>C..30</v>
          </cell>
        </row>
        <row r="104">
          <cell r="B104" t="str">
            <v>003022</v>
          </cell>
          <cell r="C104" t="str">
            <v>账户状态</v>
          </cell>
          <cell r="D104" t="str">
            <v>Account state</v>
          </cell>
          <cell r="E104" t="str">
            <v>正常，预开户，司法冻结-部分冻结，司法冻结-全额冻结，挂失冻结，其他冻结，暂停非柜面业务，睡眠户，久悬户，预销户，销户，其他-银行自定义账户状态。</v>
          </cell>
          <cell r="F104" t="str">
            <v>C..60</v>
          </cell>
        </row>
        <row r="105">
          <cell r="B105" t="str">
            <v>003023</v>
          </cell>
          <cell r="C105" t="str">
            <v>钞汇类别</v>
          </cell>
          <cell r="D105" t="str">
            <v>Cash or remittance</v>
          </cell>
          <cell r="E105" t="str">
            <v>人民币，钞，汇，可钞可汇等。</v>
          </cell>
          <cell r="F105" t="str">
            <v>C..12</v>
          </cell>
        </row>
        <row r="106">
          <cell r="B106" t="str">
            <v>003024</v>
          </cell>
          <cell r="C106" t="str">
            <v>个人定期存款账户类型</v>
          </cell>
          <cell r="D106" t="str">
            <v>Type of individual term deposit account</v>
          </cell>
          <cell r="E106" t="str">
            <v>个人定期存款，定活两便存款，个人通知存款，个人协议存款，个人协定存款，个人保证金存款，个人结构性存款（不含保本理财），个人其他存款。
与1104报表G01_III中[2.2 个人存款]项的填报口径保持一致。</v>
          </cell>
          <cell r="F106" t="str">
            <v>C..60</v>
          </cell>
        </row>
        <row r="107">
          <cell r="B107" t="str">
            <v>003025</v>
          </cell>
          <cell r="C107" t="str">
            <v>存款期限</v>
          </cell>
          <cell r="D107" t="str">
            <v>Deposit term</v>
          </cell>
          <cell r="E107" t="str">
            <v>1天通知，7天通知，1个月，3个月，6个月，12个月，18个月，24个月，36个月，60个月，72个月，80个月，不固定，其他期限。</v>
          </cell>
          <cell r="F107" t="str">
            <v>C..20</v>
          </cell>
        </row>
        <row r="108">
          <cell r="B108" t="str">
            <v>003026</v>
          </cell>
          <cell r="C108" t="str">
            <v>对公活期存款账户类型</v>
          </cell>
          <cell r="D108" t="str">
            <v>Type of corporation current deposit</v>
          </cell>
          <cell r="E108" t="str">
            <v>人民币：基本户，一般户，专用户，临时户，临时户（验资注册），临时户（验资增资），待核准账户，人民币保证金账户，同业存款账户，委贷基金账户。
外币：经常-结算户，经常-保税监管区结算户，经常-离岸户，经常-其他，资本-资本金户，资本-保税监管资本金户，资本-股本金户，资本-外债专户，资本-其他，外汇贷转存专户，外汇待核查户。</v>
          </cell>
          <cell r="F108" t="str">
            <v>C..60</v>
          </cell>
        </row>
        <row r="109">
          <cell r="B109" t="str">
            <v>003027</v>
          </cell>
          <cell r="C109" t="str">
            <v>利息</v>
          </cell>
          <cell r="D109" t="str">
            <v>Interest</v>
          </cell>
          <cell r="E109" t="str">
            <v>元。</v>
          </cell>
          <cell r="F109" t="str">
            <v>D20.2</v>
          </cell>
        </row>
        <row r="110">
          <cell r="B110" t="str">
            <v>003028</v>
          </cell>
          <cell r="C110" t="str">
            <v>利率</v>
          </cell>
          <cell r="D110" t="str">
            <v>Interest rate</v>
          </cell>
          <cell r="E110" t="str">
            <v>百分比为单位，即1/100，一般为年利。</v>
          </cell>
          <cell r="F110" t="str">
            <v>D10.6</v>
          </cell>
        </row>
        <row r="111">
          <cell r="B111" t="str">
            <v>003029</v>
          </cell>
          <cell r="C111" t="str">
            <v>对公定期存款账户类型</v>
          </cell>
          <cell r="D111" t="str">
            <v>Type of corporation time deposit</v>
          </cell>
          <cell r="E111" t="str">
            <v>单位定期存款，单位通知存款，单位协议存款，单位协定存款，单位保证金存款，单位结构性存款（不含保本理财），单位其他存款。
与1104报表G01_III中[2.1 单位存款]项的填报口径保持一致。</v>
          </cell>
          <cell r="F111" t="str">
            <v>C..60</v>
          </cell>
        </row>
        <row r="112">
          <cell r="B112" t="str">
            <v>003030</v>
          </cell>
          <cell r="C112" t="str">
            <v>内部分户账账户类型</v>
          </cell>
          <cell r="D112" t="str">
            <v>Type of Internal subsidiary ledger account</v>
          </cell>
          <cell r="E112" t="str">
            <v>中文描述，银行自定义。</v>
          </cell>
          <cell r="F112" t="str">
            <v>C..60</v>
          </cell>
        </row>
        <row r="113">
          <cell r="B113" t="str">
            <v>003031</v>
          </cell>
          <cell r="C113" t="str">
            <v>计息方式</v>
          </cell>
          <cell r="D113" t="str">
            <v>Interest method</v>
          </cell>
          <cell r="E113" t="str">
            <v>利息的计算方法，按月结息，按季结息，按半年结息，按年结息，不定期结息，不记利息，利随本清，其他-银行自定义。</v>
          </cell>
          <cell r="F113" t="str">
            <v>C..30</v>
          </cell>
        </row>
        <row r="114">
          <cell r="B114" t="str">
            <v>003032</v>
          </cell>
          <cell r="C114" t="str">
            <v>借据号</v>
          </cell>
          <cell r="D114" t="str">
            <v>Duebill number</v>
          </cell>
          <cell r="E114" t="str">
            <v>借据统一编号。</v>
          </cell>
          <cell r="F114" t="str">
            <v>C..100</v>
          </cell>
        </row>
        <row r="115">
          <cell r="B115" t="str">
            <v>003033</v>
          </cell>
          <cell r="C115" t="str">
            <v>合同号</v>
          </cell>
          <cell r="D115" t="str">
            <v>Contract number</v>
          </cell>
          <cell r="E115" t="str">
            <v>合同号。</v>
          </cell>
          <cell r="F115" t="str">
            <v>C..100</v>
          </cell>
        </row>
        <row r="116">
          <cell r="B116" t="str">
            <v>003034</v>
          </cell>
          <cell r="C116" t="str">
            <v>贷款五级分类</v>
          </cell>
          <cell r="D116" t="str">
            <v>The five category assets classification for bank loans</v>
          </cell>
          <cell r="E116" t="str">
            <v>正常，关注，次级，可疑，损失。</v>
          </cell>
          <cell r="F116" t="str">
            <v>C6</v>
          </cell>
        </row>
        <row r="117">
          <cell r="B117" t="str">
            <v>003035</v>
          </cell>
          <cell r="C117" t="str">
            <v>还款账号</v>
          </cell>
          <cell r="D117" t="str">
            <v>Repay number</v>
          </cell>
          <cell r="E117" t="str">
            <v>用于扣划本金或利息的客户存款账号。</v>
          </cell>
          <cell r="F117" t="str">
            <v>C..60</v>
          </cell>
        </row>
        <row r="118">
          <cell r="B118" t="str">
            <v>003036</v>
          </cell>
          <cell r="C118" t="str">
            <v>会计周期</v>
          </cell>
          <cell r="D118" t="str">
            <v>Accounting cycle</v>
          </cell>
          <cell r="E118" t="str">
            <v>1日报，2月报，3季报，4半年报，5年报</v>
          </cell>
          <cell r="F118" t="str">
            <v>C..20</v>
          </cell>
        </row>
        <row r="119">
          <cell r="B119" t="str">
            <v>003037</v>
          </cell>
          <cell r="C119" t="str">
            <v>业务类型</v>
          </cell>
          <cell r="D119" t="str">
            <v>Business type</v>
          </cell>
          <cell r="E119" t="str">
            <v>银行业务类型，内容同总账会计科目类型</v>
          </cell>
          <cell r="F119" t="str">
            <v>C..60</v>
          </cell>
        </row>
        <row r="120">
          <cell r="B120" t="str">
            <v>003038</v>
          </cell>
          <cell r="C120" t="str">
            <v>子业务类型</v>
          </cell>
          <cell r="D120" t="str">
            <v>Sub business type</v>
          </cell>
          <cell r="E120" t="str">
            <v>资产类业务子类：1现金，2贵金属，3存放中央银行款项，4存放同业款项，5应收利息，6贷款，7贸易融资，8贴现及买断式转贴现，9拆放同业，10其他应收款，11投资，12买入返售资产，13长期待摊费用，14固定资产净值，15固定资产清理，16在建工程，17无形资产，18抵债资产，19递延所得税资产，20其他资产，21减：各项资产减值损失准备；负债类业务子类：22单位存款，23储蓄存款，24向中央银行借款，25同业存放款项，26同业拆入，27卖出回购款项，28汇出汇款，29应解汇款，30存入保证金，31应付利息，32应交税费，33应付职工薪酬，34应付股利，35其他应付款，36递延收益,37预计负债，38应付债券，39其他负债，40递延所得税负债；所有者权益类业务子类：41实收资本，42资本公积，43盈余公积，44一般风险准备，45信托赔偿准备，46未分配利润，47其他综合收益，48其他权益工具；表外业务类别：49承兑汇票，50跟单信用证，51保函，52信用风险仍在银行的销售与购买协议，53其他担保类业务，54可随时无条件撤销的贷款承诺，55不可无条件撤销的贷款承诺，56未使用的信用卡授信额度，57其他承诺，58发行非保本理财产品，59委托贷款，60委托投资，61代理代销业务，62资产托管，63其他金融资产服务业务，64金融衍生品类。
与1104报表G01和G01_I的填报口径保持一致，主要类业务未覆盖的一级科目及其余科目为空。归属多个业务子类时使用英文半角分号隔开，按照数字代码报送。</v>
          </cell>
          <cell r="F120" t="str">
            <v>C..60</v>
          </cell>
        </row>
        <row r="121">
          <cell r="B121" t="str">
            <v>003039</v>
          </cell>
          <cell r="C121" t="str">
            <v>交易借贷标志</v>
          </cell>
          <cell r="D121" t="str">
            <v>Debit record or Credit   record flag</v>
          </cell>
          <cell r="E121" t="str">
            <v>借，贷。</v>
          </cell>
          <cell r="F121" t="str">
            <v>C..4</v>
          </cell>
        </row>
        <row r="122">
          <cell r="B122" t="str">
            <v>003040</v>
          </cell>
          <cell r="C122" t="str">
            <v>外部账号</v>
          </cell>
          <cell r="D122" t="str">
            <v>Outer account number</v>
          </cell>
          <cell r="E122" t="str">
            <v>报送跟个人内部活期存款账户相对应的卡号、折号或客户账号。对公报送活期存款账户对应的客户账号。</v>
          </cell>
          <cell r="F122" t="str">
            <v>C..60</v>
          </cell>
        </row>
        <row r="123">
          <cell r="B123" t="str">
            <v>003041</v>
          </cell>
          <cell r="C123" t="str">
            <v>会计核算方式</v>
          </cell>
          <cell r="D123" t="str">
            <v>Accounting type</v>
          </cell>
          <cell r="E123" t="str">
            <v>表内,表外,表内及表外</v>
          </cell>
          <cell r="F123" t="str">
            <v>C..30</v>
          </cell>
        </row>
        <row r="124">
          <cell r="A124" t="str">
            <v>交易流水信息</v>
          </cell>
          <cell r="B124" t="str">
            <v>004</v>
          </cell>
        </row>
        <row r="125">
          <cell r="B125" t="str">
            <v>004001</v>
          </cell>
          <cell r="C125" t="str">
            <v>核心交易流水号</v>
          </cell>
          <cell r="D125" t="str">
            <v>Serial number of core trading</v>
          </cell>
          <cell r="E125" t="str">
            <v>如核心交易流水号不能唯一识别，则加上日期。</v>
          </cell>
          <cell r="F125" t="str">
            <v>C..60</v>
          </cell>
        </row>
        <row r="126">
          <cell r="B126" t="str">
            <v>004002</v>
          </cell>
          <cell r="C126" t="str">
            <v>子交易流水号</v>
          </cell>
          <cell r="D126" t="str">
            <v>Serial number of sub trading</v>
          </cell>
          <cell r="E126" t="str">
            <v>子交易流水号，或分录交易流水号。</v>
          </cell>
          <cell r="F126" t="str">
            <v>C..30</v>
          </cell>
        </row>
        <row r="127">
          <cell r="B127" t="str">
            <v>004003</v>
          </cell>
          <cell r="C127" t="str">
            <v>笔次序号</v>
          </cell>
          <cell r="D127" t="str">
            <v>Serial number of trading</v>
          </cell>
          <cell r="E127" t="str">
            <v>笔次序号。批量业务执行时的执行序号。</v>
          </cell>
          <cell r="F127" t="str">
            <v>C..30</v>
          </cell>
        </row>
        <row r="128">
          <cell r="B128" t="str">
            <v>004004</v>
          </cell>
          <cell r="C128" t="str">
            <v>凭证号</v>
          </cell>
          <cell r="D128" t="str">
            <v>Voucher number</v>
          </cell>
          <cell r="E128" t="str">
            <v>凭证号。</v>
          </cell>
          <cell r="F128" t="str">
            <v>C..60</v>
          </cell>
        </row>
        <row r="129">
          <cell r="B129" t="str">
            <v>004005</v>
          </cell>
          <cell r="C129" t="str">
            <v>交易类型</v>
          </cell>
          <cell r="D129" t="str">
            <v>Trading type</v>
          </cell>
          <cell r="E129" t="str">
            <v>一般转账，代发，代扣，代缴，批量交易，还款，贷款发放，银证转账，其他-银行自定义类型。无法以枚举类型填报的，以“其他-XX”报送，其中“XX”为银行自定义类型。</v>
          </cell>
          <cell r="F129" t="str">
            <v>C..60</v>
          </cell>
        </row>
        <row r="130">
          <cell r="B130" t="str">
            <v>004006</v>
          </cell>
          <cell r="C130" t="str">
            <v>交易渠道</v>
          </cell>
          <cell r="D130" t="str">
            <v>Trading channel</v>
          </cell>
          <cell r="E130" t="str">
            <v>柜面，ATM，VTM，POS，网银，手机银行，同业清算，SWIFT，银证业务，网联支付，云闪付，银联无卡交易，其他-银行自定义渠道。</v>
          </cell>
          <cell r="F130" t="str">
            <v>C..60</v>
          </cell>
        </row>
        <row r="131">
          <cell r="B131" t="str">
            <v>004007</v>
          </cell>
          <cell r="C131" t="str">
            <v>交易介质名称</v>
          </cell>
          <cell r="D131" t="str">
            <v>Trading media name</v>
          </cell>
          <cell r="E131" t="str">
            <v>卡，折，单，其他。</v>
          </cell>
          <cell r="F131" t="str">
            <v>C..6</v>
          </cell>
        </row>
        <row r="132">
          <cell r="B132" t="str">
            <v>004008</v>
          </cell>
          <cell r="C132" t="str">
            <v>交易介质号</v>
          </cell>
          <cell r="D132" t="str">
            <v>Trading media number</v>
          </cell>
          <cell r="E132" t="str">
            <v>卡、折、单及其他对应介质号码</v>
          </cell>
          <cell r="F132" t="str">
            <v>C..60</v>
          </cell>
        </row>
        <row r="133">
          <cell r="B133" t="str">
            <v>004009</v>
          </cell>
          <cell r="C133" t="str">
            <v>现转标志</v>
          </cell>
          <cell r="D133" t="str">
            <v>Cash or transfer</v>
          </cell>
          <cell r="E133" t="str">
            <v>现，转。</v>
          </cell>
          <cell r="F133" t="str">
            <v>C..4</v>
          </cell>
        </row>
        <row r="134">
          <cell r="B134" t="str">
            <v>004010</v>
          </cell>
          <cell r="C134" t="str">
            <v>摘要</v>
          </cell>
          <cell r="D134" t="str">
            <v>Memo</v>
          </cell>
          <cell r="E134" t="str">
            <v>交易内容的中文简要描述。填报转账凭证上的备注、附注、摘要。</v>
          </cell>
          <cell r="F134" t="str">
            <v>C..400</v>
          </cell>
        </row>
        <row r="135">
          <cell r="B135" t="str">
            <v>004011</v>
          </cell>
          <cell r="C135" t="str">
            <v>冲补抹标志</v>
          </cell>
          <cell r="D135" t="str">
            <v>Regular, strike, mend</v>
          </cell>
          <cell r="E135" t="str">
            <v>正常，冲账，补账，抹账。</v>
          </cell>
          <cell r="F135" t="str">
            <v>C..10</v>
          </cell>
        </row>
        <row r="136">
          <cell r="B136" t="str">
            <v>004012</v>
          </cell>
          <cell r="C136" t="str">
            <v>交易系统名称</v>
          </cell>
          <cell r="D136" t="str">
            <v>Trading system name</v>
          </cell>
          <cell r="E136" t="str">
            <v>中文描述或中文字典，银行自定义。</v>
          </cell>
          <cell r="F136" t="str">
            <v>C..60</v>
          </cell>
        </row>
        <row r="137">
          <cell r="A137" t="str">
            <v>　</v>
          </cell>
          <cell r="B137" t="str">
            <v>004013</v>
          </cell>
          <cell r="C137" t="str">
            <v>业务类型</v>
          </cell>
          <cell r="D137" t="str">
            <v>Business type</v>
          </cell>
          <cell r="E137" t="str">
            <v>中文描述，以银行电子字典定义为准。</v>
          </cell>
          <cell r="F137" t="str">
            <v>C..60</v>
          </cell>
        </row>
        <row r="138">
          <cell r="B138" t="str">
            <v>004014</v>
          </cell>
          <cell r="C138" t="str">
            <v>凭证种类</v>
          </cell>
          <cell r="D138" t="str">
            <v>Voucher type</v>
          </cell>
          <cell r="E138" t="str">
            <v>中文描述或中文字典，银行自定义。</v>
          </cell>
          <cell r="F138" t="str">
            <v>C..30</v>
          </cell>
        </row>
        <row r="139">
          <cell r="B139" t="str">
            <v>004015</v>
          </cell>
          <cell r="C139" t="str">
            <v>账户标志</v>
          </cell>
          <cell r="D139" t="str">
            <v>Corporation or individual</v>
          </cell>
          <cell r="E139" t="str">
            <v>对公，对私，内部。</v>
          </cell>
          <cell r="F139" t="str">
            <v>C6</v>
          </cell>
        </row>
        <row r="140">
          <cell r="B140" t="str">
            <v>004016</v>
          </cell>
          <cell r="C140" t="str">
            <v>开销户标志</v>
          </cell>
          <cell r="D140" t="str">
            <v>Open or close</v>
          </cell>
          <cell r="E140" t="str">
            <v>开户，销户。</v>
          </cell>
          <cell r="F140" t="str">
            <v>C6</v>
          </cell>
        </row>
        <row r="141">
          <cell r="B141" t="str">
            <v>004017</v>
          </cell>
          <cell r="C141" t="str">
            <v>卡片交易类型</v>
          </cell>
          <cell r="D141" t="str">
            <v>Card trading type</v>
          </cell>
          <cell r="E141" t="str">
            <v>现金交易，还款交易，消费交易，转账交易，其他-银行自定义类型。</v>
          </cell>
          <cell r="F141" t="str">
            <v>C..60</v>
          </cell>
        </row>
        <row r="142">
          <cell r="A142" t="str">
            <v>授信交易对手信息</v>
          </cell>
          <cell r="B142" t="str">
            <v>005</v>
          </cell>
        </row>
        <row r="143">
          <cell r="B143" t="str">
            <v>005001</v>
          </cell>
          <cell r="C143" t="str">
            <v>产品名称</v>
          </cell>
          <cell r="D143" t="str">
            <v>Product name</v>
          </cell>
          <cell r="E143" t="str">
            <v>银行内部产品中文名称，银行自定义。</v>
          </cell>
          <cell r="F143" t="str">
            <v>C..200</v>
          </cell>
        </row>
        <row r="144">
          <cell r="B144" t="str">
            <v>005002</v>
          </cell>
          <cell r="C144" t="str">
            <v>贷款新规种类</v>
          </cell>
          <cell r="D144" t="str">
            <v>Loan type (New)</v>
          </cell>
          <cell r="E144" t="str">
            <v>按三办法一指引分类，个贷，固贷和流贷。</v>
          </cell>
          <cell r="F144" t="str">
            <v>C..30</v>
          </cell>
        </row>
        <row r="145">
          <cell r="B145" t="str">
            <v>005003</v>
          </cell>
          <cell r="C145" t="str">
            <v>信贷业务种类</v>
          </cell>
          <cell r="D145" t="str">
            <v>Loan business type</v>
          </cell>
          <cell r="E145" t="str">
            <v>填报该笔贷款所属的业务类型。流动资金贷款，项目贷款，一般固定资产贷款（除项目贷款外的固定资产贷款），住房贷款，商用房贷款，公积金贷款，汽车贷款，助学贷款，消费贷款，个人经营性贷款，农户贷款，委托贷款，其他-银行自定义类型。
以枚举类型填报，如无法以枚举类型填报，则以“其他-XX”填报，其中“XX”为银行自定义类型。</v>
          </cell>
          <cell r="F145" t="str">
            <v>C..100</v>
          </cell>
        </row>
        <row r="146">
          <cell r="B146" t="str">
            <v>005004</v>
          </cell>
          <cell r="C146" t="str">
            <v>利率浮动</v>
          </cell>
          <cell r="D146" t="str">
            <v>Rate float</v>
          </cell>
          <cell r="E146" t="str">
            <v>基准点为单位。浮动比例与上浮比例均折算点数填报。如上浮1%是填100.00，下浮1%是填-100.00，精确到小数点后2位。如果利率类型是固定利率，则利率浮动填写0.00。如利率类型是浮动利率，则与利率基准结合进行计算。</v>
          </cell>
          <cell r="F146" t="str">
            <v>D8.5</v>
          </cell>
        </row>
        <row r="147">
          <cell r="B147" t="str">
            <v>005005</v>
          </cell>
          <cell r="C147" t="str">
            <v>主要担保方式</v>
          </cell>
          <cell r="D147" t="str">
            <v>Main guarantee way</v>
          </cell>
          <cell r="E147" t="str">
            <v>质押（含保证金），抵押，保证，信用，其他。</v>
          </cell>
          <cell r="F147" t="str">
            <v>C..60 </v>
          </cell>
        </row>
        <row r="148">
          <cell r="B148" t="str">
            <v>005006</v>
          </cell>
          <cell r="C148" t="str">
            <v>放款方式</v>
          </cell>
          <cell r="D148" t="str">
            <v>Distribute way</v>
          </cell>
          <cell r="E148" t="str">
            <v>自主支付，受托支付，混合支付。</v>
          </cell>
          <cell r="F148" t="str">
            <v>C12</v>
          </cell>
        </row>
        <row r="149">
          <cell r="B149" t="str">
            <v>005007</v>
          </cell>
          <cell r="C149" t="str">
            <v>资金来源</v>
          </cell>
          <cell r="D149" t="str">
            <v>Capital source</v>
          </cell>
          <cell r="E149" t="str">
            <v>中文字典或中文描述，银行自定义。</v>
          </cell>
          <cell r="F149" t="str">
            <v>C..100</v>
          </cell>
        </row>
        <row r="150">
          <cell r="B150" t="str">
            <v>005008</v>
          </cell>
          <cell r="C150" t="str">
            <v>贷款用途</v>
          </cell>
          <cell r="D150" t="str">
            <v>Loan purpose</v>
          </cell>
          <cell r="E150" t="str">
            <v>贷款使用的具体内容。</v>
          </cell>
          <cell r="F150" t="str">
            <v>C..400</v>
          </cell>
        </row>
        <row r="151">
          <cell r="B151" t="str">
            <v>005009</v>
          </cell>
          <cell r="C151" t="str">
            <v>贷款投向行业</v>
          </cell>
          <cell r="D151" t="str">
            <v>Invest industry</v>
          </cell>
          <cell r="E151" t="str">
            <v>依据《国民经济行业分类》（GB/T 4754）标准，填报该笔贷款投向行业的代码。原则上应填至小类代码（一位字母和四位数字），确有填写困难的至少应填至大类（一位字母和两位数字）。如行业投向是稻谷种植的，则应填写A0111；若数据不支持，无法填写至小类的应填至大类A01。贴现、流动资金贷款、表外形成的垫款等无法确定实际投向的，应按照客户主营业务所属行业填报。转贴现可不填写贷款投向行业。投向境外的贷款按“境外”填报。</v>
          </cell>
          <cell r="F151" t="str">
            <v>C..100</v>
          </cell>
        </row>
        <row r="152">
          <cell r="B152" t="str">
            <v>005010</v>
          </cell>
          <cell r="C152" t="str">
            <v>项目名称</v>
          </cell>
          <cell r="D152" t="str">
            <v>Project name</v>
          </cell>
          <cell r="E152" t="str">
            <v>项目贷款名称。</v>
          </cell>
          <cell r="F152" t="str">
            <v>C..100 </v>
          </cell>
        </row>
        <row r="153">
          <cell r="B153" t="str">
            <v>005011</v>
          </cell>
          <cell r="C153" t="str">
            <v>项目类型</v>
          </cell>
          <cell r="D153" t="str">
            <v>Project type</v>
          </cell>
          <cell r="E153" t="str">
            <v>中文描述，以项目融资指引为准，建造一个或一组大型生产装置、基础设施、房地产项目或其他项目，包括对在建或已建项目的再融资。</v>
          </cell>
          <cell r="F153" t="str">
            <v>C..100</v>
          </cell>
        </row>
        <row r="154">
          <cell r="B154" t="str">
            <v>005012</v>
          </cell>
          <cell r="C154" t="str">
            <v>项目贷款期限</v>
          </cell>
          <cell r="D154" t="str">
            <v>Term of project loan</v>
          </cell>
          <cell r="E154" t="str">
            <v>借款合同约定起止期限。YYYYMMDD-YYYYMMDD。</v>
          </cell>
          <cell r="F154" t="str">
            <v>C..30</v>
          </cell>
        </row>
        <row r="155">
          <cell r="B155" t="str">
            <v>005013</v>
          </cell>
          <cell r="C155" t="str">
            <v>批文文号</v>
          </cell>
          <cell r="D155" t="str">
            <v>Approval number</v>
          </cell>
          <cell r="E155" t="str">
            <v>银行自定义。</v>
          </cell>
          <cell r="F155" t="str">
            <v>C..60 </v>
          </cell>
        </row>
        <row r="156">
          <cell r="B156" t="str">
            <v>005014</v>
          </cell>
          <cell r="C156" t="str">
            <v>立项批文</v>
          </cell>
          <cell r="D156" t="str">
            <v>Project approval</v>
          </cell>
          <cell r="E156" t="str">
            <v>批文名称，可银行自定义。</v>
          </cell>
          <cell r="F156" t="str">
            <v>C..60 </v>
          </cell>
        </row>
        <row r="157">
          <cell r="B157" t="str">
            <v>005015</v>
          </cell>
          <cell r="C157" t="str">
            <v>规划许可证编号</v>
          </cell>
          <cell r="D157" t="str">
            <v>Plan permit number</v>
          </cell>
          <cell r="E157" t="str">
            <v>银行自定义。</v>
          </cell>
          <cell r="F157" t="str">
            <v>C..60 </v>
          </cell>
        </row>
        <row r="158">
          <cell r="B158" t="str">
            <v>005016</v>
          </cell>
          <cell r="C158" t="str">
            <v>建设用地许可证编号</v>
          </cell>
          <cell r="D158" t="str">
            <v>Construction land permit number</v>
          </cell>
          <cell r="E158" t="str">
            <v>银行自定义。</v>
          </cell>
          <cell r="F158" t="str">
            <v>C..60 </v>
          </cell>
        </row>
        <row r="159">
          <cell r="B159" t="str">
            <v>005017</v>
          </cell>
          <cell r="C159" t="str">
            <v>环评许可证编号</v>
          </cell>
          <cell r="D159" t="str">
            <v>Environmental assessment permit number</v>
          </cell>
          <cell r="E159" t="str">
            <v>银行自定义。</v>
          </cell>
          <cell r="F159" t="str">
            <v>C..60 </v>
          </cell>
        </row>
        <row r="160">
          <cell r="B160" t="str">
            <v>005018</v>
          </cell>
          <cell r="C160" t="str">
            <v>施工许可证编号</v>
          </cell>
          <cell r="D160" t="str">
            <v>Builder's permit number</v>
          </cell>
          <cell r="E160" t="str">
            <v>银行自定义。</v>
          </cell>
          <cell r="F160" t="str">
            <v>C..60 </v>
          </cell>
        </row>
        <row r="161">
          <cell r="B161" t="str">
            <v>005019</v>
          </cell>
          <cell r="C161" t="str">
            <v>其他许可证</v>
          </cell>
          <cell r="D161" t="str">
            <v>Other permit </v>
          </cell>
          <cell r="E161" t="str">
            <v>银行自定义。</v>
          </cell>
          <cell r="F161" t="str">
            <v>C..60 </v>
          </cell>
        </row>
        <row r="162">
          <cell r="B162" t="str">
            <v>005020</v>
          </cell>
          <cell r="C162" t="str">
            <v>其他许可证编号</v>
          </cell>
          <cell r="D162" t="str">
            <v>Other permit number</v>
          </cell>
          <cell r="E162" t="str">
            <v>银行自定义。</v>
          </cell>
          <cell r="F162" t="str">
            <v>C..60 </v>
          </cell>
        </row>
        <row r="163">
          <cell r="B163" t="str">
            <v>005021</v>
          </cell>
          <cell r="C163" t="str">
            <v>票据号码</v>
          </cell>
          <cell r="D163" t="str">
            <v>Bill number</v>
          </cell>
          <cell r="E163" t="str">
            <v>票据号码。</v>
          </cell>
          <cell r="F163" t="str">
            <v>C..60</v>
          </cell>
        </row>
        <row r="164">
          <cell r="B164" t="str">
            <v>005022</v>
          </cell>
          <cell r="C164" t="str">
            <v>出票人编号</v>
          </cell>
          <cell r="D164" t="str">
            <v>Drawer number</v>
          </cell>
          <cell r="E164" t="str">
            <v>出票人客户编号。</v>
          </cell>
          <cell r="F164" t="str">
            <v>C..60 </v>
          </cell>
        </row>
        <row r="165">
          <cell r="B165" t="str">
            <v>005023</v>
          </cell>
          <cell r="C165" t="str">
            <v>付款行代码</v>
          </cell>
          <cell r="D165" t="str">
            <v>Paying bank number</v>
          </cell>
          <cell r="E165" t="str">
            <v>付款行银行机构代码。</v>
          </cell>
          <cell r="F165" t="str">
            <v>C..30 </v>
          </cell>
        </row>
        <row r="166">
          <cell r="B166" t="str">
            <v>005024</v>
          </cell>
          <cell r="C166" t="str">
            <v>票据类型</v>
          </cell>
          <cell r="D166" t="str">
            <v>Bill type</v>
          </cell>
          <cell r="E166" t="str">
            <v>银行承兑汇票，商业承兑汇票。</v>
          </cell>
          <cell r="F166" t="str">
            <v>C..30</v>
          </cell>
        </row>
        <row r="167">
          <cell r="B167" t="str">
            <v>005025</v>
          </cell>
          <cell r="C167" t="str">
            <v>出票人账号</v>
          </cell>
          <cell r="D167" t="str">
            <v>Drawer account</v>
          </cell>
          <cell r="E167" t="str">
            <v>出票人账号。</v>
          </cell>
          <cell r="F167" t="str">
            <v>C..60 </v>
          </cell>
        </row>
        <row r="168">
          <cell r="B168" t="str">
            <v>005026</v>
          </cell>
          <cell r="C168" t="str">
            <v>保函业务品种</v>
          </cell>
          <cell r="D168" t="str">
            <v>Guarantee business type</v>
          </cell>
          <cell r="E168" t="str">
            <v>融资性保函，借款偿还保函，租金偿还保函，透支归还保函，关税保付保函，补偿贸易保函，付款保函，其他融资性保函，非融资性保函，投标保函， 履约保函，预付款保函，承包工程保函，质量维修保函，海事保函，补偿贸易保函，诉讼保函，留置金保函，加工装配业务进口保函，其他非融资性保函。</v>
          </cell>
          <cell r="F168" t="str">
            <v>C..60 </v>
          </cell>
        </row>
        <row r="169">
          <cell r="B169" t="str">
            <v>005027</v>
          </cell>
          <cell r="C169" t="str">
            <v>贸易融资品种</v>
          </cell>
          <cell r="D169" t="str">
            <v>Trade financing (TF) type</v>
          </cell>
          <cell r="E169" t="str">
            <v>出口合同打包贷款，出口信用证打包贷款，出口信用证押汇，出口信用证押汇（离岸），出口信用证贴现，出口信用证贴现（离岸），出口托收押汇，出口托收押汇（OTS），出口托收贴现，出口托收贴现（OTS），出口商业发票融资，福费廷，福费廷（离岸），货到付款押汇，进口信用证押汇，进口代收押汇，提货担保，提货担保（OTS），备用信用证，备用信用证（OTS），进口信用证，进口信用证（OTS），保理，保兑仓，进口代付，打包贷款，议付/卖方融资，买方融资，国内保理，发票融资，商品融资，保函，其他-银行自定义。</v>
          </cell>
          <cell r="F169" t="str">
            <v>C..60 </v>
          </cell>
        </row>
        <row r="170">
          <cell r="B170" t="str">
            <v>005028</v>
          </cell>
          <cell r="C170" t="str">
            <v>银行国际业务编号</v>
          </cell>
          <cell r="D170" t="str">
            <v>International business number</v>
          </cell>
          <cell r="E170" t="str">
            <v>国结系统产生或根据一定的含义手工编写的业务编号。</v>
          </cell>
          <cell r="F170" t="str">
            <v>C..30</v>
          </cell>
        </row>
        <row r="171">
          <cell r="B171" t="str">
            <v>005029</v>
          </cell>
          <cell r="C171" t="str">
            <v>商业发票号码</v>
          </cell>
          <cell r="D171" t="str">
            <v>Invoice number</v>
          </cell>
          <cell r="E171" t="str">
            <v>贸易背景真实性审查收集的商业发票号码，多张发票以英文半角分号隔开</v>
          </cell>
          <cell r="F171" t="str">
            <v>C..500</v>
          </cell>
        </row>
        <row r="172">
          <cell r="B172" t="str">
            <v>005030</v>
          </cell>
          <cell r="C172" t="str">
            <v>商业发票种类</v>
          </cell>
          <cell r="D172" t="str">
            <v>Invoice type</v>
          </cell>
          <cell r="E172" t="str">
            <v>银行自定义，例如：商业发票，详细发票，证实发票，收妥发票，厂商发票，形式发票，样品发票，领事发票，寄售发票，海关发票</v>
          </cell>
          <cell r="F172" t="str">
            <v>C..60</v>
          </cell>
        </row>
        <row r="173">
          <cell r="B173" t="str">
            <v>005031</v>
          </cell>
          <cell r="C173" t="str">
            <v>福费廷种类</v>
          </cell>
          <cell r="D173" t="str">
            <v>Forfaiting type</v>
          </cell>
          <cell r="E173" t="str">
            <v>自营，转卖，其他。</v>
          </cell>
          <cell r="F173" t="str">
            <v>C..30</v>
          </cell>
        </row>
        <row r="174">
          <cell r="B174" t="str">
            <v>005032</v>
          </cell>
          <cell r="C174" t="str">
            <v>信用证编号</v>
          </cell>
          <cell r="D174" t="str">
            <v>LC number</v>
          </cell>
          <cell r="E174" t="str">
            <v>信用证编号。</v>
          </cell>
          <cell r="F174" t="str">
            <v>C..30</v>
          </cell>
        </row>
        <row r="175">
          <cell r="B175" t="str">
            <v>005033</v>
          </cell>
          <cell r="C175" t="str">
            <v>信用证期限类型</v>
          </cell>
          <cell r="D175" t="str">
            <v>LC term type</v>
          </cell>
          <cell r="E175" t="str">
            <v>即期信用证，远期信用证，假远期信用证。</v>
          </cell>
          <cell r="F175" t="str">
            <v>C..30</v>
          </cell>
        </row>
        <row r="176">
          <cell r="B176" t="str">
            <v>005034</v>
          </cell>
          <cell r="C176" t="str">
            <v>协议类型</v>
          </cell>
          <cell r="D176" t="str">
            <v>Agreement type</v>
          </cell>
          <cell r="E176" t="str">
            <v>中文描述或中文字典，银行自定义。</v>
          </cell>
          <cell r="F176" t="str">
            <v>C..60</v>
          </cell>
        </row>
        <row r="177">
          <cell r="B177" t="str">
            <v>005035</v>
          </cell>
          <cell r="C177" t="str">
            <v>代理参贷标志</v>
          </cell>
          <cell r="D177" t="str">
            <v>Agent loan sign</v>
          </cell>
          <cell r="E177" t="str">
            <v>中文描述或中文字典，银行自定义。</v>
          </cell>
          <cell r="F177" t="str">
            <v>C..60</v>
          </cell>
        </row>
        <row r="178">
          <cell r="B178" t="str">
            <v>005036</v>
          </cell>
          <cell r="C178" t="str">
            <v>协议状态</v>
          </cell>
          <cell r="D178" t="str">
            <v>Agreement state</v>
          </cell>
          <cell r="E178" t="str">
            <v>中文描述或中文字典，银行自定义。</v>
          </cell>
          <cell r="F178" t="str">
            <v>C..60</v>
          </cell>
        </row>
        <row r="179">
          <cell r="B179" t="str">
            <v>005037</v>
          </cell>
          <cell r="C179" t="str">
            <v>手续费方式</v>
          </cell>
          <cell r="D179" t="str">
            <v>Way of submit commission</v>
          </cell>
          <cell r="E179" t="str">
            <v>中文描述或中文字典，银行自定义。</v>
          </cell>
          <cell r="F179" t="str">
            <v>C..60</v>
          </cell>
        </row>
        <row r="180">
          <cell r="B180" t="str">
            <v>005038</v>
          </cell>
          <cell r="C180" t="str">
            <v>贷款期限</v>
          </cell>
          <cell r="D180" t="str">
            <v>Loan term</v>
          </cell>
          <cell r="E180" t="str">
            <v>实际到期日减去起始日，按天表示。</v>
          </cell>
          <cell r="F180" t="str">
            <v>I</v>
          </cell>
        </row>
        <row r="181">
          <cell r="B181" t="str">
            <v>005039</v>
          </cell>
          <cell r="C181" t="str">
            <v>展期次数</v>
          </cell>
          <cell r="D181" t="str">
            <v>Times of loan extension</v>
          </cell>
          <cell r="E181" t="str">
            <v>贷款展期次数，未展期为0。</v>
          </cell>
          <cell r="F181" t="str">
            <v>I..4</v>
          </cell>
        </row>
        <row r="182">
          <cell r="B182" t="str">
            <v>005040</v>
          </cell>
          <cell r="C182" t="str">
            <v>期数</v>
          </cell>
          <cell r="D182" t="str">
            <v>Number of terms</v>
          </cell>
          <cell r="E182" t="str">
            <v>期数。</v>
          </cell>
          <cell r="F182" t="str">
            <v>I..4</v>
          </cell>
        </row>
        <row r="183">
          <cell r="B183" t="str">
            <v>005041</v>
          </cell>
          <cell r="C183" t="str">
            <v>贷款状态</v>
          </cell>
          <cell r="D183" t="str">
            <v>Loan state</v>
          </cell>
          <cell r="E183" t="str">
            <v>中文字典或中文描述，银行自定义，包含核销、转让等状态。</v>
          </cell>
          <cell r="F183" t="str">
            <v>C..100</v>
          </cell>
        </row>
        <row r="184">
          <cell r="B184" t="str">
            <v>005042</v>
          </cell>
          <cell r="C184" t="str">
            <v>贷款类型</v>
          </cell>
          <cell r="D184" t="str">
            <v>Loan type</v>
          </cell>
          <cell r="E184" t="str">
            <v>贷款，贴现，贸易融资，垫款，法人账户透支，信用证，承兑汇票，其他-XX（其他-XX中XX是银行自定义的内容，若无法归类为枚举类型才以该形式填写）</v>
          </cell>
          <cell r="F184" t="str">
            <v>C..100</v>
          </cell>
        </row>
        <row r="185">
          <cell r="B185" t="str">
            <v>005043</v>
          </cell>
          <cell r="C185" t="str">
            <v>还款方式</v>
          </cell>
          <cell r="D185" t="str">
            <v>Repayment way</v>
          </cell>
          <cell r="E185" t="str">
            <v>按月，按季，按半年，按年，利随本清，分期付息一次还本，其他-银行自定义。</v>
          </cell>
          <cell r="F185" t="str">
            <v>C..40</v>
          </cell>
        </row>
        <row r="186">
          <cell r="B186" t="str">
            <v>005044</v>
          </cell>
          <cell r="C186" t="str">
            <v>还款渠道</v>
          </cell>
          <cell r="D186" t="str">
            <v>Repay channel</v>
          </cell>
          <cell r="E186" t="str">
            <v>中文字典或中文描述，银行自定义。</v>
          </cell>
          <cell r="F186" t="str">
            <v>C..100</v>
          </cell>
        </row>
        <row r="187">
          <cell r="B187" t="str">
            <v>005045</v>
          </cell>
          <cell r="C187" t="str">
            <v>担保类型</v>
          </cell>
          <cell r="D187" t="str">
            <v>Guarantee type</v>
          </cell>
          <cell r="E187" t="str">
            <v>担保合同的担保方式。抵押，质押，单人保证，多人保证，多人联保，多人分保，混合。其中：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v>
          </cell>
          <cell r="F187" t="str">
            <v>C..30</v>
          </cell>
        </row>
        <row r="188">
          <cell r="B188" t="str">
            <v>005046</v>
          </cell>
          <cell r="C188" t="str">
            <v>担保合同类型</v>
          </cell>
          <cell r="D188" t="str">
            <v>Guarantee contract type</v>
          </cell>
          <cell r="E188" t="str">
            <v>一般担保合同，最高额担保合同。</v>
          </cell>
          <cell r="F188" t="str">
            <v>C..30</v>
          </cell>
        </row>
        <row r="189">
          <cell r="B189" t="str">
            <v>005047</v>
          </cell>
          <cell r="C189" t="str">
            <v>担保状态</v>
          </cell>
          <cell r="D189" t="str">
            <v>Guarantee state</v>
          </cell>
          <cell r="E189" t="str">
            <v>正常，解除，其他。</v>
          </cell>
          <cell r="F189" t="str">
            <v>C6</v>
          </cell>
        </row>
        <row r="190">
          <cell r="B190" t="str">
            <v>005048</v>
          </cell>
          <cell r="C190" t="str">
            <v>保证人类别</v>
          </cell>
          <cell r="D190" t="str">
            <v>Guarantor type</v>
          </cell>
          <cell r="E190" t="str">
            <v>对公，对私。</v>
          </cell>
          <cell r="F190" t="str">
            <v>C6</v>
          </cell>
        </row>
        <row r="191">
          <cell r="B191" t="str">
            <v>005049</v>
          </cell>
          <cell r="C191" t="str">
            <v>担保合同状态</v>
          </cell>
          <cell r="D191" t="str">
            <v>Guarantee contract state</v>
          </cell>
          <cell r="E191" t="str">
            <v>未签合同，已签合同，已失效。</v>
          </cell>
          <cell r="F191" t="str">
            <v>C..30</v>
          </cell>
        </row>
        <row r="192">
          <cell r="B192" t="str">
            <v>005050</v>
          </cell>
          <cell r="C192" t="str">
            <v>担保物品顺序</v>
          </cell>
          <cell r="D192" t="str">
            <v>Guarantee goods number</v>
          </cell>
          <cell r="E192" t="str">
            <v>既求偿权顺序，中文字典或中文描述，银行自定义。</v>
          </cell>
          <cell r="F192" t="str">
            <v>C..1000</v>
          </cell>
        </row>
        <row r="193">
          <cell r="B193" t="str">
            <v>005051</v>
          </cell>
          <cell r="C193" t="str">
            <v>质或抵押物编号</v>
          </cell>
          <cell r="D193" t="str">
            <v>Pledge or collateral number</v>
          </cell>
          <cell r="E193" t="str">
            <v>因信贷业务而成为质或抵押物的编号。</v>
          </cell>
          <cell r="F193" t="str">
            <v>C..60</v>
          </cell>
        </row>
        <row r="194">
          <cell r="B194" t="str">
            <v>005052</v>
          </cell>
          <cell r="C194" t="str">
            <v>质或抵押物名称</v>
          </cell>
          <cell r="D194" t="str">
            <v>Pledge or collateral name</v>
          </cell>
          <cell r="E194" t="str">
            <v>因信贷业务而成为质或抵押物的名称。</v>
          </cell>
          <cell r="F194" t="str">
            <v>C..1000</v>
          </cell>
        </row>
        <row r="195">
          <cell r="B195" t="str">
            <v>005053</v>
          </cell>
          <cell r="C195" t="str">
            <v>质或抵押物类型</v>
          </cell>
          <cell r="D195" t="str">
            <v>Pledge or collateral type</v>
          </cell>
          <cell r="E195" t="str">
            <v>填报该宗押品的类型。押品分类见《押品分类编码表》。例如，以国债质押的，押品类型应填报为国债。保证人不填报该项指标。</v>
          </cell>
          <cell r="F195" t="str">
            <v>C..300</v>
          </cell>
        </row>
        <row r="196">
          <cell r="B196" t="str">
            <v>005054</v>
          </cell>
          <cell r="C196" t="str">
            <v>质押票证账号</v>
          </cell>
          <cell r="D196" t="str">
            <v>Impawn bill account</v>
          </cell>
          <cell r="E196" t="str">
            <v>质押票证账号。</v>
          </cell>
          <cell r="F196" t="str">
            <v>C..60</v>
          </cell>
        </row>
        <row r="197">
          <cell r="B197" t="str">
            <v>005055</v>
          </cell>
          <cell r="C197" t="str">
            <v>质押票证类型</v>
          </cell>
          <cell r="D197" t="str">
            <v>Impawn bill type</v>
          </cell>
          <cell r="E197" t="str">
            <v>中文字典或中文描述，银行自定义。</v>
          </cell>
          <cell r="F197" t="str">
            <v>C..60</v>
          </cell>
        </row>
        <row r="198">
          <cell r="B198" t="str">
            <v>005056</v>
          </cell>
          <cell r="C198" t="str">
            <v>质押票证号码</v>
          </cell>
          <cell r="D198" t="str">
            <v>Impawn bill number</v>
          </cell>
          <cell r="E198" t="str">
            <v>质押票证号码。</v>
          </cell>
          <cell r="F198" t="str">
            <v>C..300</v>
          </cell>
        </row>
        <row r="199">
          <cell r="B199" t="str">
            <v>005057</v>
          </cell>
          <cell r="C199" t="str">
            <v>保险单号</v>
          </cell>
          <cell r="D199" t="str">
            <v>Insurance policy number</v>
          </cell>
          <cell r="E199" t="str">
            <v>该物品保险单号。</v>
          </cell>
          <cell r="F199" t="str">
            <v>C..300</v>
          </cell>
        </row>
        <row r="200">
          <cell r="B200" t="str">
            <v>005058</v>
          </cell>
          <cell r="C200" t="str">
            <v>权证登记号码</v>
          </cell>
          <cell r="D200" t="str">
            <v>Prop certification register number</v>
          </cell>
          <cell r="E200" t="str">
            <v>银行自定义。</v>
          </cell>
          <cell r="F200" t="str">
            <v>C..300</v>
          </cell>
        </row>
        <row r="201">
          <cell r="B201" t="str">
            <v>005059</v>
          </cell>
          <cell r="C201" t="str">
            <v>委托账号类型</v>
          </cell>
          <cell r="D201" t="str">
            <v>Type of entrust account</v>
          </cell>
          <cell r="E201" t="str">
            <v>委托基金，委托存款，其他。</v>
          </cell>
          <cell r="F201" t="str">
            <v>C..30</v>
          </cell>
        </row>
        <row r="202">
          <cell r="B202" t="str">
            <v>005060</v>
          </cell>
          <cell r="C202" t="str">
            <v>登记机构</v>
          </cell>
          <cell r="D202" t="str">
            <v>Register organization</v>
          </cell>
          <cell r="E202" t="str">
            <v>抵质押物的登记机关，如工商所、公证处等机构。</v>
          </cell>
          <cell r="F202" t="str">
            <v>C..200</v>
          </cell>
        </row>
        <row r="203">
          <cell r="B203" t="str">
            <v>005061</v>
          </cell>
          <cell r="C203" t="str">
            <v>是否国家限制行业</v>
          </cell>
          <cell r="D203" t="str">
            <v>Limited industry</v>
          </cell>
          <cell r="E203" t="str">
            <v>根据国家发改委发布的《产业结构调整指导目录》判断该笔贷款实际投向是否属于国家限制行业。《产业结构调整指导目录》包括鼓励、限制、淘汰三个类别，属于后两类视为国家限制行业；对于流动资金贷款、贴现、垫款等无法区分实际投向的贷款，按照客户主营业务判断。银行可以通过国家发改委官方网站下载该目录的最新版本，今后如遇更新则按照新版本执行。是，否标志。</v>
          </cell>
          <cell r="F203" t="str">
            <v>C..4</v>
          </cell>
        </row>
        <row r="204">
          <cell r="B204" t="str">
            <v>005062</v>
          </cell>
          <cell r="C204" t="str">
            <v>贷款投向地区</v>
          </cell>
          <cell r="D204" t="str">
            <v>Loan investment area</v>
          </cell>
          <cell r="E204" t="str">
            <v>境内地区参照《GB/T 2260 中华人民共和国行政区划代码》填写国内行政区划名称，精确到地市级；境外地区参照《GB/T 2659-2000 世界各国和地区名称》填写国名或地区名称。</v>
          </cell>
          <cell r="F204" t="str">
            <v>C..200</v>
          </cell>
        </row>
        <row r="205">
          <cell r="B205" t="str">
            <v>005063</v>
          </cell>
          <cell r="C205" t="str">
            <v>表外业务品种</v>
          </cell>
          <cell r="D205" t="str">
            <v>External business category</v>
          </cell>
          <cell r="E205" t="str">
            <v>承兑汇票-银行自定义业务名称，信用证-银行自定义业务名称，保函-银行自定义业务名称，信用风险仍在银行的销售与购买协议-银行自定义业务名称，承诺-银行自定义业务名称，委托贷款-银行自定义业务名称，委托投资-银行自定义业务名称，他行代办-银行自定义业务名称，其他-银行自定义业务名称。</v>
          </cell>
          <cell r="F205" t="str">
            <v>C..60</v>
          </cell>
        </row>
        <row r="206">
          <cell r="B206" t="str">
            <v>005064</v>
          </cell>
          <cell r="C206" t="str">
            <v>信用证种类</v>
          </cell>
          <cell r="D206" t="str">
            <v>LC  type</v>
          </cell>
          <cell r="E206" t="str">
            <v>中文字典或中文描述，银行自定义。例如：国内信用证、国际信用证</v>
          </cell>
          <cell r="F206" t="str">
            <v>C..30</v>
          </cell>
        </row>
        <row r="207">
          <cell r="B207" t="str">
            <v>005065</v>
          </cell>
          <cell r="C207" t="str">
            <v>信用证付款期限描述</v>
          </cell>
          <cell r="D207" t="str">
            <v>LC Paying Term </v>
          </cell>
          <cell r="E207" t="str">
            <v>中文字典或中文描述，银行自定义。</v>
          </cell>
          <cell r="F207" t="str">
            <v>C..60</v>
          </cell>
        </row>
        <row r="208">
          <cell r="B208" t="str">
            <v>005066</v>
          </cell>
          <cell r="C208" t="str">
            <v>信用证支付类型</v>
          </cell>
          <cell r="D208" t="str">
            <v>LC Paying  type</v>
          </cell>
          <cell r="E208" t="str">
            <v>中文字典或中文描述，银行自定义。</v>
          </cell>
          <cell r="F208" t="str">
            <v>C..60</v>
          </cell>
        </row>
        <row r="209">
          <cell r="B209" t="str">
            <v>005067</v>
          </cell>
          <cell r="C209" t="str">
            <v>货品描述</v>
          </cell>
          <cell r="D209" t="str">
            <v>Trade Des</v>
          </cell>
          <cell r="E209" t="str">
            <v>中文字典或中文描述，银行自定义。</v>
          </cell>
          <cell r="F209" t="str">
            <v>C..200</v>
          </cell>
        </row>
        <row r="210">
          <cell r="B210" t="str">
            <v>005068</v>
          </cell>
          <cell r="C210" t="str">
            <v>抵质押物状态</v>
          </cell>
          <cell r="D210" t="str">
            <v>Pledge or collateral state</v>
          </cell>
          <cell r="E210" t="str">
            <v>正常，冻结，查封，扣押，其他-银行自定义状态。无法以枚举类型填报的，以“其他-XX”填报，其中“XX”为银行自定义抵质押物状态。</v>
          </cell>
          <cell r="F210" t="str">
            <v>C..30</v>
          </cell>
        </row>
        <row r="211">
          <cell r="B211" t="str">
            <v>005069</v>
          </cell>
          <cell r="C211" t="str">
            <v>贷款形式</v>
          </cell>
          <cell r="D211" t="str">
            <v>Loan form</v>
          </cell>
          <cell r="E211" t="str">
            <v>新增贷款，续贷贷款，借新还旧贷款，重组贷款。</v>
          </cell>
          <cell r="F211" t="str">
            <v>C..20</v>
          </cell>
        </row>
        <row r="212">
          <cell r="B212" t="str">
            <v>005070</v>
          </cell>
          <cell r="C212" t="str">
            <v>收回标志</v>
          </cell>
          <cell r="D212" t="str">
            <v>Retrieve flag</v>
          </cell>
          <cell r="E212" t="str">
            <v>零收回，部分收回，完全收回。</v>
          </cell>
          <cell r="F212" t="str">
            <v>C..20</v>
          </cell>
        </row>
        <row r="213">
          <cell r="B213" t="str">
            <v>005071</v>
          </cell>
          <cell r="C213" t="str">
            <v>建设用地规划许可证编号</v>
          </cell>
          <cell r="D213" t="str">
            <v>Construction land Plan permit number</v>
          </cell>
          <cell r="E213" t="str">
            <v>银行自定义。</v>
          </cell>
          <cell r="F213" t="str">
            <v>C..60 </v>
          </cell>
        </row>
        <row r="214">
          <cell r="B214" t="str">
            <v>005072</v>
          </cell>
          <cell r="C214" t="str">
            <v>建设工程规划许可证编号</v>
          </cell>
          <cell r="D214" t="str">
            <v>Construction engineering Plan permit number</v>
          </cell>
          <cell r="E214" t="str">
            <v>银行自定义。</v>
          </cell>
          <cell r="F214" t="str">
            <v>C..60 </v>
          </cell>
        </row>
        <row r="215">
          <cell r="A215" t="str">
            <v>卡片信息</v>
          </cell>
          <cell r="B215" t="str">
            <v>006</v>
          </cell>
        </row>
        <row r="216">
          <cell r="B216" t="str">
            <v>006001</v>
          </cell>
          <cell r="C216" t="str">
            <v>卡号</v>
          </cell>
          <cell r="D216" t="str">
            <v>Card number </v>
          </cell>
          <cell r="E216" t="str">
            <v>卡号，可以是借记卡号，贷记卡号等。</v>
          </cell>
          <cell r="F216" t="str">
            <v>C..60</v>
          </cell>
        </row>
        <row r="217">
          <cell r="B217" t="str">
            <v>006002</v>
          </cell>
          <cell r="C217" t="str">
            <v>借记卡产品名称</v>
          </cell>
          <cell r="D217" t="str">
            <v>Debit card name</v>
          </cell>
          <cell r="E217" t="str">
            <v>借记卡产品名称，中文字典或中文描述，银行自定义。</v>
          </cell>
          <cell r="F217" t="str">
            <v>C..60</v>
          </cell>
        </row>
        <row r="218">
          <cell r="B218" t="str">
            <v>006003</v>
          </cell>
          <cell r="C218" t="str">
            <v>卡片状态</v>
          </cell>
          <cell r="D218" t="str">
            <v>Card state</v>
          </cell>
          <cell r="E218" t="str">
            <v>正常，冻结，注销，未激活，睡眠，挂失，止付，其他-银行自定义状态。</v>
          </cell>
          <cell r="F218" t="str">
            <v>C..30</v>
          </cell>
        </row>
        <row r="219">
          <cell r="B219" t="str">
            <v>006004</v>
          </cell>
          <cell r="C219" t="str">
            <v>存折类型</v>
          </cell>
          <cell r="D219" t="str">
            <v>Passbook type</v>
          </cell>
          <cell r="E219" t="str">
            <v>普通存折，存单，一本通，大额定期存单，其他。</v>
          </cell>
          <cell r="F219" t="str">
            <v>C..20</v>
          </cell>
        </row>
        <row r="220">
          <cell r="B220" t="str">
            <v>006005</v>
          </cell>
          <cell r="C220" t="str">
            <v>存折状态</v>
          </cell>
          <cell r="D220" t="str">
            <v>Passbook state</v>
          </cell>
          <cell r="E220" t="str">
            <v>正常，冻结，注销，睡眠，未激活，其他。</v>
          </cell>
          <cell r="F220" t="str">
            <v>C..30</v>
          </cell>
        </row>
        <row r="221">
          <cell r="B221" t="str">
            <v>006006</v>
          </cell>
          <cell r="C221" t="str">
            <v>卡片名称</v>
          </cell>
          <cell r="D221" t="str">
            <v>Card name</v>
          </cell>
          <cell r="E221" t="str">
            <v>信用卡片种类名称。</v>
          </cell>
          <cell r="F221" t="str">
            <v>C..60</v>
          </cell>
        </row>
        <row r="222">
          <cell r="B222" t="str">
            <v>006007</v>
          </cell>
          <cell r="C222" t="str">
            <v>卡片级别</v>
          </cell>
          <cell r="D222" t="str">
            <v>Card level</v>
          </cell>
          <cell r="E222" t="str">
            <v>中文字典或中文描述，银行自定义。</v>
          </cell>
          <cell r="F222" t="str">
            <v>C..60</v>
          </cell>
        </row>
        <row r="223">
          <cell r="B223" t="str">
            <v>006008</v>
          </cell>
          <cell r="C223" t="str">
            <v>账户状态</v>
          </cell>
          <cell r="D223" t="str">
            <v>Account state</v>
          </cell>
          <cell r="E223" t="str">
            <v>未启用，正常，冻结，注销，作废，挂失，其他</v>
          </cell>
          <cell r="F223" t="str">
            <v>C..60</v>
          </cell>
        </row>
        <row r="224">
          <cell r="B224" t="str">
            <v>006009</v>
          </cell>
          <cell r="C224" t="str">
            <v>担保说明</v>
          </cell>
          <cell r="D224" t="str">
            <v>Guarantee illustration</v>
          </cell>
          <cell r="E224" t="str">
            <v>中文字典或中文描述，银行自定义。</v>
          </cell>
          <cell r="F224" t="str">
            <v>C..400</v>
          </cell>
        </row>
        <row r="225">
          <cell r="B225" t="str">
            <v>006010</v>
          </cell>
          <cell r="C225" t="str">
            <v>欠款归还次序</v>
          </cell>
          <cell r="D225" t="str">
            <v>Payment order</v>
          </cell>
          <cell r="E225" t="str">
            <v>只适用于支取类交易，在存款交易时判断还款次序。费用入账，透支结息入账，取现/转账支取，消费入账。</v>
          </cell>
          <cell r="F225" t="str">
            <v>C..30</v>
          </cell>
        </row>
        <row r="226">
          <cell r="B226" t="str">
            <v>006011</v>
          </cell>
          <cell r="C226" t="str">
            <v>分期付款标志</v>
          </cell>
          <cell r="D226" t="str">
            <v>Installment flag</v>
          </cell>
          <cell r="E226" t="str">
            <v>“是”或“否”</v>
          </cell>
          <cell r="F226" t="str">
            <v>C..15</v>
          </cell>
        </row>
        <row r="227">
          <cell r="B227" t="str">
            <v>006012</v>
          </cell>
          <cell r="C227" t="str">
            <v>工作站性质</v>
          </cell>
          <cell r="D227" t="str">
            <v>Workstation type</v>
          </cell>
          <cell r="E227" t="str">
            <v>柜员工作站，ATM，VTM，多媒体自助终端，自动补登折机，POS，其他。</v>
          </cell>
          <cell r="F227" t="str">
            <v>C..30</v>
          </cell>
        </row>
        <row r="228">
          <cell r="B228" t="str">
            <v>006013</v>
          </cell>
          <cell r="C228" t="str">
            <v>工作站编号</v>
          </cell>
          <cell r="D228" t="str">
            <v>Workstation number</v>
          </cell>
          <cell r="E228" t="str">
            <v>工作站编号。</v>
          </cell>
          <cell r="F228" t="str">
            <v>C..30</v>
          </cell>
        </row>
        <row r="229">
          <cell r="B229" t="str">
            <v>006014</v>
          </cell>
          <cell r="C229" t="str">
            <v>记录状态</v>
          </cell>
          <cell r="D229" t="str">
            <v>Record state</v>
          </cell>
          <cell r="E229" t="str">
            <v>正常，删除。</v>
          </cell>
          <cell r="F229" t="str">
            <v>C6</v>
          </cell>
        </row>
        <row r="230">
          <cell r="B230" t="str">
            <v>006015</v>
          </cell>
          <cell r="C230" t="str">
            <v>商户编号</v>
          </cell>
          <cell r="D230" t="str">
            <v>Merchant ID</v>
          </cell>
          <cell r="E230" t="str">
            <v>若为还款，需填写还款资金账号</v>
          </cell>
          <cell r="F230" t="str">
            <v>C..200</v>
          </cell>
        </row>
        <row r="231">
          <cell r="B231" t="str">
            <v>006016</v>
          </cell>
          <cell r="C231" t="str">
            <v>商户名称</v>
          </cell>
          <cell r="D231" t="str">
            <v>Merchant Name</v>
          </cell>
          <cell r="E231" t="str">
            <v>若为还款，需填写还款资金账户名称</v>
          </cell>
          <cell r="F231" t="str">
            <v>C..100</v>
          </cell>
        </row>
        <row r="232">
          <cell r="B232" t="str">
            <v>006017</v>
          </cell>
          <cell r="C232" t="str">
            <v>商户MCC码</v>
          </cell>
          <cell r="D232" t="str">
            <v>MCC Code</v>
          </cell>
          <cell r="E232" t="str">
            <v>商户类别码。由四位数字代码组成。</v>
          </cell>
          <cell r="F232" t="str">
            <v>C4</v>
          </cell>
        </row>
        <row r="233">
          <cell r="B233" t="str">
            <v>006018</v>
          </cell>
          <cell r="C233" t="str">
            <v>商户MCC名称</v>
          </cell>
          <cell r="D233" t="str">
            <v>MCC Name</v>
          </cell>
          <cell r="E233" t="str">
            <v>商户类别码对应的名称。</v>
          </cell>
          <cell r="F233" t="str">
            <v>C..100</v>
          </cell>
        </row>
        <row r="234">
          <cell r="B234" t="str">
            <v>006019</v>
          </cell>
          <cell r="C234" t="str">
            <v>商户地区</v>
          </cell>
          <cell r="D234" t="str">
            <v>Merchant District</v>
          </cell>
          <cell r="E234" t="str">
            <v>按银联商户编号填报商户所在省：如浙江、江苏，如为境外交易，则填报境外</v>
          </cell>
          <cell r="F234" t="str">
            <v>C..30</v>
          </cell>
        </row>
        <row r="235">
          <cell r="B235" t="str">
            <v>006020</v>
          </cell>
          <cell r="C235" t="str">
            <v>分期交易类型</v>
          </cell>
          <cell r="D235" t="str">
            <v>Installment Trading type</v>
          </cell>
          <cell r="E235" t="str">
            <v>普通交易、普通分期总额、普通分期单笔、专项分期总额、专项分期单笔、现金分期总额、现金分期单笔、其他</v>
          </cell>
          <cell r="F235" t="str">
            <v>C..60</v>
          </cell>
        </row>
        <row r="236">
          <cell r="B236" t="str">
            <v>006021</v>
          </cell>
          <cell r="C236" t="str">
            <v>线上线下交易标志</v>
          </cell>
          <cell r="D236" t="str">
            <v>On/off trade flag</v>
          </cell>
          <cell r="E236" t="str">
            <v>线上，线下</v>
          </cell>
          <cell r="F236" t="str">
            <v>C..60</v>
          </cell>
        </row>
        <row r="237">
          <cell r="B237" t="str">
            <v>006022</v>
          </cell>
          <cell r="C237" t="str">
            <v>客户等级</v>
          </cell>
          <cell r="D237" t="str">
            <v>Customer level</v>
          </cell>
          <cell r="E237" t="str">
            <v>以客户所持有最高等级的卡片填报：黑金、白金、金卡、普卡等</v>
          </cell>
          <cell r="F237" t="str">
            <v>C..60</v>
          </cell>
        </row>
        <row r="238">
          <cell r="B238" t="str">
            <v>006023</v>
          </cell>
          <cell r="C238" t="str">
            <v>信用卡客户类型</v>
          </cell>
          <cell r="D238" t="str">
            <v>Credit card customer type</v>
          </cell>
          <cell r="E238" t="str">
            <v>分类高风险高收益、高风险中收益、高风险低收益，中风险高收益……等9类填报</v>
          </cell>
          <cell r="F238" t="str">
            <v>C..60</v>
          </cell>
        </row>
        <row r="239">
          <cell r="B239" t="str">
            <v>006024</v>
          </cell>
          <cell r="C239" t="str">
            <v>信用卡授信类型</v>
          </cell>
          <cell r="D239" t="str">
            <v>Credit card credit type</v>
          </cell>
          <cell r="E239" t="str">
            <v>文本格式：包括新发卡授信、固额上调、临时额度上调、专项分期额度上调，不包括发卡但客户级额度不变的情况</v>
          </cell>
          <cell r="F239" t="str">
            <v>C..60</v>
          </cell>
        </row>
        <row r="240">
          <cell r="B240" t="str">
            <v>006025</v>
          </cell>
          <cell r="C240" t="str">
            <v>申请渠道</v>
          </cell>
          <cell r="D240" t="str">
            <v>Apply channel</v>
          </cell>
          <cell r="E240" t="str">
            <v>柜面、直销、官网、网银、互联网引流-XX、其他-银行自定义渠道类型。若为互联网引流公司，则以互联网引流-公司全称的格式进行填报。</v>
          </cell>
          <cell r="F240" t="str">
            <v>C..60</v>
          </cell>
        </row>
        <row r="241">
          <cell r="A241" t="str">
            <v>信贷管理信息</v>
          </cell>
          <cell r="B241" t="str">
            <v>007</v>
          </cell>
        </row>
        <row r="242">
          <cell r="B242" t="str">
            <v>007001</v>
          </cell>
          <cell r="C242" t="str">
            <v>授信协议号</v>
          </cell>
          <cell r="D242" t="str">
            <v>Credit agreement number</v>
          </cell>
          <cell r="E242" t="str">
            <v>填报银行授予客户授信额度的授信号码（或授信合同号码），该号码唯一标识该笔授信。若银行对该客户有多笔授信，应逐笔填列。“未纳入授信业务”栏的授信号码按“WNRSXYW”填报。</v>
          </cell>
          <cell r="F242" t="str">
            <v>C..60</v>
          </cell>
        </row>
        <row r="243">
          <cell r="B243" t="str">
            <v>007002</v>
          </cell>
          <cell r="C243" t="str">
            <v>授信种类</v>
          </cell>
          <cell r="D243" t="str">
            <v>Credit type</v>
          </cell>
          <cell r="E243" t="str">
            <v>单一法人授信，集团客户授信，供应链融资，个人客户授信，同业客户授信，其他。</v>
          </cell>
          <cell r="F243" t="str">
            <v>C..30</v>
          </cell>
        </row>
        <row r="244">
          <cell r="B244" t="str">
            <v>007004</v>
          </cell>
          <cell r="C244" t="str">
            <v>有效状态</v>
          </cell>
          <cell r="D244" t="str">
            <v>Validity status</v>
          </cell>
          <cell r="E244" t="str">
            <v>有效，无效。</v>
          </cell>
          <cell r="F244" t="str">
            <v>C6</v>
          </cell>
        </row>
        <row r="245">
          <cell r="B245" t="str">
            <v>007005</v>
          </cell>
          <cell r="C245" t="str">
            <v>决策单意见</v>
          </cell>
          <cell r="D245" t="str">
            <v>Decision</v>
          </cell>
          <cell r="E245" t="str">
            <v>银行自定义。</v>
          </cell>
          <cell r="F245" t="str">
            <v>C..2000</v>
          </cell>
        </row>
        <row r="246">
          <cell r="B246" t="str">
            <v>007006</v>
          </cell>
          <cell r="C246" t="str">
            <v>最终审批人</v>
          </cell>
          <cell r="D246" t="str">
            <v>Final approver</v>
          </cell>
          <cell r="E246" t="str">
            <v>审批人工号或姓名。</v>
          </cell>
          <cell r="F246" t="str">
            <v>C..30</v>
          </cell>
        </row>
        <row r="247">
          <cell r="B247" t="str">
            <v>007007</v>
          </cell>
          <cell r="C247" t="str">
            <v>贷款核销编号</v>
          </cell>
          <cell r="D247" t="str">
            <v>Write off number</v>
          </cell>
          <cell r="E247" t="str">
            <v>贷款核销编号。</v>
          </cell>
          <cell r="F247" t="str">
            <v>C..60</v>
          </cell>
        </row>
        <row r="248">
          <cell r="B248" t="str">
            <v>007008</v>
          </cell>
          <cell r="C248" t="str">
            <v>备注</v>
          </cell>
          <cell r="D248" t="str">
            <v>Remark</v>
          </cell>
          <cell r="E248" t="str">
            <v>银行自定义。</v>
          </cell>
          <cell r="F248" t="str">
            <v>C..200</v>
          </cell>
        </row>
        <row r="249">
          <cell r="B249" t="str">
            <v>007009</v>
          </cell>
          <cell r="C249" t="str">
            <v>贷款展期编号</v>
          </cell>
          <cell r="D249" t="str">
            <v>Number of loan extension</v>
          </cell>
          <cell r="E249" t="str">
            <v>贷款展期编号。</v>
          </cell>
          <cell r="F249" t="str">
            <v>C..60</v>
          </cell>
        </row>
        <row r="250">
          <cell r="B250" t="str">
            <v>007010</v>
          </cell>
          <cell r="C250" t="str">
            <v>信贷交易类型</v>
          </cell>
          <cell r="D250" t="str">
            <v>Credit trading type</v>
          </cell>
          <cell r="E250" t="str">
            <v>买断，卖断，买入返售，卖出回购。</v>
          </cell>
          <cell r="F250" t="str">
            <v>C..12</v>
          </cell>
        </row>
        <row r="251">
          <cell r="B251" t="str">
            <v>007011</v>
          </cell>
          <cell r="C251" t="str">
            <v>交易资产类型</v>
          </cell>
          <cell r="D251" t="str">
            <v>Trading asset type</v>
          </cell>
          <cell r="E251" t="str">
            <v>个人贷款，对公贷款，其他。</v>
          </cell>
          <cell r="F251" t="str">
            <v>C..30</v>
          </cell>
        </row>
        <row r="252">
          <cell r="B252" t="str">
            <v>007012</v>
          </cell>
          <cell r="C252" t="str">
            <v>变动方式</v>
          </cell>
          <cell r="D252" t="str">
            <v>Variation way</v>
          </cell>
          <cell r="E252" t="str">
            <v>人工，自动。</v>
          </cell>
          <cell r="F252" t="str">
            <v>C..30</v>
          </cell>
        </row>
        <row r="253">
          <cell r="B253" t="str">
            <v>007013</v>
          </cell>
          <cell r="C253" t="str">
            <v>发生类型</v>
          </cell>
          <cell r="D253" t="str">
            <v>Happen type</v>
          </cell>
          <cell r="E253" t="str">
            <v>中文字典或中文描述，银行自定义。</v>
          </cell>
          <cell r="F253" t="str">
            <v>C..60</v>
          </cell>
        </row>
        <row r="254">
          <cell r="B254" t="str">
            <v>007014</v>
          </cell>
          <cell r="C254" t="str">
            <v>业务品种</v>
          </cell>
          <cell r="D254" t="str">
            <v>Business type</v>
          </cell>
          <cell r="E254" t="str">
            <v>中文字典或中文描述，银行自定义。</v>
          </cell>
          <cell r="F254" t="str">
            <v>C..60</v>
          </cell>
        </row>
        <row r="255">
          <cell r="B255" t="str">
            <v>007015</v>
          </cell>
          <cell r="C255" t="str">
            <v>检查地点</v>
          </cell>
          <cell r="D255" t="str">
            <v>Examination address</v>
          </cell>
          <cell r="E255" t="str">
            <v>检查地点，中文描述，银行自定义。</v>
          </cell>
          <cell r="F255" t="str">
            <v>C..400</v>
          </cell>
        </row>
        <row r="256">
          <cell r="B256" t="str">
            <v>007016</v>
          </cell>
          <cell r="C256" t="str">
            <v>检查内容</v>
          </cell>
          <cell r="D256" t="str">
            <v>Examination content</v>
          </cell>
          <cell r="E256" t="str">
            <v>检查内容，中文描述，银行自定义。</v>
          </cell>
          <cell r="F256" t="str">
            <v>C..400</v>
          </cell>
        </row>
        <row r="257">
          <cell r="B257" t="str">
            <v>007017</v>
          </cell>
          <cell r="C257" t="str">
            <v>项目资金总体评价</v>
          </cell>
          <cell r="D257" t="str">
            <v>Evaluation of project capital</v>
          </cell>
          <cell r="E257" t="str">
            <v>银行自定义。</v>
          </cell>
          <cell r="F257" t="str">
            <v>C..400</v>
          </cell>
        </row>
        <row r="258">
          <cell r="B258" t="str">
            <v>007018</v>
          </cell>
          <cell r="C258" t="str">
            <v>项目建设情况评价</v>
          </cell>
          <cell r="D258" t="str">
            <v>Evaluation of construction</v>
          </cell>
          <cell r="E258" t="str">
            <v>银行自定义。</v>
          </cell>
          <cell r="F258" t="str">
            <v>C..400</v>
          </cell>
        </row>
        <row r="259">
          <cell r="B259" t="str">
            <v>007019</v>
          </cell>
          <cell r="C259" t="str">
            <v>项目销售情况</v>
          </cell>
          <cell r="D259" t="str">
            <v>Marketing condition</v>
          </cell>
          <cell r="E259" t="str">
            <v>银行自定义。</v>
          </cell>
          <cell r="F259" t="str">
            <v>C..400</v>
          </cell>
        </row>
        <row r="260">
          <cell r="B260" t="str">
            <v>007020</v>
          </cell>
          <cell r="C260" t="str">
            <v>协议名称</v>
          </cell>
          <cell r="D260" t="str">
            <v>Agreement name</v>
          </cell>
          <cell r="E260" t="str">
            <v>银行自定义。</v>
          </cell>
          <cell r="F260" t="str">
            <v>C..400</v>
          </cell>
        </row>
        <row r="261">
          <cell r="B261" t="str">
            <v>007021</v>
          </cell>
          <cell r="C261" t="str">
            <v>变动原因</v>
          </cell>
          <cell r="D261" t="str">
            <v>Happen reason</v>
          </cell>
          <cell r="E261" t="str">
            <v>中文字典或中文描述，银行自定义。</v>
          </cell>
          <cell r="F261" t="str">
            <v>C..60</v>
          </cell>
        </row>
        <row r="262">
          <cell r="B262" t="str">
            <v>007022</v>
          </cell>
          <cell r="C262" t="str">
            <v>转让方式</v>
          </cell>
          <cell r="D262" t="str">
            <v>Transfer method</v>
          </cell>
          <cell r="E262" t="str">
            <v>直接转让债权，信贷资产证券化，信贷资产收益权转让，通过其他方式转让</v>
          </cell>
          <cell r="F262" t="str">
            <v>C..30</v>
          </cell>
        </row>
        <row r="263">
          <cell r="A263" t="str">
            <v>资产负债及涉农统计</v>
          </cell>
          <cell r="B263" t="str">
            <v>008</v>
          </cell>
        </row>
        <row r="264">
          <cell r="B264" t="str">
            <v>008001</v>
          </cell>
          <cell r="C264" t="str">
            <v>期限类型</v>
          </cell>
          <cell r="D264" t="str">
            <v>Term type</v>
          </cell>
          <cell r="E264" t="str">
            <v>天，周，旬，月，季，半年，年。</v>
          </cell>
          <cell r="F264" t="str">
            <v>C..6</v>
          </cell>
        </row>
        <row r="265">
          <cell r="A265" t="str">
            <v>客户风险统计相关指标</v>
          </cell>
          <cell r="B265" t="str">
            <v>009</v>
          </cell>
        </row>
        <row r="266">
          <cell r="B266" t="str">
            <v>009001</v>
          </cell>
          <cell r="C266" t="str">
            <v>客户类型</v>
          </cell>
          <cell r="D266" t="str">
            <v>Customer type</v>
          </cell>
          <cell r="E266" t="str">
            <v>集团客户，单一法人客户，同业客户。同业客户的范围与银监会非现场监管统计一致。银行对企业分公司等非法人机构授信的，视同单一法人客户填报。</v>
          </cell>
          <cell r="F266" t="str">
            <v>C..20</v>
          </cell>
        </row>
        <row r="267">
          <cell r="B267" t="str">
            <v>009017</v>
          </cell>
          <cell r="C267" t="str">
            <v>账户类型</v>
          </cell>
          <cell r="D267" t="str">
            <v>Account type</v>
          </cell>
          <cell r="E267" t="str">
            <v>银行账户，交易账户。</v>
          </cell>
          <cell r="F267" t="str">
            <v>C12</v>
          </cell>
        </row>
        <row r="268">
          <cell r="B268" t="str">
            <v>009022</v>
          </cell>
          <cell r="C268" t="str">
            <v>风险预警信号</v>
          </cell>
          <cell r="D268" t="str">
            <v>Risk warning signal</v>
          </cell>
          <cell r="E268" t="str">
            <v>根据客户类型，以银保监会客户风险统计报表的《集团风险预警代码及预警信号对照表》、《单一法人风险预警代码及预警信号对照表》对应的预警信号填报。银行机构对对公客户的风险状况作出独立的职业判断，并填报风险类别代码对应的中文描述。同一对公客户涉及多项预警的，应将多个代码的中文描述一并填报。</v>
          </cell>
          <cell r="F268" t="str">
            <v>C..500</v>
          </cell>
        </row>
        <row r="269">
          <cell r="B269" t="str">
            <v>009024</v>
          </cell>
          <cell r="C269" t="str">
            <v>行政区划代码</v>
          </cell>
          <cell r="D269" t="str">
            <v>District code</v>
          </cell>
          <cell r="E269" t="str">
            <v>与个人住址或法人注册地对应的行政区划代码，按照《GB/T 2260 中华人民共和国行政区划代码》的6位编码填报。集团母公司为境外企业的，填报为“999999”。</v>
          </cell>
          <cell r="F269" t="str">
            <v>C..20</v>
          </cell>
        </row>
        <row r="270">
          <cell r="B270" t="str">
            <v>009037</v>
          </cell>
          <cell r="C270" t="str">
            <v>主要担保类型</v>
          </cell>
          <cell r="D270" t="str">
            <v>Main guarantee type</v>
          </cell>
          <cell r="E270" t="str">
            <v>质押，抵押，保证，信用。</v>
          </cell>
          <cell r="F270" t="str">
            <v>C6</v>
          </cell>
        </row>
        <row r="271">
          <cell r="A271" t="str">
            <v>资金与理财业务</v>
          </cell>
          <cell r="B271" t="str">
            <v>010</v>
          </cell>
        </row>
        <row r="272">
          <cell r="B272" t="str">
            <v>010001</v>
          </cell>
          <cell r="C272" t="str">
            <v>金融工具编号</v>
          </cell>
          <cell r="D272" t="str">
            <v>Instrument Code</v>
          </cell>
          <cell r="E272" t="str">
            <v>金融产品在中登公司记录的正确编号，包括但不限于标准化或非标准化金融产品。如果不是标准产品，则由银行自定义。</v>
          </cell>
          <cell r="F272" t="str">
            <v>C..60</v>
          </cell>
        </row>
        <row r="273">
          <cell r="B273" t="str">
            <v>010002</v>
          </cell>
          <cell r="C273" t="str">
            <v>金融工具名称</v>
          </cell>
          <cell r="D273" t="str">
            <v>Instrument</v>
          </cell>
          <cell r="E273" t="str">
            <v>金融产品名称，包括但不限于标准化或非标准化金融产品。如果不是标准产品，则由银行自定义。</v>
          </cell>
          <cell r="F273" t="str">
            <v>C..200</v>
          </cell>
        </row>
        <row r="274">
          <cell r="B274" t="str">
            <v>010003</v>
          </cell>
          <cell r="C274" t="str">
            <v>资产类型</v>
          </cell>
          <cell r="D274" t="str">
            <v>Asset type</v>
          </cell>
          <cell r="E274" t="str">
            <v>现金及银行存款，货币市场工具，债券，理财直接融资工具，新增可投资资产（信贷资产流转项目、其他新增），非标准化债权类资产，权益类投资，金融衍生品，QDII，商品类资产，另类资产（艺术品、知识产权等），公募基金，私募基金。</v>
          </cell>
          <cell r="F274" t="str">
            <v>C..80</v>
          </cell>
        </row>
        <row r="275">
          <cell r="B275" t="str">
            <v>010004</v>
          </cell>
          <cell r="C275" t="str">
            <v>资金交易类型</v>
          </cell>
          <cell r="D275" t="str">
            <v>Trade type</v>
          </cell>
          <cell r="E275" t="str">
            <v>自营，代客。</v>
          </cell>
          <cell r="F275" t="str">
            <v>C6</v>
          </cell>
        </row>
        <row r="276">
          <cell r="B276" t="str">
            <v>010005</v>
          </cell>
          <cell r="C276" t="str">
            <v>资金交易子类</v>
          </cell>
          <cell r="D276" t="str">
            <v>Trade sub-type</v>
          </cell>
          <cell r="E276" t="str">
            <v>买入，远期买入，远期卖出，卖出，外汇买卖，期权创设，同业借款，质押式正回购，质押式逆回购，买断式正回购，买断式逆回购，拆入，拆出，外汇互换，货币互换，利率互换支付固定利率，利率互换支付浮动利率，利率远期支付固定利率，利率远期支付浮动利率，承销，分销买入，分销卖出，同业代付，同业存入，同业存出，协议存入，协议存出，债券借贷－借入，债券借贷－借出，现金支付，现金收取，交易终止，其他（银行自定义）。</v>
          </cell>
          <cell r="F276" t="str">
            <v>C..60</v>
          </cell>
        </row>
        <row r="277">
          <cell r="B277" t="str">
            <v>010006</v>
          </cell>
          <cell r="C277" t="str">
            <v>国别代码</v>
          </cell>
          <cell r="D277" t="str">
            <v>Country code</v>
          </cell>
          <cell r="E277" t="str">
            <v>《GB/T 2659 世界各国和地区名称代码》定义的三字符代码，如CHN。</v>
          </cell>
          <cell r="F277" t="str">
            <v>C3</v>
          </cell>
        </row>
        <row r="278">
          <cell r="B278" t="str">
            <v>010007</v>
          </cell>
          <cell r="C278" t="str">
            <v>息票类型</v>
          </cell>
          <cell r="D278" t="str">
            <v>Coupon type</v>
          </cell>
          <cell r="E278" t="str">
            <v>零息，定息，浮息。</v>
          </cell>
          <cell r="F278" t="str">
            <v>C6</v>
          </cell>
        </row>
        <row r="279">
          <cell r="B279" t="str">
            <v>010008</v>
          </cell>
          <cell r="C279" t="str">
            <v>交易状态</v>
          </cell>
          <cell r="D279" t="str">
            <v>Trade status</v>
          </cell>
          <cell r="E279" t="str">
            <v>部分成交，成交确认，部分撤单，撤单，交易执行中，交易终止。</v>
          </cell>
          <cell r="F279" t="str">
            <v>C..20</v>
          </cell>
        </row>
        <row r="280">
          <cell r="B280" t="str">
            <v>010009</v>
          </cell>
          <cell r="C280" t="str">
            <v>交易编号</v>
          </cell>
          <cell r="D280" t="str">
            <v>Trade id</v>
          </cell>
          <cell r="E280" t="str">
            <v>识别交易的唯一编号，可以是合同号、成交编号或者其他自定义的编号。</v>
          </cell>
          <cell r="F280" t="str">
            <v>C..40</v>
          </cell>
        </row>
        <row r="281">
          <cell r="B281" t="str">
            <v>010010</v>
          </cell>
          <cell r="C281" t="str">
            <v>利率类型</v>
          </cell>
          <cell r="D281" t="str">
            <v>Interest type</v>
          </cell>
          <cell r="E281" t="str">
            <v>固定，浮动。</v>
          </cell>
          <cell r="F281" t="str">
            <v>C6</v>
          </cell>
        </row>
        <row r="282">
          <cell r="B282" t="str">
            <v>010011</v>
          </cell>
          <cell r="C282" t="str">
            <v>产品代码</v>
          </cell>
          <cell r="D282" t="str">
            <v>Product code</v>
          </cell>
          <cell r="E282" t="str">
            <v>发行机构在发行登记时赋予理财产品的代码，该代码在发行机构内部具有唯一性。</v>
          </cell>
          <cell r="F282" t="str">
            <v>C..200</v>
          </cell>
        </row>
        <row r="283">
          <cell r="B283" t="str">
            <v>010012</v>
          </cell>
          <cell r="C283" t="str">
            <v>汇率</v>
          </cell>
          <cell r="D283" t="str">
            <v>FX Rate</v>
          </cell>
          <cell r="E283" t="str">
            <v>外汇汇率，以当天央行（外管局）公布汇率为准。</v>
          </cell>
          <cell r="F283" t="str">
            <v>D20.6</v>
          </cell>
        </row>
        <row r="284">
          <cell r="B284" t="str">
            <v>010013</v>
          </cell>
          <cell r="C284" t="str">
            <v>买卖标志</v>
          </cell>
          <cell r="D284" t="str">
            <v>Buy or sell</v>
          </cell>
          <cell r="E284" t="str">
            <v>买入，卖出。</v>
          </cell>
          <cell r="F284" t="str">
            <v>C6</v>
          </cell>
        </row>
        <row r="285">
          <cell r="B285" t="str">
            <v>010014</v>
          </cell>
          <cell r="C285" t="str">
            <v>即远期标志</v>
          </cell>
          <cell r="D285" t="str">
            <v>Spot/forward flag</v>
          </cell>
          <cell r="E285" t="str">
            <v>即期，远期。</v>
          </cell>
          <cell r="F285" t="str">
            <v>C6</v>
          </cell>
        </row>
        <row r="286">
          <cell r="B286" t="str">
            <v>010015</v>
          </cell>
          <cell r="C286" t="str">
            <v>评级</v>
          </cell>
          <cell r="D286" t="str">
            <v>Rating</v>
          </cell>
          <cell r="E286" t="str">
            <v>外部专业性的评级公司名称及对融资人主体的信用评级结果。</v>
          </cell>
          <cell r="F286" t="str">
            <v>C..20</v>
          </cell>
        </row>
        <row r="287">
          <cell r="B287" t="str">
            <v>010017</v>
          </cell>
          <cell r="C287" t="str">
            <v>期限</v>
          </cell>
          <cell r="D287" t="str">
            <v>Term</v>
          </cell>
          <cell r="E287" t="str">
            <v>约定的期限，适用于债券等业务。</v>
          </cell>
          <cell r="F287" t="str">
            <v>C..30</v>
          </cell>
        </row>
        <row r="288">
          <cell r="B288" t="str">
            <v>010018</v>
          </cell>
          <cell r="C288" t="str">
            <v>系统名</v>
          </cell>
          <cell r="D288" t="str">
            <v>System name</v>
          </cell>
          <cell r="E288" t="str">
            <v>信息系统名称</v>
          </cell>
          <cell r="F288" t="str">
            <v>C..100</v>
          </cell>
        </row>
        <row r="289">
          <cell r="B289" t="str">
            <v>010019</v>
          </cell>
          <cell r="C289" t="str">
            <v>产品登记编码</v>
          </cell>
          <cell r="D289" t="str">
            <v>Product registration code</v>
          </cell>
          <cell r="E289" t="str">
            <v>登记机构赋予理财产品的标识码，该码具有唯一性。</v>
          </cell>
          <cell r="F289" t="str">
            <v>C..30</v>
          </cell>
        </row>
        <row r="290">
          <cell r="B290" t="str">
            <v>010020</v>
          </cell>
          <cell r="C290" t="str">
            <v>行内标识码</v>
          </cell>
          <cell r="D290" t="str">
            <v>Product inner code</v>
          </cell>
          <cell r="E290" t="str">
            <v>发行机构在申报登记时赋予理财产品的代码，该代码在发行机构内部具有唯一性。</v>
          </cell>
          <cell r="F290" t="str">
            <v>C..100</v>
          </cell>
        </row>
        <row r="291">
          <cell r="B291" t="str">
            <v>010021</v>
          </cell>
          <cell r="C291" t="str">
            <v>产品品牌</v>
          </cell>
          <cell r="D291" t="str">
            <v>Product brand</v>
          </cell>
          <cell r="E291" t="str">
            <v>理财产品的标记，用以和其他竞争产品相区别的名称，具有自我宣传的作用。</v>
          </cell>
          <cell r="F291" t="str">
            <v>C..120</v>
          </cell>
        </row>
        <row r="292">
          <cell r="B292" t="str">
            <v>010022</v>
          </cell>
          <cell r="C292" t="str">
            <v>资金投向地区</v>
          </cell>
          <cell r="D292" t="str">
            <v>Domestic/foreign investing flag</v>
          </cell>
          <cell r="E292" t="str">
            <v>境内，境外，境内和境外。</v>
          </cell>
          <cell r="F292" t="str">
            <v>C..15</v>
          </cell>
        </row>
        <row r="293">
          <cell r="B293" t="str">
            <v>010023</v>
          </cell>
          <cell r="C293" t="str">
            <v>投资者类型</v>
          </cell>
          <cell r="D293" t="str">
            <v>Investor type</v>
          </cell>
          <cell r="E293" t="str">
            <v>一般个人客户、高资产净值客户、私人银行客户、机构客户、金融同业客户。</v>
          </cell>
          <cell r="F293" t="str">
            <v>C..30</v>
          </cell>
        </row>
        <row r="294">
          <cell r="B294" t="str">
            <v>010024</v>
          </cell>
          <cell r="C294" t="str">
            <v>理财产品收益特征</v>
          </cell>
          <cell r="D294" t="str">
            <v>Financing product reward characteristics</v>
          </cell>
          <cell r="E294" t="str">
            <v>保证收益类，保本浮动收益类，非保本浮动收益类。</v>
          </cell>
          <cell r="F294" t="str">
            <v>C..30</v>
          </cell>
        </row>
        <row r="295">
          <cell r="B295" t="str">
            <v>010025</v>
          </cell>
          <cell r="C295" t="str">
            <v>理财产品风险等级</v>
          </cell>
          <cell r="D295" t="str">
            <v>Financing product risk level</v>
          </cell>
          <cell r="E295" t="str">
            <v>一级，二级，三级，四级，五级。</v>
          </cell>
          <cell r="F295" t="str">
            <v>C..30</v>
          </cell>
        </row>
        <row r="296">
          <cell r="B296" t="str">
            <v>010026</v>
          </cell>
          <cell r="C296" t="str">
            <v>申购赎回标志</v>
          </cell>
          <cell r="D296" t="str">
            <v>Subscription/redemption flag</v>
          </cell>
          <cell r="E296" t="str">
            <v>申购，赎回。</v>
          </cell>
          <cell r="F296" t="str">
            <v>C6</v>
          </cell>
        </row>
        <row r="297">
          <cell r="B297" t="str">
            <v>010027</v>
          </cell>
          <cell r="C297" t="str">
            <v>理财业务服务模式</v>
          </cell>
          <cell r="D297" t="str">
            <v>Financing service mode</v>
          </cell>
          <cell r="E297" t="str">
            <v>综合理财服务，理财顾问服务，其他。</v>
          </cell>
          <cell r="F297" t="str">
            <v>C..30</v>
          </cell>
        </row>
        <row r="298">
          <cell r="B298" t="str">
            <v>010028</v>
          </cell>
          <cell r="C298" t="str">
            <v>产品运作模式</v>
          </cell>
          <cell r="D298" t="str">
            <v>Product operation mode</v>
          </cell>
          <cell r="E298" t="str">
            <v>封闭式净值型，封闭式非净值型，开放式净值型，开放式非净值型。</v>
          </cell>
          <cell r="F298" t="str">
            <v>C..30</v>
          </cell>
        </row>
        <row r="299">
          <cell r="B299" t="str">
            <v>010029</v>
          </cell>
          <cell r="C299" t="str">
            <v>产品会计核算方式</v>
          </cell>
          <cell r="D299" t="str">
            <v>On/off sheet flag</v>
          </cell>
          <cell r="E299" t="str">
            <v>表内，表外。</v>
          </cell>
          <cell r="F299" t="str">
            <v>C6</v>
          </cell>
        </row>
        <row r="300">
          <cell r="B300" t="str">
            <v>010030</v>
          </cell>
          <cell r="C300" t="str">
            <v>产品资产配置方式</v>
          </cell>
          <cell r="D300" t="str">
            <v>Product asset management</v>
          </cell>
          <cell r="E300" t="str">
            <v>单一资产配置（一对一），资产组合配置（一对多），其他配置（多对多）。</v>
          </cell>
          <cell r="F300" t="str">
            <v>C..30</v>
          </cell>
        </row>
        <row r="301">
          <cell r="B301" t="str">
            <v>010031</v>
          </cell>
          <cell r="C301" t="str">
            <v>产品管理模式</v>
          </cell>
          <cell r="D301" t="str">
            <v>Product manager type</v>
          </cell>
          <cell r="E301" t="str">
            <v>银行为实际管理人，其他机构为实际管理人，资产管理公司，特殊目的载体（SPV）。</v>
          </cell>
          <cell r="F301" t="str">
            <v>C..30</v>
          </cell>
        </row>
        <row r="302">
          <cell r="B302" t="str">
            <v>010032</v>
          </cell>
          <cell r="C302" t="str">
            <v>产品定价方式</v>
          </cell>
          <cell r="D302" t="str">
            <v>Product pricing method</v>
          </cell>
          <cell r="E302" t="str">
            <v>公允价值定价，成本法定价，综合定价。</v>
          </cell>
          <cell r="F302" t="str">
            <v>C..30</v>
          </cell>
        </row>
        <row r="303">
          <cell r="B303" t="str">
            <v>010033</v>
          </cell>
          <cell r="C303" t="str">
            <v>投资类型</v>
          </cell>
          <cell r="D303" t="str">
            <v>Investment type</v>
          </cell>
          <cell r="E303" t="str">
            <v>结构性理财产品，货币市场工具类，债券类，非标准化债权类，基金股票类，股权类，另类投资类，混合类，代客境外理财产品。</v>
          </cell>
          <cell r="F303" t="str">
            <v>C..30</v>
          </cell>
        </row>
        <row r="304">
          <cell r="B304" t="str">
            <v>010034</v>
          </cell>
          <cell r="C304" t="str">
            <v>合作模式</v>
          </cell>
          <cell r="D304" t="str">
            <v>Cooperation mode</v>
          </cell>
          <cell r="E304" t="str">
            <v>独立运作，银信，银保，银基，银证，混合类，其他。</v>
          </cell>
          <cell r="F304" t="str">
            <v>C..30</v>
          </cell>
        </row>
        <row r="305">
          <cell r="B305" t="str">
            <v>010035</v>
          </cell>
          <cell r="C305" t="str">
            <v>投资资产种类及比例</v>
          </cell>
          <cell r="D305" t="str">
            <v>Investment structure</v>
          </cell>
          <cell r="E305" t="str">
            <v>需按照以下格式填写，例如“10%：股票（二级市场）；10%-20%：公司债券；70%-80%：信贷资产”(百分号、冒号、分号、连字号均为英文半角标点)；百分号前的数字应在[0,100]区间内。</v>
          </cell>
          <cell r="F305" t="str">
            <v>C..2000</v>
          </cell>
        </row>
        <row r="306">
          <cell r="B306" t="str">
            <v>010036</v>
          </cell>
          <cell r="C306" t="str">
            <v>投资者风险偏好</v>
          </cell>
          <cell r="D306" t="str">
            <v>Investor risk appetite</v>
          </cell>
          <cell r="E306" t="str">
            <v>保守型，稳健型，平衡型，成长型，进取型。</v>
          </cell>
          <cell r="F306" t="str">
            <v>C9</v>
          </cell>
        </row>
        <row r="307">
          <cell r="B307" t="str">
            <v>010037</v>
          </cell>
          <cell r="C307" t="str">
            <v>产品销售区域</v>
          </cell>
          <cell r="D307" t="str">
            <v>Product sales territory</v>
          </cell>
          <cell r="E307" t="str">
            <v>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v>
          </cell>
          <cell r="F307" t="str">
            <v>C..2000</v>
          </cell>
        </row>
        <row r="308">
          <cell r="B308" t="str">
            <v>010038</v>
          </cell>
          <cell r="C308" t="str">
            <v>产品增信机构类型</v>
          </cell>
          <cell r="D308" t="str">
            <v>Organization type to enhance product credit</v>
          </cell>
          <cell r="E308" t="str">
            <v>广义政府，非金融性公司，金融性公司，住户部门，国外部门。</v>
          </cell>
          <cell r="F308" t="str">
            <v>C..30</v>
          </cell>
        </row>
        <row r="309">
          <cell r="B309" t="str">
            <v>010039</v>
          </cell>
          <cell r="C309" t="str">
            <v>产品增信形式</v>
          </cell>
          <cell r="D309" t="str">
            <v>Product credit enhancement class</v>
          </cell>
          <cell r="E309" t="str">
            <v>内部增级，外部增级，内外增级。</v>
          </cell>
          <cell r="F309" t="str">
            <v>C12</v>
          </cell>
        </row>
        <row r="310">
          <cell r="B310" t="str">
            <v>010040</v>
          </cell>
          <cell r="C310" t="str">
            <v>到账日</v>
          </cell>
          <cell r="D310" t="str">
            <v>Days of settlement</v>
          </cell>
          <cell r="E310" t="str">
            <v>T+N（N为数字）</v>
          </cell>
          <cell r="F310" t="str">
            <v>C..20</v>
          </cell>
        </row>
        <row r="311">
          <cell r="B311" t="str">
            <v>010041</v>
          </cell>
          <cell r="C311" t="str">
            <v>基准利率</v>
          </cell>
          <cell r="D311" t="str">
            <v>Benchmark Interest rate</v>
          </cell>
          <cell r="E311" t="str">
            <v>百分比为单位，即1/100，一般为年利。</v>
          </cell>
          <cell r="F311" t="str">
            <v>D10.6</v>
          </cell>
        </row>
        <row r="312">
          <cell r="B312" t="str">
            <v>010042</v>
          </cell>
          <cell r="C312" t="str">
            <v>成交价格</v>
          </cell>
          <cell r="D312" t="str">
            <v>Distal Interest rate</v>
          </cell>
          <cell r="E312" t="str">
            <v>数字加单位表示，如10万元或1.5%。</v>
          </cell>
          <cell r="F312" t="str">
            <v>C..100 </v>
          </cell>
        </row>
        <row r="313">
          <cell r="B313" t="str">
            <v>010043</v>
          </cell>
          <cell r="C313" t="str">
            <v>增信方式</v>
          </cell>
          <cell r="D313" t="str">
            <v>Measures of credit enhancement</v>
          </cell>
          <cell r="E313" t="str">
            <v>银行自定义。例如：保证担保，抵押，存单质押，保证金质押，股权质押，其他权利质押，银行保函，银行远期购买，银行担保，银行承兑，其他。</v>
          </cell>
          <cell r="F313" t="str">
            <v>C..30</v>
          </cell>
        </row>
        <row r="314">
          <cell r="B314" t="str">
            <v>010044</v>
          </cell>
          <cell r="C314" t="str">
            <v>业务中类</v>
          </cell>
          <cell r="D314" t="str">
            <v>Business middle class</v>
          </cell>
          <cell r="E314" t="str">
            <v>同《自营报送范围》中的“业务中类”清单，其中债券与同业投资部分与G31的产品大类一致，不可自定义修改。</v>
          </cell>
          <cell r="F314" t="str">
            <v>C..60</v>
          </cell>
        </row>
        <row r="315">
          <cell r="B315" t="str">
            <v>010045</v>
          </cell>
          <cell r="C315" t="str">
            <v>业务小类</v>
          </cell>
          <cell r="D315" t="str">
            <v>Business little class</v>
          </cell>
          <cell r="E315" t="str">
            <v>同《自营报送范围》中的“业务小类”清单，其中债券与同业投资部分与G31的产品小类一致，不可自定义修改。</v>
          </cell>
          <cell r="F315" t="str">
            <v>C..60</v>
          </cell>
        </row>
        <row r="316">
          <cell r="B316" t="str">
            <v>010046</v>
          </cell>
          <cell r="C316" t="str">
            <v>基础资产编号</v>
          </cell>
          <cell r="D316" t="str">
            <v>Base asset number</v>
          </cell>
          <cell r="E316" t="str">
            <v>银行自定义。</v>
          </cell>
          <cell r="F316" t="str">
            <v>C..60</v>
          </cell>
        </row>
        <row r="317">
          <cell r="B317" t="str">
            <v>010047</v>
          </cell>
          <cell r="C317" t="str">
            <v>纳税识别码</v>
          </cell>
          <cell r="D317" t="str">
            <v>Tax document number</v>
          </cell>
          <cell r="E317" t="str">
            <v>根据交易对手的营业执照是老三证还是新三证合一营业执照判断填写。如果是老三证，纳税识别码填税务登记证号；如果是三证合一的营业执照，填统一社会信用代码。</v>
          </cell>
          <cell r="F317" t="str">
            <v>C..30</v>
          </cell>
        </row>
        <row r="318">
          <cell r="B318" t="str">
            <v>010048</v>
          </cell>
          <cell r="C318" t="str">
            <v>投向类型</v>
          </cell>
          <cell r="D318" t="str">
            <v>Invest type</v>
          </cell>
          <cell r="E318" t="str">
            <v>按照G31标准填写穿透后的最终投向。当业务中类为私募基金投资、结构性存款投资、资产管理产品投资和其他投资时，必填。其他业务类型允许为空。</v>
          </cell>
          <cell r="F318" t="str">
            <v>C..100</v>
          </cell>
        </row>
        <row r="319">
          <cell r="B319" t="str">
            <v>010049</v>
          </cell>
          <cell r="C319" t="str">
            <v>信用风险权重</v>
          </cell>
          <cell r="D319" t="str">
            <v>Credit risk weight</v>
          </cell>
          <cell r="E319" t="str">
            <v>信用风险加权资产计算权重，填写风险缓释后加权平均权重（即G4B-1表中的风险加权资产比例）。业务如可穿透管理则填写加权平均权重。</v>
          </cell>
          <cell r="F319" t="str">
            <v>D10.6</v>
          </cell>
        </row>
        <row r="320">
          <cell r="B320" t="str">
            <v>010050</v>
          </cell>
          <cell r="C320" t="str">
            <v>产品状态</v>
          </cell>
          <cell r="D320" t="str">
            <v>Product status</v>
          </cell>
          <cell r="E320" t="str">
            <v>暂存，待审阅，报告通过，报告未通过，报告通过未发行，已发行登记，发行失败，已募集登记，已终止登记。</v>
          </cell>
          <cell r="F320" t="str">
            <v>C..30</v>
          </cell>
        </row>
        <row r="321">
          <cell r="B321" t="str">
            <v>010051</v>
          </cell>
          <cell r="C321" t="str">
            <v>净值</v>
          </cell>
          <cell r="D321" t="str">
            <v>Net value</v>
          </cell>
          <cell r="E321" t="str">
            <v>理财产品份额的单位价值。</v>
          </cell>
          <cell r="F321" t="str">
            <v>D12.7</v>
          </cell>
        </row>
        <row r="322">
          <cell r="B322" t="str">
            <v>010052</v>
          </cell>
          <cell r="C322" t="str">
            <v>开放模式</v>
          </cell>
          <cell r="D322" t="str">
            <v>Type of open-end period</v>
          </cell>
          <cell r="E322" t="str">
            <v>有规律开放，无规律开放。</v>
          </cell>
          <cell r="F322" t="str">
            <v>C..30</v>
          </cell>
        </row>
        <row r="323">
          <cell r="B323" t="str">
            <v>010053</v>
          </cell>
          <cell r="C323" t="str">
            <v>规律开放周期</v>
          </cell>
          <cell r="D323" t="str">
            <v>Open-end period interval</v>
          </cell>
          <cell r="E323" t="str">
            <v>每天开放，每周开放一次，每两周开放一次，每月开放一次，每季度开放一次，每半年开放一次，每年开放一次，其他规律开放周期。</v>
          </cell>
          <cell r="F323" t="str">
            <v>C..30</v>
          </cell>
        </row>
        <row r="324">
          <cell r="B324" t="str">
            <v>010054</v>
          </cell>
          <cell r="C324" t="str">
            <v>天数</v>
          </cell>
          <cell r="D324" t="str">
            <v>Number of days</v>
          </cell>
          <cell r="E324" t="str">
            <v>以天为单位计的时间长度。</v>
          </cell>
          <cell r="F324" t="str">
            <v>I..4</v>
          </cell>
        </row>
        <row r="325">
          <cell r="B325" t="str">
            <v>010055</v>
          </cell>
          <cell r="C325" t="str">
            <v>平均开放次数</v>
          </cell>
          <cell r="D325" t="str">
            <v>Number of open-end periods</v>
          </cell>
          <cell r="E325" t="str">
            <v>在一个年度内开放的次数。</v>
          </cell>
          <cell r="F325" t="str">
            <v>D5.2</v>
          </cell>
        </row>
        <row r="326">
          <cell r="B326" t="str">
            <v>010056</v>
          </cell>
          <cell r="C326" t="str">
            <v>开放期业务类型</v>
          </cell>
          <cell r="D326" t="str">
            <v>Option of open-end period</v>
          </cell>
          <cell r="E326" t="str">
            <v>申赎皆可，仅可申购无限制，仅可赎回无限制，仅可申购有限制，仅可赎回有限制，其他。</v>
          </cell>
          <cell r="F326" t="str">
            <v>C..30</v>
          </cell>
        </row>
        <row r="327">
          <cell r="B327" t="str">
            <v>010057</v>
          </cell>
          <cell r="C327" t="str">
            <v>产品募集方式</v>
          </cell>
          <cell r="D327" t="str">
            <v>Type of placement</v>
          </cell>
          <cell r="E327" t="str">
            <v>公募，私募。</v>
          </cell>
          <cell r="F327" t="str">
            <v>C..30</v>
          </cell>
        </row>
        <row r="328">
          <cell r="B328" t="str">
            <v>010058</v>
          </cell>
          <cell r="C328" t="str">
            <v>产品投资性质</v>
          </cell>
          <cell r="D328" t="str">
            <v>Type of portfolio</v>
          </cell>
          <cell r="E328" t="str">
            <v>固收类，权益类，商品及衍生品类，混合类。</v>
          </cell>
          <cell r="F328" t="str">
            <v>C..30</v>
          </cell>
        </row>
        <row r="329">
          <cell r="B329" t="str">
            <v>010059</v>
          </cell>
          <cell r="C329" t="str">
            <v>挂钩标的</v>
          </cell>
          <cell r="D329" t="str">
            <v>Linked subject</v>
          </cell>
          <cell r="E329" t="str">
            <v>利率，汇率，股票，农产品，大宗商品，贵金属，债券，指数，基金，另类资产，期货，期权，远期，互换，复合金融衍生品，其他。</v>
          </cell>
          <cell r="F329" t="str">
            <v>C..300</v>
          </cell>
        </row>
        <row r="330">
          <cell r="B330" t="str">
            <v>010060</v>
          </cell>
          <cell r="C330" t="str">
            <v>直接或间接标志</v>
          </cell>
          <cell r="D330" t="str">
            <v>Direct or indirect</v>
          </cell>
          <cell r="E330" t="str">
            <v>直接，间接。</v>
          </cell>
          <cell r="F330" t="str">
            <v>C..30</v>
          </cell>
        </row>
        <row r="331">
          <cell r="B331" t="str">
            <v>010061</v>
          </cell>
          <cell r="C331" t="str">
            <v>编码</v>
          </cell>
          <cell r="D331" t="str">
            <v>Serial number</v>
          </cell>
          <cell r="E331" t="str">
            <v>银行自定义的代码。</v>
          </cell>
          <cell r="F331" t="str">
            <v>C..40</v>
          </cell>
        </row>
        <row r="332">
          <cell r="B332" t="str">
            <v>010062</v>
          </cell>
          <cell r="C332" t="str">
            <v>资产类别（一级）</v>
          </cell>
          <cell r="D332" t="str">
            <v>Type of asset (Tier 1)</v>
          </cell>
          <cell r="E332" t="str">
            <v>考虑到资产类别值域逐年根据G06资产分类调整，建议此处删除说明。该字段由产品发行机构在理财登记系统根据预设值域进行选择，不会出现值域外的错误数据。</v>
          </cell>
          <cell r="F332" t="str">
            <v>C..30</v>
          </cell>
        </row>
        <row r="333">
          <cell r="B333" t="str">
            <v>010063</v>
          </cell>
          <cell r="C333" t="str">
            <v>资产类别（二级）</v>
          </cell>
          <cell r="D333" t="str">
            <v>Type of asset (Tier 2)</v>
          </cell>
          <cell r="E333" t="str">
            <v>考虑到资产类别值域逐年根据G06资产分类调整，建议此处删除说明。该字段由产品发行机构在理财登记系统根据预设值域进行选择，不会出现值域外的错误数据。</v>
          </cell>
          <cell r="F333" t="str">
            <v>C..30</v>
          </cell>
        </row>
        <row r="334">
          <cell r="B334" t="str">
            <v>010064</v>
          </cell>
          <cell r="C334" t="str">
            <v>资产类别（三级）</v>
          </cell>
          <cell r="D334" t="str">
            <v>Type of asset (Tier 3)</v>
          </cell>
          <cell r="E334" t="str">
            <v>与底层资产相对应。由理财中心根据发行机构填写的融资人行业数据综合生成。</v>
          </cell>
          <cell r="F334" t="str">
            <v>C..100</v>
          </cell>
        </row>
        <row r="335">
          <cell r="B335" t="str">
            <v>010065</v>
          </cell>
          <cell r="C335" t="str">
            <v>流通场所</v>
          </cell>
          <cell r="D335" t="str">
            <v>Trading exchange</v>
          </cell>
          <cell r="E335" t="str">
            <v>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v>
          </cell>
          <cell r="F335" t="str">
            <v>C..30</v>
          </cell>
        </row>
        <row r="336">
          <cell r="B336" t="str">
            <v>010066</v>
          </cell>
          <cell r="C336" t="str">
            <v>年份</v>
          </cell>
          <cell r="D336" t="str">
            <v>Year</v>
          </cell>
          <cell r="E336" t="str">
            <v>年份。</v>
          </cell>
          <cell r="F336" t="str">
            <v>I..4</v>
          </cell>
        </row>
        <row r="337">
          <cell r="B337" t="str">
            <v>010067</v>
          </cell>
          <cell r="C337" t="str">
            <v>月份</v>
          </cell>
          <cell r="D337" t="str">
            <v>Month</v>
          </cell>
          <cell r="E337" t="str">
            <v>月份。</v>
          </cell>
          <cell r="F337" t="str">
            <v>I..2</v>
          </cell>
        </row>
        <row r="338">
          <cell r="B338" t="str">
            <v>010068</v>
          </cell>
          <cell r="C338" t="str">
            <v>收/受益权类型</v>
          </cell>
          <cell r="D338" t="str">
            <v>Type of usufruct</v>
          </cell>
          <cell r="E338" t="str">
            <v>信托贷款，信贷资产转让，委托债权，应收账款，带回购条款的股权性融资，私募债权，融资融券，证券公司受益凭证，委托贷款，其他。</v>
          </cell>
          <cell r="F338" t="str">
            <v>C..30</v>
          </cell>
        </row>
        <row r="339">
          <cell r="B339" t="str">
            <v>010069</v>
          </cell>
          <cell r="C339" t="str">
            <v>月数</v>
          </cell>
          <cell r="D339" t="str">
            <v>Number of months</v>
          </cell>
          <cell r="E339" t="str">
            <v>以月为单位计的时间长度。</v>
          </cell>
          <cell r="F339" t="str">
            <v>I..4</v>
          </cell>
        </row>
        <row r="340">
          <cell r="B340" t="str">
            <v>010070</v>
          </cell>
          <cell r="C340" t="str">
            <v>计息基础</v>
          </cell>
          <cell r="D340" t="str">
            <v>Day-count basis</v>
          </cell>
          <cell r="E340" t="str">
            <v>ACT/366，ACT/360，ACT/365，ACT/ACT，30/360</v>
          </cell>
          <cell r="F340" t="str">
            <v>C..30 </v>
          </cell>
        </row>
        <row r="341">
          <cell r="B341" t="str">
            <v>010071</v>
          </cell>
          <cell r="C341" t="str">
            <v>基准利率种类</v>
          </cell>
          <cell r="D341" t="str">
            <v>Type of benchmark interest rate</v>
          </cell>
          <cell r="E341" t="str">
            <v>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v>
          </cell>
          <cell r="F341" t="str">
            <v>C..40</v>
          </cell>
        </row>
        <row r="342">
          <cell r="B342" t="str">
            <v>010072</v>
          </cell>
          <cell r="C342" t="str">
            <v>类型（按规模划分）</v>
          </cell>
          <cell r="D342" t="str">
            <v>Type (Scale)</v>
          </cell>
          <cell r="E342" t="str">
            <v>中小微企业，大型企业，其他。</v>
          </cell>
          <cell r="F342" t="str">
            <v>C..30 </v>
          </cell>
        </row>
        <row r="343">
          <cell r="B343" t="str">
            <v>010073</v>
          </cell>
          <cell r="C343" t="str">
            <v>类型（按技术领域划分）</v>
          </cell>
          <cell r="D343" t="str">
            <v>Type (Tech)</v>
          </cell>
          <cell r="E343" t="str">
            <v>高新技术企业，其他。</v>
          </cell>
          <cell r="F343" t="str">
            <v>C..30 </v>
          </cell>
        </row>
        <row r="344">
          <cell r="B344" t="str">
            <v>010074</v>
          </cell>
          <cell r="C344" t="str">
            <v>类型（按经济类型划分）</v>
          </cell>
          <cell r="D344" t="str">
            <v>Type (Ownership)</v>
          </cell>
          <cell r="E344" t="str">
            <v>国有企业，集体企业，私营企业，其他。</v>
          </cell>
          <cell r="F344" t="str">
            <v>C..30 </v>
          </cell>
        </row>
        <row r="345">
          <cell r="B345" t="str">
            <v>010075</v>
          </cell>
          <cell r="C345" t="str">
            <v>重点监控类别</v>
          </cell>
          <cell r="D345" t="str">
            <v>Type (Monitoring)</v>
          </cell>
          <cell r="E345" t="str">
            <v>房地产（保障房除外），地方政府融资平台，“铁公基”行业，“两高一剩”行业，其他。</v>
          </cell>
          <cell r="F345" t="str">
            <v>C..30 </v>
          </cell>
        </row>
        <row r="346">
          <cell r="B346" t="str">
            <v>010076</v>
          </cell>
          <cell r="C346" t="str">
            <v>单价</v>
          </cell>
          <cell r="D346" t="str">
            <v>Unit price</v>
          </cell>
          <cell r="E346" t="str">
            <v>单位价格。</v>
          </cell>
          <cell r="F346" t="str">
            <v>D17.4</v>
          </cell>
        </row>
        <row r="347">
          <cell r="B347" t="str">
            <v>010077</v>
          </cell>
          <cell r="C347" t="str">
            <v>层级类别</v>
          </cell>
          <cell r="D347" t="str">
            <v>Type of tier</v>
          </cell>
          <cell r="E347" t="str">
            <v>优先层级一，优先层级二，优先层级三，优先层级四，优先层级五，进取层级一，进取层级二，进取层级三，进取层级四，进取层级五。</v>
          </cell>
          <cell r="F347" t="str">
            <v>C..30</v>
          </cell>
        </row>
        <row r="348">
          <cell r="B348" t="str">
            <v>010078</v>
          </cell>
          <cell r="C348" t="str">
            <v>统一代码</v>
          </cell>
          <cell r="D348" t="str">
            <v>Universal code</v>
          </cell>
          <cell r="E348" t="str">
            <v>按照一定规则编制的，具有公开性、唯一性的资产编码</v>
          </cell>
          <cell r="F348" t="str">
            <v>C..30</v>
          </cell>
        </row>
        <row r="349">
          <cell r="B349" t="str">
            <v>010079</v>
          </cell>
          <cell r="C349" t="str">
            <v>资产或交易登记编码</v>
          </cell>
          <cell r="D349" t="str">
            <v>Asset registration code</v>
          </cell>
          <cell r="E349" t="str">
            <v>登记机构赋予资产或交易的标识码。</v>
          </cell>
          <cell r="F349" t="str">
            <v>C..30</v>
          </cell>
        </row>
        <row r="350">
          <cell r="B350" t="str">
            <v>010080</v>
          </cell>
          <cell r="C350" t="str">
            <v>中间层资产类型</v>
          </cell>
          <cell r="D350" t="str">
            <v>Type of intermediate asset</v>
          </cell>
          <cell r="E350" t="str">
            <v>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ell>
          <cell r="F350" t="str">
            <v>C..300</v>
          </cell>
        </row>
        <row r="351">
          <cell r="B351" t="str">
            <v>010081</v>
          </cell>
          <cell r="C351" t="str">
            <v>理财中心ID</v>
          </cell>
          <cell r="D351" t="str">
            <v>Wemax ID</v>
          </cell>
          <cell r="E351" t="str">
            <v>理财中心赋予产品或资产的序号。</v>
          </cell>
          <cell r="F351" t="str">
            <v>C..30</v>
          </cell>
        </row>
        <row r="352">
          <cell r="B352" t="str">
            <v>010082</v>
          </cell>
          <cell r="C352" t="str">
            <v>份额或资产数量</v>
          </cell>
          <cell r="D352" t="str">
            <v>Number of units</v>
          </cell>
          <cell r="E352" t="str">
            <v>产品份额或资产的数量。</v>
          </cell>
          <cell r="F352" t="str">
            <v>D23.5</v>
          </cell>
        </row>
        <row r="353">
          <cell r="B353" t="str">
            <v>010083</v>
          </cell>
          <cell r="C353" t="str">
            <v>理财产品发行机构类型</v>
          </cell>
          <cell r="D353" t="str">
            <v>Type of asset manager</v>
          </cell>
          <cell r="E353" t="str">
            <v>国有银行，股份制银行，城商行，外资银行，农村合作金融机构，政策性银行，国家开发银行，理财子公司，其他。</v>
          </cell>
          <cell r="F353" t="str">
            <v>C..30</v>
          </cell>
        </row>
        <row r="354">
          <cell r="B354" t="str">
            <v>010084</v>
          </cell>
          <cell r="C354" t="str">
            <v>产品期次</v>
          </cell>
          <cell r="D354" t="str">
            <v>Serial number of product</v>
          </cell>
          <cell r="E354" t="str">
            <v>数字。</v>
          </cell>
          <cell r="F354" t="str">
            <v>C..6</v>
          </cell>
        </row>
        <row r="355">
          <cell r="B355" t="str">
            <v>010085</v>
          </cell>
          <cell r="C355" t="str">
            <v>理财业务备注</v>
          </cell>
          <cell r="D355" t="str">
            <v>Remark of asset managemet product</v>
          </cell>
          <cell r="E355" t="str">
            <v>发行机构自定义。</v>
          </cell>
          <cell r="F355" t="str">
            <v>C..400</v>
          </cell>
        </row>
        <row r="356">
          <cell r="B356" t="str">
            <v>010086</v>
          </cell>
          <cell r="C356" t="str">
            <v>外部评级</v>
          </cell>
          <cell r="D356" t="str">
            <v>Standard internal rating</v>
          </cell>
          <cell r="E356" t="str">
            <v>AAA+，AAA，AAA-，AA+，AA，AA-，A+，A，A-，A-1，A-2，A-3，BBB+，BBB，BBB-，BB+，BB，BB-，B+，B，B-，CCC+，CCC，CCC-，CC+，CC，CC-，C+，C，C-，D。</v>
          </cell>
          <cell r="F356" t="str">
            <v>C..30</v>
          </cell>
        </row>
        <row r="357">
          <cell r="B357" t="str">
            <v>010087</v>
          </cell>
          <cell r="C357" t="str">
            <v>内部评级</v>
          </cell>
          <cell r="D357" t="str">
            <v>Non-standard internal rating</v>
          </cell>
          <cell r="E357" t="str">
            <v>发行机构内部对非标资产项目本身的风险评级结果。</v>
          </cell>
          <cell r="F357" t="str">
            <v>C..30</v>
          </cell>
        </row>
        <row r="358">
          <cell r="B358" t="str">
            <v>010088</v>
          </cell>
          <cell r="C358" t="str">
            <v>资金流动类型</v>
          </cell>
          <cell r="D358" t="str">
            <v>Type of transaction</v>
          </cell>
          <cell r="E358" t="str">
            <v>资产买入，资产卖出或到期，存入银行存款，银行存款到期，拆放同业和买入返售首期，同业拆入和卖出回购首期，拆放同业和买入返售到期，同业拆入和卖出回购到期，投资资产所得收益，投资资产支出，其他收入，其他支出。</v>
          </cell>
          <cell r="F358" t="str">
            <v>C..100</v>
          </cell>
        </row>
        <row r="359">
          <cell r="B359" t="str">
            <v>010089</v>
          </cell>
          <cell r="C359" t="str">
            <v>综合评级</v>
          </cell>
          <cell r="D359" t="str">
            <v>Comprehensive rating</v>
          </cell>
          <cell r="E359" t="str">
            <v>与底层资产相对应。由理财中心根据发行机构填写的数据综合生成。该字段对不同类别的资产代表不同含义，说明内容是详细解释，而非值域。为避免歧义，建议此处删除说明。</v>
          </cell>
          <cell r="F359" t="str">
            <v>C..30</v>
          </cell>
        </row>
        <row r="360">
          <cell r="B360" t="str">
            <v>010090</v>
          </cell>
          <cell r="C360" t="str">
            <v>托管机构名称</v>
          </cell>
          <cell r="D360" t="str">
            <v>Name of custodian</v>
          </cell>
          <cell r="E360" t="str">
            <v>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v>
          </cell>
          <cell r="F360" t="str">
            <v>C..300</v>
          </cell>
        </row>
        <row r="361">
          <cell r="B361" t="str">
            <v>010091</v>
          </cell>
          <cell r="C361" t="str">
            <v>百分比</v>
          </cell>
          <cell r="D361" t="str">
            <v>Percentage</v>
          </cell>
          <cell r="E361" t="str">
            <v>自带百分号，即若要表示5%，则此处仅填写数字5。</v>
          </cell>
          <cell r="F361" t="str">
            <v>D8.5</v>
          </cell>
        </row>
        <row r="362">
          <cell r="B362" t="str">
            <v>010092</v>
          </cell>
          <cell r="C362" t="str">
            <v>行政区划</v>
          </cell>
          <cell r="D362" t="str">
            <v>Administrative division</v>
          </cell>
          <cell r="E362" t="str">
            <v>根据《中华人民共和国行政区划代码》，填写至二级分类。</v>
          </cell>
          <cell r="F362" t="str">
            <v>C..30</v>
          </cell>
        </row>
        <row r="363">
          <cell r="B363" t="str">
            <v>010093</v>
          </cell>
          <cell r="C363" t="str">
            <v>发行机构代码</v>
          </cell>
          <cell r="D363" t="str">
            <v>Issuer Code</v>
          </cell>
          <cell r="E363" t="str">
            <v>取自金融机构代码证前6位。</v>
          </cell>
          <cell r="F363" t="str">
            <v>C..30</v>
          </cell>
        </row>
        <row r="364">
          <cell r="B364" t="str">
            <v>010094</v>
          </cell>
          <cell r="C364" t="str">
            <v>识别标识</v>
          </cell>
          <cell r="D364" t="str">
            <v>Identification Code</v>
          </cell>
          <cell r="E364" t="str">
            <v>登记机构内部能够唯一确定该投资者身份的标识，登记机构自定义。</v>
          </cell>
          <cell r="F364" t="str">
            <v>C..30</v>
          </cell>
        </row>
        <row r="365">
          <cell r="B365" t="str">
            <v>010095</v>
          </cell>
          <cell r="C365" t="str">
            <v>业务种类</v>
          </cell>
          <cell r="D365" t="str">
            <v>Business Type</v>
          </cell>
          <cell r="E365" t="str">
            <v>募集期认购，存续期申购，存续期赎回，分红，红利再投资，质押融资首期，质押融资到期，冻结，解冻，交易过户转入，交易过户转出，非交易过户转入，非交易过户转出，份额强增，份额强减，到期兑付。</v>
          </cell>
          <cell r="F365" t="str">
            <v>C..30</v>
          </cell>
        </row>
        <row r="366">
          <cell r="B366" t="str">
            <v>010096</v>
          </cell>
          <cell r="C366" t="str">
            <v>金额（与币种对应）</v>
          </cell>
          <cell r="D366" t="str">
            <v>Amount(Corresponding to Currency)</v>
          </cell>
          <cell r="E366" t="str">
            <v>单位与币种相对应的金额。</v>
          </cell>
          <cell r="F366" t="str">
            <v>D23.5</v>
          </cell>
        </row>
        <row r="367">
          <cell r="B367" t="str">
            <v>010097</v>
          </cell>
          <cell r="C367" t="str">
            <v>管理方式</v>
          </cell>
          <cell r="D367" t="str">
            <v>Type of account</v>
          </cell>
          <cell r="E367" t="str">
            <v>集合管理，单独管理</v>
          </cell>
          <cell r="F367" t="str">
            <v>C..30 </v>
          </cell>
        </row>
        <row r="368">
          <cell r="B368" t="str">
            <v>010098</v>
          </cell>
          <cell r="C368" t="str">
            <v>资产计量方式</v>
          </cell>
          <cell r="D368" t="str">
            <v>Method of asset measurement</v>
          </cell>
          <cell r="E368" t="str">
            <v>公允价值，摊余成本。</v>
          </cell>
          <cell r="F368" t="str">
            <v>C..30</v>
          </cell>
        </row>
        <row r="369">
          <cell r="B369" t="str">
            <v>010099</v>
          </cell>
          <cell r="C369" t="str">
            <v>担保方式</v>
          </cell>
          <cell r="D369" t="str">
            <v>Type of guarantee</v>
          </cell>
          <cell r="E369" t="str">
            <v>信用担保，第三方保证，抵押，质押，信用增级，其他。</v>
          </cell>
          <cell r="F369" t="str">
            <v>C..30</v>
          </cell>
        </row>
        <row r="370">
          <cell r="B370" t="str">
            <v>010100</v>
          </cell>
          <cell r="C370" t="str">
            <v>各层名称</v>
          </cell>
          <cell r="D370" t="str">
            <v>Name of layers</v>
          </cell>
          <cell r="E370" t="str">
            <v>持有的资管及委外资产的名称。</v>
          </cell>
          <cell r="F370" t="str">
            <v>C..800</v>
          </cell>
        </row>
        <row r="371">
          <cell r="B371" t="str">
            <v>010101</v>
          </cell>
          <cell r="C371" t="str">
            <v>计息类型</v>
          </cell>
          <cell r="D371" t="str">
            <v>Type of coupon</v>
          </cell>
          <cell r="E371" t="str">
            <v>贴现式，利随本清固定利率，利随本清浮动利率，附息式固定利率，附息式浮动利率，零息式。</v>
          </cell>
          <cell r="F371" t="str">
            <v>C..30</v>
          </cell>
        </row>
        <row r="372">
          <cell r="B372" t="str">
            <v>010102</v>
          </cell>
          <cell r="C372" t="str">
            <v>利息分布方式</v>
          </cell>
          <cell r="D372" t="str">
            <v>Coupon allocation type</v>
          </cell>
          <cell r="E372" t="str">
            <v>平均分配，实际天数分配。</v>
          </cell>
          <cell r="F372" t="str">
            <v>C..30</v>
          </cell>
        </row>
        <row r="373">
          <cell r="B373" t="str">
            <v>010103</v>
          </cell>
          <cell r="C373" t="str">
            <v>结构档次</v>
          </cell>
          <cell r="D373" t="str">
            <v>Structure grade</v>
          </cell>
          <cell r="E373" t="str">
            <v>优先，优先A，优先B，优先C，优先D，中间，次优先，次级。</v>
          </cell>
          <cell r="F373" t="str">
            <v>C..30</v>
          </cell>
        </row>
        <row r="374">
          <cell r="B374" t="str">
            <v>010104</v>
          </cell>
          <cell r="C374" t="str">
            <v>还本方式</v>
          </cell>
          <cell r="D374" t="str">
            <v>Principal payment type</v>
          </cell>
          <cell r="E374" t="str">
            <v>过手摊还，固定摊还。</v>
          </cell>
          <cell r="F374" t="str">
            <v>C..30</v>
          </cell>
        </row>
        <row r="375">
          <cell r="B375" t="str">
            <v>010105</v>
          </cell>
          <cell r="C375" t="str">
            <v>含权类型</v>
          </cell>
          <cell r="D375" t="str">
            <v>Option type</v>
          </cell>
          <cell r="E375" t="str">
            <v>发行人赎回选择权，发行人利息递延支付选择权，发行人续期选择权，投资人回售选择权，票面利率调整选择权，协商续期选择权，提前到期选择权。</v>
          </cell>
          <cell r="F375" t="str">
            <v>C..300</v>
          </cell>
        </row>
        <row r="376">
          <cell r="B376" t="str">
            <v>010106</v>
          </cell>
          <cell r="C376" t="str">
            <v>行权方式</v>
          </cell>
          <cell r="D376" t="str">
            <v>Exercise date type</v>
          </cell>
          <cell r="E376" t="str">
            <v>美式期权，欧式期权，百慕大期权。</v>
          </cell>
          <cell r="F376" t="str">
            <v>C..30</v>
          </cell>
        </row>
        <row r="377">
          <cell r="B377" t="str">
            <v>010107</v>
          </cell>
          <cell r="C377" t="str">
            <v>永续条款类型</v>
          </cell>
          <cell r="D377" t="str">
            <v>Perpetual type</v>
          </cell>
          <cell r="E377" t="str">
            <v>无，可续期条款，永续条款。</v>
          </cell>
          <cell r="F377" t="str">
            <v>C..30</v>
          </cell>
        </row>
        <row r="378">
          <cell r="B378" t="str">
            <v>010108</v>
          </cell>
          <cell r="C378" t="str">
            <v>利息递延条款类型</v>
          </cell>
          <cell r="D378" t="str">
            <v>Deferred interest type</v>
          </cell>
          <cell r="E378" t="str">
            <v>无利息递延条款，有利息递延条款，非利息递延条款引起的递延。</v>
          </cell>
          <cell r="F378" t="str">
            <v>C..30</v>
          </cell>
        </row>
        <row r="379">
          <cell r="B379" t="str">
            <v>010109</v>
          </cell>
          <cell r="C379" t="str">
            <v>分期还本条款标识</v>
          </cell>
          <cell r="D379" t="str">
            <v>Installment repay type</v>
          </cell>
          <cell r="E379" t="str">
            <v>分期还本，到期一次还本，其他。</v>
          </cell>
          <cell r="F379" t="str">
            <v>C..30</v>
          </cell>
        </row>
        <row r="380">
          <cell r="B380" t="str">
            <v>010110</v>
          </cell>
          <cell r="C380" t="str">
            <v>抵质押物类型</v>
          </cell>
          <cell r="D380" t="str">
            <v>Type of collateral</v>
          </cell>
          <cell r="E380" t="str">
            <v>现金及其等价物，贵金属，有价凭证，应收账款，房地产及土地使用权，存货，收费(益)权，其他。</v>
          </cell>
          <cell r="F380" t="str">
            <v>C..30</v>
          </cell>
        </row>
        <row r="381">
          <cell r="B381" t="str">
            <v>010111</v>
          </cell>
          <cell r="C381" t="str">
            <v>担保性质</v>
          </cell>
          <cell r="D381" t="str">
            <v>Nature of Guarantee</v>
          </cell>
          <cell r="E381" t="str">
            <v>有限责任，无限责任。</v>
          </cell>
          <cell r="F381" t="str">
            <v>C..30</v>
          </cell>
        </row>
        <row r="382">
          <cell r="B382" t="str">
            <v>010112</v>
          </cell>
          <cell r="C382" t="str">
            <v>担保人与融资人关系</v>
          </cell>
          <cell r="D382" t="str">
            <v>Relationship of borrower and guarantee</v>
          </cell>
          <cell r="E382" t="str">
            <v>主要股东，控股股东，实际控制人，一致行动人，最终受益人，其他。</v>
          </cell>
          <cell r="F382" t="str">
            <v>C..30</v>
          </cell>
        </row>
        <row r="383">
          <cell r="B383" t="str">
            <v>010113</v>
          </cell>
          <cell r="C383" t="str">
            <v>对手方类型</v>
          </cell>
          <cell r="D383" t="str">
            <v>Type of counterparty</v>
          </cell>
          <cell r="E383" t="str">
            <v>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v>
          </cell>
          <cell r="F383" t="str">
            <v>C..100</v>
          </cell>
        </row>
        <row r="384">
          <cell r="B384" t="str">
            <v>010114</v>
          </cell>
          <cell r="C384" t="str">
            <v>所属监管机构</v>
          </cell>
          <cell r="D384" t="str">
            <v>Supervisory Department</v>
          </cell>
          <cell r="E384" t="str">
            <v>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v>
          </cell>
          <cell r="F384" t="str">
            <v>C..30</v>
          </cell>
        </row>
        <row r="385">
          <cell r="B385" t="str">
            <v>010115</v>
          </cell>
          <cell r="C385" t="str">
            <v>金融工具利率类型</v>
          </cell>
          <cell r="D385" t="str">
            <v>Interest type of instrument</v>
          </cell>
          <cell r="E385" t="str">
            <v>固定，浮动，互换，其他。</v>
          </cell>
          <cell r="F385" t="str">
            <v>C6</v>
          </cell>
        </row>
      </sheetData>
      <sheetData sheetId="2"/>
      <sheetData sheetId="3"/>
      <sheetData sheetId="4"/>
      <sheetData sheetId="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13"/>
  <sheetViews>
    <sheetView showGridLines="0" workbookViewId="0">
      <selection activeCell="A7" sqref="A7:A12"/>
    </sheetView>
  </sheetViews>
  <sheetFormatPr defaultColWidth="9" defaultRowHeight="17.6"/>
  <cols>
    <col min="1" max="1" width="91.8303571428571" style="399" customWidth="1"/>
    <col min="2" max="16384" width="9" style="298"/>
  </cols>
  <sheetData>
    <row r="1" ht="52" spans="1:1">
      <c r="A1" s="400" t="s">
        <v>0</v>
      </c>
    </row>
    <row r="2" ht="41" spans="1:1">
      <c r="A2" s="401" t="s">
        <v>1</v>
      </c>
    </row>
    <row r="3" ht="41" spans="1:1">
      <c r="A3" s="401" t="s">
        <v>2</v>
      </c>
    </row>
    <row r="4" ht="62" spans="1:1">
      <c r="A4" s="402" t="s">
        <v>3</v>
      </c>
    </row>
    <row r="5" ht="21" spans="1:1">
      <c r="A5" s="401" t="s">
        <v>4</v>
      </c>
    </row>
    <row r="6" ht="62" spans="1:1">
      <c r="A6" s="401" t="s">
        <v>5</v>
      </c>
    </row>
    <row r="7" ht="41" spans="1:1">
      <c r="A7" s="401" t="s">
        <v>6</v>
      </c>
    </row>
    <row r="8" ht="21" spans="1:1">
      <c r="A8" s="401" t="s">
        <v>7</v>
      </c>
    </row>
    <row r="9" ht="21" spans="1:1">
      <c r="A9" s="401" t="s">
        <v>8</v>
      </c>
    </row>
    <row r="10" ht="21" spans="1:1">
      <c r="A10" s="401" t="s">
        <v>9</v>
      </c>
    </row>
    <row r="11" ht="41" spans="1:1">
      <c r="A11" s="401" t="s">
        <v>10</v>
      </c>
    </row>
    <row r="12" ht="21" spans="1:1">
      <c r="A12" s="401" t="s">
        <v>11</v>
      </c>
    </row>
    <row r="13" ht="62" spans="1:1">
      <c r="A13" s="403" t="s">
        <v>12</v>
      </c>
    </row>
  </sheetData>
  <pageMargins left="0.75" right="0.75" top="1" bottom="1" header="0.510416666666667" footer="0.510416666666667"/>
  <pageSetup paperSize="9" scale="88"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7"/>
  <sheetViews>
    <sheetView view="pageBreakPreview" zoomScaleNormal="100" topLeftCell="A56" workbookViewId="0">
      <selection activeCell="D64" sqref="D$1:D$1048576"/>
    </sheetView>
  </sheetViews>
  <sheetFormatPr defaultColWidth="9" defaultRowHeight="17.6"/>
  <cols>
    <col min="1" max="1" width="6.75" style="368" customWidth="1"/>
    <col min="2" max="2" width="19.25" customWidth="1"/>
    <col min="3" max="3" width="5.875" customWidth="1"/>
    <col min="4" max="4" width="19.875" customWidth="1"/>
    <col min="5" max="5" width="31.125" customWidth="1"/>
    <col min="6" max="6" width="7.75" style="369" customWidth="1"/>
    <col min="7" max="7" width="15.5" customWidth="1"/>
    <col min="8" max="8" width="92" customWidth="1"/>
    <col min="9" max="9" width="10.75" style="370" customWidth="1"/>
  </cols>
  <sheetData>
    <row r="1" s="368" customFormat="1" spans="1:9">
      <c r="F1" s="371" t="s">
        <v>13</v>
      </c>
      <c r="G1" s="372" t="s">
        <v>14</v>
      </c>
      <c r="H1" s="372" t="s">
        <v>15</v>
      </c>
      <c r="I1" s="372" t="s">
        <v>16</v>
      </c>
    </row>
    <row r="2" ht="20.4" spans="1:9">
      <c r="A2" s="368" t="s">
        <v>17</v>
      </c>
      <c r="B2" s="119" t="s">
        <v>18</v>
      </c>
      <c r="C2" s="120" t="s">
        <v>19</v>
      </c>
      <c r="D2" s="121"/>
      <c r="E2" s="121"/>
      <c r="F2" s="373"/>
      <c r="G2" s="120"/>
      <c r="H2" s="374"/>
      <c r="I2" s="99"/>
    </row>
    <row r="3" ht="71" spans="1:9">
      <c r="A3" s="368" t="s">
        <v>20</v>
      </c>
      <c r="B3" s="125"/>
      <c r="C3" s="34"/>
      <c r="D3" s="19" t="s">
        <v>21</v>
      </c>
      <c r="E3" s="24" t="s">
        <v>22</v>
      </c>
      <c r="F3" s="181">
        <v>101</v>
      </c>
      <c r="G3" s="254" t="s">
        <v>23</v>
      </c>
      <c r="H3" s="375" t="s">
        <v>24</v>
      </c>
      <c r="I3" s="129" t="s">
        <v>25</v>
      </c>
    </row>
    <row r="4" ht="53" spans="1:9">
      <c r="B4" s="125"/>
      <c r="C4" s="34"/>
      <c r="D4" s="19" t="s">
        <v>26</v>
      </c>
      <c r="E4" s="24" t="s">
        <v>27</v>
      </c>
      <c r="F4" s="181">
        <v>102</v>
      </c>
      <c r="G4" s="254" t="s">
        <v>23</v>
      </c>
      <c r="H4" s="375" t="s">
        <v>28</v>
      </c>
      <c r="I4" s="129" t="s">
        <v>25</v>
      </c>
    </row>
    <row r="5" ht="53" spans="1:9">
      <c r="B5" s="125"/>
      <c r="C5" s="34"/>
      <c r="D5" s="19" t="s">
        <v>29</v>
      </c>
      <c r="E5" s="24" t="s">
        <v>30</v>
      </c>
      <c r="F5" s="181">
        <v>103</v>
      </c>
      <c r="G5" s="254" t="s">
        <v>23</v>
      </c>
      <c r="H5" s="375" t="s">
        <v>31</v>
      </c>
      <c r="I5" s="129" t="s">
        <v>25</v>
      </c>
    </row>
    <row r="6" ht="36" spans="1:9">
      <c r="B6" s="125"/>
      <c r="C6" s="34"/>
      <c r="D6" s="19" t="s">
        <v>32</v>
      </c>
      <c r="E6" s="24" t="s">
        <v>33</v>
      </c>
      <c r="F6" s="181">
        <v>104</v>
      </c>
      <c r="G6" s="254" t="s">
        <v>23</v>
      </c>
      <c r="H6" s="375" t="s">
        <v>34</v>
      </c>
      <c r="I6" s="129" t="s">
        <v>25</v>
      </c>
    </row>
    <row r="7" ht="53" spans="1:9">
      <c r="B7" s="125"/>
      <c r="C7" s="34"/>
      <c r="D7" s="19" t="s">
        <v>35</v>
      </c>
      <c r="E7" s="24" t="s">
        <v>36</v>
      </c>
      <c r="F7" s="181">
        <v>105</v>
      </c>
      <c r="G7" s="254" t="s">
        <v>23</v>
      </c>
      <c r="H7" s="375" t="s">
        <v>37</v>
      </c>
      <c r="I7" s="129" t="s">
        <v>25</v>
      </c>
    </row>
    <row r="8" ht="53" spans="1:9">
      <c r="B8" s="165"/>
      <c r="C8" s="166"/>
      <c r="D8" s="19" t="s">
        <v>38</v>
      </c>
      <c r="E8" s="24" t="s">
        <v>39</v>
      </c>
      <c r="F8" s="181">
        <v>106</v>
      </c>
      <c r="G8" s="254" t="s">
        <v>40</v>
      </c>
      <c r="H8" s="375" t="s">
        <v>41</v>
      </c>
      <c r="I8" s="129" t="s">
        <v>25</v>
      </c>
    </row>
    <row r="9" ht="20.4" spans="1:9">
      <c r="B9" s="119" t="s">
        <v>42</v>
      </c>
      <c r="C9" s="120" t="s">
        <v>43</v>
      </c>
      <c r="D9" s="121"/>
      <c r="E9" s="121"/>
      <c r="F9" s="373"/>
      <c r="G9" s="376"/>
      <c r="H9" s="377"/>
      <c r="I9" s="99"/>
    </row>
    <row r="10" ht="36" spans="1:9">
      <c r="B10" s="125"/>
      <c r="C10" s="34"/>
      <c r="D10" s="19" t="s">
        <v>44</v>
      </c>
      <c r="E10" s="24" t="s">
        <v>45</v>
      </c>
      <c r="F10" s="181">
        <v>201</v>
      </c>
      <c r="G10" s="254" t="s">
        <v>23</v>
      </c>
      <c r="H10" s="378" t="s">
        <v>46</v>
      </c>
      <c r="I10" s="129" t="s">
        <v>25</v>
      </c>
    </row>
    <row r="11" ht="36" spans="1:9">
      <c r="B11" s="165"/>
      <c r="C11" s="166"/>
      <c r="D11" s="19" t="s">
        <v>47</v>
      </c>
      <c r="E11" s="24" t="s">
        <v>48</v>
      </c>
      <c r="F11" s="181">
        <v>202</v>
      </c>
      <c r="G11" s="254" t="s">
        <v>23</v>
      </c>
      <c r="H11" s="378" t="s">
        <v>49</v>
      </c>
      <c r="I11" s="129" t="s">
        <v>25</v>
      </c>
    </row>
    <row r="12" ht="71" spans="1:9">
      <c r="B12" s="179"/>
      <c r="C12" s="180"/>
      <c r="D12" s="37" t="s">
        <v>50</v>
      </c>
      <c r="E12" s="38" t="s">
        <v>51</v>
      </c>
      <c r="F12" s="181">
        <v>203</v>
      </c>
      <c r="G12" s="254" t="s">
        <v>23</v>
      </c>
      <c r="H12" s="375" t="s">
        <v>52</v>
      </c>
      <c r="I12" s="129" t="s">
        <v>25</v>
      </c>
    </row>
    <row r="13" ht="36" spans="1:9">
      <c r="B13" s="188"/>
      <c r="C13" s="189"/>
      <c r="D13" s="190" t="s">
        <v>53</v>
      </c>
      <c r="E13" s="191" t="s">
        <v>54</v>
      </c>
      <c r="F13" s="192">
        <v>204</v>
      </c>
      <c r="G13" s="379" t="s">
        <v>55</v>
      </c>
      <c r="H13" s="164" t="s">
        <v>56</v>
      </c>
      <c r="I13" s="143" t="s">
        <v>57</v>
      </c>
    </row>
    <row r="14" ht="36" spans="1:9">
      <c r="B14" s="188"/>
      <c r="C14" s="190"/>
      <c r="D14" s="190" t="s">
        <v>58</v>
      </c>
      <c r="E14" s="191" t="s">
        <v>59</v>
      </c>
      <c r="F14" s="192">
        <v>205</v>
      </c>
      <c r="G14" s="379" t="s">
        <v>23</v>
      </c>
      <c r="H14" s="380" t="s">
        <v>60</v>
      </c>
      <c r="I14" s="190" t="s">
        <v>57</v>
      </c>
    </row>
    <row r="15" ht="124" spans="1:9">
      <c r="B15" s="199"/>
      <c r="C15" s="49"/>
      <c r="D15" s="37" t="s">
        <v>61</v>
      </c>
      <c r="E15" s="38" t="s">
        <v>62</v>
      </c>
      <c r="F15" s="181">
        <v>206</v>
      </c>
      <c r="G15" s="254" t="s">
        <v>63</v>
      </c>
      <c r="H15" s="375" t="s">
        <v>64</v>
      </c>
      <c r="I15" s="140" t="s">
        <v>25</v>
      </c>
    </row>
    <row r="16" ht="20.4" spans="1:9">
      <c r="B16" s="119" t="s">
        <v>65</v>
      </c>
      <c r="C16" s="120" t="s">
        <v>66</v>
      </c>
      <c r="D16" s="202"/>
      <c r="E16" s="202"/>
      <c r="F16" s="381"/>
      <c r="G16" s="382"/>
      <c r="H16" s="377"/>
      <c r="I16" s="99"/>
    </row>
    <row r="17" ht="36" spans="2:9">
      <c r="B17" s="125"/>
      <c r="C17" s="34"/>
      <c r="D17" s="19" t="s">
        <v>67</v>
      </c>
      <c r="E17" s="24" t="s">
        <v>68</v>
      </c>
      <c r="F17" s="181">
        <v>301</v>
      </c>
      <c r="G17" s="254" t="s">
        <v>23</v>
      </c>
      <c r="H17" s="375" t="s">
        <v>69</v>
      </c>
      <c r="I17" s="129" t="s">
        <v>25</v>
      </c>
    </row>
    <row r="18" ht="36" spans="2:9">
      <c r="B18" s="165"/>
      <c r="C18" s="166"/>
      <c r="D18" s="19" t="s">
        <v>70</v>
      </c>
      <c r="E18" s="24" t="s">
        <v>71</v>
      </c>
      <c r="F18" s="181">
        <v>302</v>
      </c>
      <c r="G18" s="254" t="s">
        <v>23</v>
      </c>
      <c r="H18" s="375" t="s">
        <v>72</v>
      </c>
      <c r="I18" s="129" t="s">
        <v>25</v>
      </c>
    </row>
    <row r="19" ht="53" spans="2:9">
      <c r="B19" s="210"/>
      <c r="C19" s="211"/>
      <c r="D19" s="190" t="s">
        <v>73</v>
      </c>
      <c r="E19" s="191" t="s">
        <v>74</v>
      </c>
      <c r="F19" s="192">
        <v>303</v>
      </c>
      <c r="G19" s="379" t="s">
        <v>23</v>
      </c>
      <c r="H19" s="164" t="s">
        <v>75</v>
      </c>
      <c r="I19" s="143" t="s">
        <v>57</v>
      </c>
    </row>
    <row r="20" ht="20.4" spans="2:9">
      <c r="B20" s="119" t="s">
        <v>76</v>
      </c>
      <c r="C20" s="120" t="s">
        <v>77</v>
      </c>
      <c r="D20" s="121"/>
      <c r="E20" s="121"/>
      <c r="F20" s="373"/>
      <c r="G20" s="376"/>
      <c r="H20" s="377"/>
      <c r="I20" s="99"/>
    </row>
    <row r="21" ht="88" spans="2:9">
      <c r="B21" s="125"/>
      <c r="C21" s="34"/>
      <c r="D21" s="19" t="s">
        <v>78</v>
      </c>
      <c r="E21" s="24" t="s">
        <v>79</v>
      </c>
      <c r="F21" s="181">
        <v>401</v>
      </c>
      <c r="G21" s="254" t="s">
        <v>23</v>
      </c>
      <c r="H21" s="375" t="s">
        <v>80</v>
      </c>
      <c r="I21" s="187" t="s">
        <v>25</v>
      </c>
    </row>
    <row r="22" ht="53" spans="2:9">
      <c r="B22" s="125"/>
      <c r="C22" s="34"/>
      <c r="D22" s="19" t="s">
        <v>81</v>
      </c>
      <c r="E22" s="24" t="s">
        <v>82</v>
      </c>
      <c r="F22" s="181">
        <v>402</v>
      </c>
      <c r="G22" s="254" t="s">
        <v>23</v>
      </c>
      <c r="H22" s="375" t="s">
        <v>83</v>
      </c>
      <c r="I22" s="187" t="s">
        <v>25</v>
      </c>
    </row>
    <row r="23" ht="71" spans="2:9">
      <c r="B23" s="125"/>
      <c r="C23" s="34"/>
      <c r="D23" s="19" t="s">
        <v>84</v>
      </c>
      <c r="E23" s="24" t="s">
        <v>85</v>
      </c>
      <c r="F23" s="181">
        <v>403</v>
      </c>
      <c r="G23" s="254" t="s">
        <v>23</v>
      </c>
      <c r="H23" s="375" t="s">
        <v>86</v>
      </c>
      <c r="I23" s="129" t="s">
        <v>25</v>
      </c>
    </row>
    <row r="24" ht="20.4" spans="2:9">
      <c r="B24" s="165"/>
      <c r="C24" s="166"/>
      <c r="D24" s="19" t="s">
        <v>87</v>
      </c>
      <c r="E24" s="24" t="s">
        <v>88</v>
      </c>
      <c r="F24" s="181">
        <v>404</v>
      </c>
      <c r="G24" s="254" t="s">
        <v>55</v>
      </c>
      <c r="H24" s="375" t="s">
        <v>89</v>
      </c>
      <c r="I24" s="220"/>
    </row>
    <row r="25" ht="88" spans="2:9">
      <c r="B25" s="125"/>
      <c r="C25" s="34"/>
      <c r="D25" s="19" t="s">
        <v>90</v>
      </c>
      <c r="E25" s="24" t="s">
        <v>91</v>
      </c>
      <c r="F25" s="181">
        <v>405</v>
      </c>
      <c r="G25" s="254" t="s">
        <v>23</v>
      </c>
      <c r="H25" s="375" t="s">
        <v>92</v>
      </c>
      <c r="I25" s="129" t="s">
        <v>25</v>
      </c>
    </row>
    <row r="26" ht="20.4" spans="2:9">
      <c r="B26" s="125"/>
      <c r="C26" s="34"/>
      <c r="D26" s="19" t="s">
        <v>93</v>
      </c>
      <c r="E26" s="24" t="s">
        <v>94</v>
      </c>
      <c r="F26" s="181">
        <v>406</v>
      </c>
      <c r="G26" s="254" t="s">
        <v>55</v>
      </c>
      <c r="H26" s="383" t="s">
        <v>95</v>
      </c>
      <c r="I26" s="33"/>
    </row>
    <row r="27" ht="88" spans="2:9">
      <c r="B27" s="165"/>
      <c r="C27" s="166"/>
      <c r="D27" s="19" t="s">
        <v>96</v>
      </c>
      <c r="E27" s="24" t="s">
        <v>97</v>
      </c>
      <c r="F27" s="181">
        <v>407</v>
      </c>
      <c r="G27" s="254" t="s">
        <v>23</v>
      </c>
      <c r="H27" s="375" t="s">
        <v>98</v>
      </c>
      <c r="I27" s="129" t="s">
        <v>25</v>
      </c>
    </row>
    <row r="28" ht="36" spans="2:9">
      <c r="B28" s="165"/>
      <c r="C28" s="166"/>
      <c r="D28" s="19" t="s">
        <v>99</v>
      </c>
      <c r="E28" s="24" t="s">
        <v>100</v>
      </c>
      <c r="F28" s="181">
        <v>408</v>
      </c>
      <c r="G28" s="254" t="s">
        <v>55</v>
      </c>
      <c r="H28" s="375" t="s">
        <v>101</v>
      </c>
      <c r="I28" s="33"/>
    </row>
    <row r="29" ht="106" spans="2:9">
      <c r="B29" s="165"/>
      <c r="C29" s="166"/>
      <c r="D29" s="19" t="s">
        <v>102</v>
      </c>
      <c r="E29" s="24" t="s">
        <v>103</v>
      </c>
      <c r="F29" s="181">
        <v>409</v>
      </c>
      <c r="G29" s="254" t="s">
        <v>23</v>
      </c>
      <c r="H29" s="375" t="s">
        <v>104</v>
      </c>
      <c r="I29" s="129" t="s">
        <v>25</v>
      </c>
    </row>
    <row r="30" ht="36" spans="2:9">
      <c r="B30" s="125"/>
      <c r="C30" s="34"/>
      <c r="D30" s="19" t="s">
        <v>105</v>
      </c>
      <c r="E30" s="24" t="s">
        <v>106</v>
      </c>
      <c r="F30" s="181">
        <v>410</v>
      </c>
      <c r="G30" s="254" t="s">
        <v>55</v>
      </c>
      <c r="H30" s="375" t="s">
        <v>107</v>
      </c>
      <c r="I30" s="33"/>
    </row>
    <row r="31" ht="71" spans="2:9">
      <c r="B31" s="125"/>
      <c r="C31" s="34"/>
      <c r="D31" s="19" t="s">
        <v>108</v>
      </c>
      <c r="E31" s="24" t="s">
        <v>109</v>
      </c>
      <c r="F31" s="181">
        <v>411</v>
      </c>
      <c r="G31" s="254" t="s">
        <v>23</v>
      </c>
      <c r="H31" s="375" t="s">
        <v>110</v>
      </c>
      <c r="I31" s="129" t="s">
        <v>25</v>
      </c>
    </row>
    <row r="32" ht="36" spans="2:9">
      <c r="B32" s="125"/>
      <c r="C32" s="34"/>
      <c r="D32" s="19" t="s">
        <v>111</v>
      </c>
      <c r="E32" s="24" t="s">
        <v>112</v>
      </c>
      <c r="F32" s="181">
        <v>412</v>
      </c>
      <c r="G32" s="254" t="s">
        <v>55</v>
      </c>
      <c r="H32" s="378" t="s">
        <v>113</v>
      </c>
      <c r="I32" s="33"/>
    </row>
    <row r="33" ht="106" spans="1:9">
      <c r="B33" s="199"/>
      <c r="C33" s="49"/>
      <c r="D33" s="37" t="s">
        <v>114</v>
      </c>
      <c r="E33" s="38" t="s">
        <v>115</v>
      </c>
      <c r="F33" s="181">
        <v>413</v>
      </c>
      <c r="G33" s="254" t="s">
        <v>23</v>
      </c>
      <c r="H33" s="378" t="s">
        <v>116</v>
      </c>
      <c r="I33" s="129" t="s">
        <v>25</v>
      </c>
    </row>
    <row r="34" ht="53" spans="1:9">
      <c r="B34" s="179"/>
      <c r="C34" s="180"/>
      <c r="D34" s="37" t="s">
        <v>117</v>
      </c>
      <c r="E34" s="38" t="s">
        <v>118</v>
      </c>
      <c r="F34" s="181">
        <v>414</v>
      </c>
      <c r="G34" s="254" t="s">
        <v>55</v>
      </c>
      <c r="H34" s="384" t="s">
        <v>119</v>
      </c>
      <c r="I34" s="139" t="s">
        <v>25</v>
      </c>
    </row>
    <row r="35" ht="141" spans="1:9">
      <c r="B35" s="179"/>
      <c r="C35" s="180"/>
      <c r="D35" s="37" t="s">
        <v>120</v>
      </c>
      <c r="E35" s="38" t="s">
        <v>121</v>
      </c>
      <c r="F35" s="181">
        <v>415</v>
      </c>
      <c r="G35" s="254" t="s">
        <v>23</v>
      </c>
      <c r="H35" s="384" t="s">
        <v>122</v>
      </c>
      <c r="I35" s="139" t="s">
        <v>25</v>
      </c>
    </row>
    <row r="36" ht="53" spans="1:9">
      <c r="B36" s="179"/>
      <c r="C36" s="180"/>
      <c r="D36" s="37" t="s">
        <v>123</v>
      </c>
      <c r="E36" s="38" t="s">
        <v>124</v>
      </c>
      <c r="F36" s="181">
        <v>416</v>
      </c>
      <c r="G36" s="254" t="s">
        <v>55</v>
      </c>
      <c r="H36" s="384" t="s">
        <v>125</v>
      </c>
      <c r="I36" s="129" t="s">
        <v>25</v>
      </c>
    </row>
    <row r="37" ht="20.4" spans="1:9">
      <c r="B37" s="119" t="s">
        <v>126</v>
      </c>
      <c r="C37" s="120" t="s">
        <v>127</v>
      </c>
      <c r="D37" s="121"/>
      <c r="E37" s="121"/>
      <c r="F37" s="373"/>
      <c r="G37" s="376"/>
      <c r="H37" s="377"/>
      <c r="I37" s="99"/>
    </row>
    <row r="38" ht="124" spans="1:9">
      <c r="B38" s="199"/>
      <c r="C38" s="49"/>
      <c r="D38" s="37" t="s">
        <v>128</v>
      </c>
      <c r="E38" s="38" t="s">
        <v>129</v>
      </c>
      <c r="F38" s="181">
        <v>501</v>
      </c>
      <c r="G38" s="254" t="s">
        <v>23</v>
      </c>
      <c r="H38" s="375" t="s">
        <v>130</v>
      </c>
      <c r="I38" s="187" t="s">
        <v>25</v>
      </c>
    </row>
    <row r="39" s="299" customFormat="1" ht="106" spans="1:9">
      <c r="A39" s="385"/>
      <c r="B39" s="199"/>
      <c r="C39" s="49"/>
      <c r="D39" s="37" t="s">
        <v>131</v>
      </c>
      <c r="E39" s="38" t="s">
        <v>132</v>
      </c>
      <c r="F39" s="181">
        <v>502</v>
      </c>
      <c r="G39" s="254" t="s">
        <v>23</v>
      </c>
      <c r="H39" s="375" t="s">
        <v>133</v>
      </c>
      <c r="I39" s="129" t="s">
        <v>25</v>
      </c>
    </row>
    <row r="40" s="299" customFormat="1" ht="124" spans="1:9">
      <c r="A40" s="385"/>
      <c r="B40" s="179"/>
      <c r="C40" s="180"/>
      <c r="D40" s="37" t="s">
        <v>134</v>
      </c>
      <c r="E40" s="38" t="s">
        <v>135</v>
      </c>
      <c r="F40" s="181">
        <v>503</v>
      </c>
      <c r="G40" s="254" t="s">
        <v>23</v>
      </c>
      <c r="H40" s="375" t="s">
        <v>136</v>
      </c>
      <c r="I40" s="129" t="s">
        <v>25</v>
      </c>
    </row>
    <row r="41" ht="36" spans="1:9">
      <c r="B41" s="188"/>
      <c r="C41" s="189"/>
      <c r="D41" s="190" t="s">
        <v>137</v>
      </c>
      <c r="E41" s="191" t="s">
        <v>138</v>
      </c>
      <c r="F41" s="192">
        <v>504</v>
      </c>
      <c r="G41" s="379" t="s">
        <v>139</v>
      </c>
      <c r="H41" s="164" t="s">
        <v>140</v>
      </c>
      <c r="I41" s="143" t="s">
        <v>57</v>
      </c>
    </row>
    <row r="42" ht="106" spans="1:9">
      <c r="B42" s="199"/>
      <c r="C42" s="49"/>
      <c r="D42" s="37" t="s">
        <v>141</v>
      </c>
      <c r="E42" s="38" t="s">
        <v>142</v>
      </c>
      <c r="F42" s="181">
        <v>505</v>
      </c>
      <c r="G42" s="254" t="s">
        <v>23</v>
      </c>
      <c r="H42" s="375" t="s">
        <v>143</v>
      </c>
      <c r="I42" s="139" t="s">
        <v>25</v>
      </c>
    </row>
    <row r="43" ht="71" spans="1:9">
      <c r="B43" s="179"/>
      <c r="C43" s="180"/>
      <c r="D43" s="37" t="s">
        <v>144</v>
      </c>
      <c r="E43" s="38" t="s">
        <v>145</v>
      </c>
      <c r="F43" s="181">
        <v>506</v>
      </c>
      <c r="G43" s="254" t="s">
        <v>23</v>
      </c>
      <c r="H43" s="378" t="s">
        <v>146</v>
      </c>
      <c r="I43" s="139" t="s">
        <v>25</v>
      </c>
    </row>
    <row r="44" ht="53" spans="1:9">
      <c r="B44" s="210"/>
      <c r="C44" s="211"/>
      <c r="D44" s="190" t="s">
        <v>147</v>
      </c>
      <c r="E44" s="191" t="s">
        <v>148</v>
      </c>
      <c r="F44" s="192">
        <v>507</v>
      </c>
      <c r="G44" s="379" t="s">
        <v>23</v>
      </c>
      <c r="H44" s="164" t="s">
        <v>149</v>
      </c>
      <c r="I44" s="143" t="s">
        <v>57</v>
      </c>
    </row>
    <row r="45" ht="53" spans="1:9">
      <c r="B45" s="210"/>
      <c r="C45" s="211"/>
      <c r="D45" s="190" t="s">
        <v>150</v>
      </c>
      <c r="E45" s="191" t="s">
        <v>151</v>
      </c>
      <c r="F45" s="192">
        <v>508</v>
      </c>
      <c r="G45" s="379" t="s">
        <v>23</v>
      </c>
      <c r="H45" s="164" t="s">
        <v>152</v>
      </c>
      <c r="I45" s="143" t="s">
        <v>57</v>
      </c>
    </row>
    <row r="46" ht="53" spans="1:9">
      <c r="B46" s="179"/>
      <c r="C46" s="180"/>
      <c r="D46" s="37" t="s">
        <v>153</v>
      </c>
      <c r="E46" s="38" t="s">
        <v>154</v>
      </c>
      <c r="F46" s="181">
        <v>509</v>
      </c>
      <c r="G46" s="254" t="s">
        <v>23</v>
      </c>
      <c r="H46" s="375" t="s">
        <v>155</v>
      </c>
      <c r="I46" s="129" t="s">
        <v>25</v>
      </c>
    </row>
    <row r="47" ht="53" spans="1:9">
      <c r="B47" s="210"/>
      <c r="C47" s="211"/>
      <c r="D47" s="190" t="s">
        <v>156</v>
      </c>
      <c r="E47" s="191" t="s">
        <v>157</v>
      </c>
      <c r="F47" s="192">
        <v>510</v>
      </c>
      <c r="G47" s="379" t="s">
        <v>23</v>
      </c>
      <c r="H47" s="164" t="s">
        <v>158</v>
      </c>
      <c r="I47" s="143" t="s">
        <v>57</v>
      </c>
    </row>
    <row r="48" ht="53" spans="1:9">
      <c r="B48" s="188"/>
      <c r="C48" s="189"/>
      <c r="D48" s="190" t="s">
        <v>159</v>
      </c>
      <c r="E48" s="191" t="s">
        <v>160</v>
      </c>
      <c r="F48" s="192">
        <v>511</v>
      </c>
      <c r="G48" s="379" t="s">
        <v>23</v>
      </c>
      <c r="H48" s="164" t="s">
        <v>161</v>
      </c>
      <c r="I48" s="143" t="s">
        <v>57</v>
      </c>
    </row>
    <row r="49" ht="20.4" spans="1:9">
      <c r="B49" s="119" t="s">
        <v>162</v>
      </c>
      <c r="C49" s="120" t="s">
        <v>163</v>
      </c>
      <c r="D49" s="202"/>
      <c r="E49" s="202"/>
      <c r="F49" s="381"/>
      <c r="G49" s="382"/>
      <c r="H49" s="377"/>
      <c r="I49" s="99"/>
    </row>
    <row r="50" ht="71" spans="1:9">
      <c r="B50" s="179"/>
      <c r="C50" s="180"/>
      <c r="D50" s="37" t="s">
        <v>164</v>
      </c>
      <c r="E50" s="38" t="s">
        <v>165</v>
      </c>
      <c r="F50" s="181" t="s">
        <v>166</v>
      </c>
      <c r="G50" s="254" t="s">
        <v>23</v>
      </c>
      <c r="H50" s="375" t="s">
        <v>167</v>
      </c>
      <c r="I50" s="129" t="s">
        <v>25</v>
      </c>
    </row>
    <row r="51" ht="53" spans="1:9">
      <c r="B51" s="179"/>
      <c r="C51" s="180"/>
      <c r="D51" s="37" t="s">
        <v>168</v>
      </c>
      <c r="E51" s="38" t="s">
        <v>169</v>
      </c>
      <c r="F51" s="181" t="s">
        <v>170</v>
      </c>
      <c r="G51" s="254" t="s">
        <v>23</v>
      </c>
      <c r="H51" s="375" t="s">
        <v>171</v>
      </c>
      <c r="I51" s="230" t="s">
        <v>25</v>
      </c>
    </row>
    <row r="52" ht="53" spans="1:9">
      <c r="B52" s="179"/>
      <c r="C52" s="180"/>
      <c r="D52" s="37" t="s">
        <v>172</v>
      </c>
      <c r="E52" s="38" t="s">
        <v>173</v>
      </c>
      <c r="F52" s="181" t="s">
        <v>174</v>
      </c>
      <c r="G52" s="254" t="s">
        <v>23</v>
      </c>
      <c r="H52" s="378" t="s">
        <v>175</v>
      </c>
      <c r="I52" s="230" t="s">
        <v>25</v>
      </c>
    </row>
    <row r="53" ht="20.4" spans="1:9">
      <c r="B53" s="119" t="s">
        <v>176</v>
      </c>
      <c r="C53" s="120" t="s">
        <v>177</v>
      </c>
      <c r="D53" s="202"/>
      <c r="E53" s="202"/>
      <c r="F53" s="381"/>
      <c r="G53" s="382"/>
      <c r="H53" s="377"/>
      <c r="I53" s="99"/>
    </row>
    <row r="54" ht="212" spans="1:9">
      <c r="B54" s="125"/>
      <c r="C54" s="34"/>
      <c r="D54" s="19" t="s">
        <v>178</v>
      </c>
      <c r="E54" s="24" t="s">
        <v>179</v>
      </c>
      <c r="F54" s="181">
        <v>701</v>
      </c>
      <c r="G54" s="254" t="s">
        <v>23</v>
      </c>
      <c r="H54" s="375" t="s">
        <v>180</v>
      </c>
      <c r="I54" s="129" t="s">
        <v>25</v>
      </c>
    </row>
    <row r="55" ht="141" spans="1:9">
      <c r="B55" s="125"/>
      <c r="C55" s="34"/>
      <c r="D55" s="19" t="s">
        <v>181</v>
      </c>
      <c r="E55" s="24" t="s">
        <v>182</v>
      </c>
      <c r="F55" s="181">
        <v>702</v>
      </c>
      <c r="G55" s="254" t="s">
        <v>23</v>
      </c>
      <c r="H55" s="375" t="s">
        <v>183</v>
      </c>
      <c r="I55" s="129" t="s">
        <v>25</v>
      </c>
    </row>
    <row r="56" ht="20.4" spans="1:9">
      <c r="B56" s="125"/>
      <c r="C56" s="34"/>
      <c r="D56" s="19" t="s">
        <v>184</v>
      </c>
      <c r="E56" s="24" t="s">
        <v>185</v>
      </c>
      <c r="F56" s="181">
        <v>703</v>
      </c>
      <c r="G56" s="254" t="s">
        <v>55</v>
      </c>
      <c r="H56" s="375" t="s">
        <v>186</v>
      </c>
      <c r="I56" s="129" t="s">
        <v>25</v>
      </c>
    </row>
    <row r="57" ht="53" spans="1:9">
      <c r="B57" s="125"/>
      <c r="C57" s="34"/>
      <c r="D57" s="19" t="s">
        <v>187</v>
      </c>
      <c r="E57" s="24" t="s">
        <v>188</v>
      </c>
      <c r="F57" s="181">
        <v>704</v>
      </c>
      <c r="G57" s="254" t="s">
        <v>23</v>
      </c>
      <c r="H57" s="375" t="s">
        <v>189</v>
      </c>
      <c r="I57" s="139" t="s">
        <v>25</v>
      </c>
    </row>
    <row r="58" ht="71" spans="1:9">
      <c r="B58" s="125"/>
      <c r="C58" s="34"/>
      <c r="D58" s="19" t="s">
        <v>190</v>
      </c>
      <c r="E58" s="24" t="s">
        <v>191</v>
      </c>
      <c r="F58" s="181">
        <v>705</v>
      </c>
      <c r="G58" s="254" t="s">
        <v>55</v>
      </c>
      <c r="H58" s="375" t="s">
        <v>192</v>
      </c>
      <c r="I58" s="129" t="s">
        <v>25</v>
      </c>
    </row>
    <row r="59" ht="36" spans="1:9">
      <c r="B59" s="125"/>
      <c r="C59" s="34"/>
      <c r="D59" s="19" t="s">
        <v>193</v>
      </c>
      <c r="E59" s="24" t="s">
        <v>194</v>
      </c>
      <c r="F59" s="181">
        <v>706</v>
      </c>
      <c r="G59" s="254" t="s">
        <v>55</v>
      </c>
      <c r="H59" s="375" t="s">
        <v>195</v>
      </c>
      <c r="I59" s="129" t="s">
        <v>25</v>
      </c>
    </row>
    <row r="60" ht="20.4" spans="1:9">
      <c r="B60" s="386" t="s">
        <v>196</v>
      </c>
      <c r="C60" s="387" t="s">
        <v>197</v>
      </c>
      <c r="D60" s="388"/>
      <c r="E60" s="388"/>
      <c r="F60" s="389"/>
      <c r="G60" s="390"/>
      <c r="H60" s="391"/>
      <c r="I60" s="99"/>
    </row>
    <row r="61" ht="53" spans="1:9">
      <c r="B61" s="165"/>
      <c r="C61" s="166"/>
      <c r="D61" s="19" t="s">
        <v>198</v>
      </c>
      <c r="E61" s="24" t="s">
        <v>199</v>
      </c>
      <c r="F61" s="181">
        <v>801</v>
      </c>
      <c r="G61" s="254" t="s">
        <v>23</v>
      </c>
      <c r="H61" s="375" t="s">
        <v>200</v>
      </c>
      <c r="I61" s="237" t="s">
        <v>25</v>
      </c>
    </row>
    <row r="62" ht="36" spans="1:9">
      <c r="B62" s="165"/>
      <c r="C62" s="166"/>
      <c r="D62" s="19" t="s">
        <v>201</v>
      </c>
      <c r="E62" s="24" t="s">
        <v>202</v>
      </c>
      <c r="F62" s="181">
        <v>802</v>
      </c>
      <c r="G62" s="254" t="s">
        <v>55</v>
      </c>
      <c r="H62" s="375" t="s">
        <v>203</v>
      </c>
      <c r="I62" s="129" t="s">
        <v>25</v>
      </c>
    </row>
    <row r="63" s="299" customFormat="1" ht="88" spans="1:9">
      <c r="A63" s="385"/>
      <c r="B63" s="179"/>
      <c r="C63" s="180"/>
      <c r="D63" s="37" t="s">
        <v>204</v>
      </c>
      <c r="E63" s="38" t="s">
        <v>205</v>
      </c>
      <c r="F63" s="181">
        <v>803</v>
      </c>
      <c r="G63" s="254" t="s">
        <v>23</v>
      </c>
      <c r="H63" s="375" t="s">
        <v>206</v>
      </c>
      <c r="I63" s="129" t="s">
        <v>25</v>
      </c>
    </row>
    <row r="64" s="299" customFormat="1" ht="20.4" spans="1:9">
      <c r="A64" s="385"/>
      <c r="B64" s="179"/>
      <c r="C64" s="180"/>
      <c r="D64" s="37" t="s">
        <v>207</v>
      </c>
      <c r="E64" s="38" t="s">
        <v>208</v>
      </c>
      <c r="F64" s="181">
        <v>804</v>
      </c>
      <c r="G64" s="254" t="s">
        <v>55</v>
      </c>
      <c r="H64" s="375" t="s">
        <v>209</v>
      </c>
      <c r="I64" s="139"/>
    </row>
    <row r="65" ht="20.4" spans="2:9">
      <c r="B65" s="119" t="s">
        <v>210</v>
      </c>
      <c r="C65" s="120" t="s">
        <v>211</v>
      </c>
      <c r="D65" s="121"/>
      <c r="E65" s="121"/>
      <c r="F65" s="373"/>
      <c r="G65" s="376"/>
      <c r="H65" s="377"/>
      <c r="I65" s="99"/>
    </row>
    <row r="66" ht="53" spans="2:9">
      <c r="B66" s="249"/>
      <c r="C66" s="52"/>
      <c r="D66" s="50" t="s">
        <v>212</v>
      </c>
      <c r="E66" s="51" t="s">
        <v>210</v>
      </c>
      <c r="F66" s="392">
        <v>901</v>
      </c>
      <c r="G66" s="254" t="s">
        <v>55</v>
      </c>
      <c r="H66" s="393" t="s">
        <v>213</v>
      </c>
      <c r="I66" s="129" t="s">
        <v>25</v>
      </c>
    </row>
    <row r="67" ht="20.4" spans="2:9">
      <c r="B67" s="119" t="s">
        <v>214</v>
      </c>
      <c r="C67" s="120" t="s">
        <v>215</v>
      </c>
      <c r="D67" s="121"/>
      <c r="E67" s="121"/>
      <c r="F67" s="373"/>
      <c r="G67" s="376"/>
      <c r="H67" s="377"/>
      <c r="I67" s="99"/>
    </row>
    <row r="68" ht="53" spans="2:9">
      <c r="B68" s="37"/>
      <c r="C68" s="37"/>
      <c r="D68" s="37" t="s">
        <v>216</v>
      </c>
      <c r="E68" s="254" t="s">
        <v>217</v>
      </c>
      <c r="F68" s="183">
        <v>1001</v>
      </c>
      <c r="G68" s="394" t="s">
        <v>23</v>
      </c>
      <c r="H68" s="395" t="s">
        <v>218</v>
      </c>
      <c r="I68" s="129" t="s">
        <v>25</v>
      </c>
    </row>
    <row r="69" ht="71" spans="2:9">
      <c r="B69" s="210"/>
      <c r="C69" s="211"/>
      <c r="D69" s="190" t="s">
        <v>219</v>
      </c>
      <c r="E69" s="191" t="s">
        <v>220</v>
      </c>
      <c r="F69" s="192">
        <v>1002</v>
      </c>
      <c r="G69" s="379" t="s">
        <v>23</v>
      </c>
      <c r="H69" s="164" t="s">
        <v>221</v>
      </c>
      <c r="I69" s="143" t="s">
        <v>57</v>
      </c>
    </row>
    <row r="70" ht="106" spans="2:9">
      <c r="B70" s="210"/>
      <c r="C70" s="211"/>
      <c r="D70" s="190" t="s">
        <v>222</v>
      </c>
      <c r="E70" s="191" t="s">
        <v>223</v>
      </c>
      <c r="F70" s="192">
        <v>1003</v>
      </c>
      <c r="G70" s="379" t="s">
        <v>55</v>
      </c>
      <c r="H70" s="164" t="s">
        <v>224</v>
      </c>
      <c r="I70" s="143" t="s">
        <v>57</v>
      </c>
    </row>
    <row r="71" ht="71" spans="2:9">
      <c r="B71" s="179"/>
      <c r="C71" s="180"/>
      <c r="D71" s="37" t="s">
        <v>225</v>
      </c>
      <c r="E71" s="38" t="s">
        <v>226</v>
      </c>
      <c r="F71" s="181">
        <v>1004</v>
      </c>
      <c r="G71" s="254" t="s">
        <v>23</v>
      </c>
      <c r="H71" s="375" t="s">
        <v>227</v>
      </c>
      <c r="I71" s="140" t="s">
        <v>25</v>
      </c>
    </row>
    <row r="72" ht="71" spans="2:9">
      <c r="B72" s="188"/>
      <c r="C72" s="189"/>
      <c r="D72" s="190" t="s">
        <v>228</v>
      </c>
      <c r="E72" s="191" t="s">
        <v>229</v>
      </c>
      <c r="F72" s="192">
        <v>1005</v>
      </c>
      <c r="G72" s="191" t="s">
        <v>55</v>
      </c>
      <c r="H72" s="164" t="s">
        <v>230</v>
      </c>
      <c r="I72" s="143" t="s">
        <v>57</v>
      </c>
    </row>
    <row r="73" ht="88" spans="2:9">
      <c r="B73" s="210"/>
      <c r="C73" s="211"/>
      <c r="D73" s="190" t="s">
        <v>231</v>
      </c>
      <c r="E73" s="191" t="s">
        <v>232</v>
      </c>
      <c r="F73" s="192">
        <v>1006</v>
      </c>
      <c r="G73" s="191" t="s">
        <v>55</v>
      </c>
      <c r="H73" s="164" t="s">
        <v>233</v>
      </c>
      <c r="I73" s="143" t="s">
        <v>57</v>
      </c>
    </row>
    <row r="74" ht="20.4" spans="2:9">
      <c r="B74" s="119" t="s">
        <v>234</v>
      </c>
      <c r="C74" s="120" t="s">
        <v>235</v>
      </c>
      <c r="D74" s="121"/>
      <c r="E74" s="121"/>
      <c r="F74" s="373"/>
      <c r="G74" s="376"/>
      <c r="H74" s="377"/>
      <c r="I74" s="99"/>
    </row>
    <row r="75" ht="53" spans="2:9">
      <c r="B75" s="249"/>
      <c r="C75" s="52"/>
      <c r="D75" s="50" t="s">
        <v>236</v>
      </c>
      <c r="E75" s="51" t="s">
        <v>237</v>
      </c>
      <c r="F75" s="392">
        <v>1101</v>
      </c>
      <c r="G75" s="396" t="s">
        <v>55</v>
      </c>
      <c r="H75" s="393" t="s">
        <v>238</v>
      </c>
      <c r="I75" s="99"/>
    </row>
    <row r="76" ht="71" spans="2:9">
      <c r="B76" s="249"/>
      <c r="C76" s="52"/>
      <c r="D76" s="50" t="s">
        <v>239</v>
      </c>
      <c r="E76" s="51" t="s">
        <v>240</v>
      </c>
      <c r="F76" s="392">
        <v>1102</v>
      </c>
      <c r="G76" s="396" t="s">
        <v>23</v>
      </c>
      <c r="H76" s="393" t="s">
        <v>241</v>
      </c>
      <c r="I76" s="187" t="s">
        <v>25</v>
      </c>
    </row>
    <row r="77" ht="106" spans="2:9">
      <c r="B77" s="249"/>
      <c r="C77" s="52"/>
      <c r="D77" s="50" t="s">
        <v>242</v>
      </c>
      <c r="E77" s="51" t="s">
        <v>243</v>
      </c>
      <c r="F77" s="392">
        <v>1103</v>
      </c>
      <c r="G77" s="396" t="s">
        <v>55</v>
      </c>
      <c r="H77" s="393" t="s">
        <v>244</v>
      </c>
      <c r="I77" s="99"/>
    </row>
    <row r="78" ht="71" spans="2:9">
      <c r="B78" s="249"/>
      <c r="C78" s="52"/>
      <c r="D78" s="50" t="s">
        <v>245</v>
      </c>
      <c r="E78" s="51" t="s">
        <v>246</v>
      </c>
      <c r="F78" s="392">
        <v>1104</v>
      </c>
      <c r="G78" s="396" t="s">
        <v>23</v>
      </c>
      <c r="H78" s="393" t="s">
        <v>247</v>
      </c>
      <c r="I78" s="99"/>
    </row>
    <row r="79" ht="20.4" spans="2:9">
      <c r="B79" s="119" t="s">
        <v>248</v>
      </c>
      <c r="C79" s="120" t="s">
        <v>249</v>
      </c>
      <c r="D79" s="121"/>
      <c r="E79" s="121"/>
      <c r="F79" s="397"/>
      <c r="G79" s="398"/>
      <c r="H79" s="377"/>
      <c r="I79" s="99"/>
    </row>
    <row r="80" ht="36" spans="2:9">
      <c r="B80" s="125"/>
      <c r="C80" s="19"/>
      <c r="D80" s="19" t="s">
        <v>250</v>
      </c>
      <c r="E80" s="24" t="s">
        <v>251</v>
      </c>
      <c r="F80" s="183">
        <v>1201</v>
      </c>
      <c r="G80" s="38" t="s">
        <v>23</v>
      </c>
      <c r="H80" s="375" t="s">
        <v>252</v>
      </c>
      <c r="I80" s="33"/>
    </row>
    <row r="81" ht="20.4" spans="2:9">
      <c r="B81" s="125"/>
      <c r="C81" s="19"/>
      <c r="D81" s="19" t="s">
        <v>253</v>
      </c>
      <c r="E81" s="24" t="s">
        <v>254</v>
      </c>
      <c r="F81" s="183">
        <v>1202</v>
      </c>
      <c r="G81" s="38" t="s">
        <v>23</v>
      </c>
      <c r="H81" s="375" t="s">
        <v>255</v>
      </c>
      <c r="I81" s="33"/>
    </row>
    <row r="82" ht="20.4" spans="2:9">
      <c r="B82" s="125"/>
      <c r="C82" s="19"/>
      <c r="D82" s="19" t="s">
        <v>256</v>
      </c>
      <c r="E82" s="24" t="s">
        <v>257</v>
      </c>
      <c r="F82" s="183">
        <v>1203</v>
      </c>
      <c r="G82" s="38" t="s">
        <v>23</v>
      </c>
      <c r="H82" s="375" t="s">
        <v>258</v>
      </c>
      <c r="I82" s="33"/>
    </row>
    <row r="83" ht="53" spans="2:9">
      <c r="B83" s="125"/>
      <c r="C83" s="19"/>
      <c r="D83" s="19" t="s">
        <v>259</v>
      </c>
      <c r="E83" s="24" t="s">
        <v>260</v>
      </c>
      <c r="F83" s="183">
        <v>1204</v>
      </c>
      <c r="G83" s="38" t="s">
        <v>23</v>
      </c>
      <c r="H83" s="375" t="s">
        <v>261</v>
      </c>
      <c r="I83" s="33"/>
    </row>
    <row r="84" ht="36" spans="2:9">
      <c r="B84" s="125"/>
      <c r="C84" s="19"/>
      <c r="D84" s="19" t="s">
        <v>262</v>
      </c>
      <c r="E84" s="24" t="s">
        <v>263</v>
      </c>
      <c r="F84" s="183">
        <v>1205</v>
      </c>
      <c r="G84" s="38" t="s">
        <v>23</v>
      </c>
      <c r="H84" s="375" t="s">
        <v>264</v>
      </c>
      <c r="I84" s="33"/>
    </row>
    <row r="85" ht="20.4" spans="2:9">
      <c r="B85" s="125"/>
      <c r="C85" s="19"/>
      <c r="D85" s="19" t="s">
        <v>265</v>
      </c>
      <c r="E85" s="24" t="s">
        <v>266</v>
      </c>
      <c r="F85" s="183">
        <v>1206</v>
      </c>
      <c r="G85" s="38" t="s">
        <v>55</v>
      </c>
      <c r="H85" s="375" t="s">
        <v>267</v>
      </c>
      <c r="I85" s="33"/>
    </row>
    <row r="86" ht="20.4" spans="2:9">
      <c r="B86" s="125"/>
      <c r="C86" s="19"/>
      <c r="D86" s="19" t="s">
        <v>268</v>
      </c>
      <c r="E86" s="24" t="s">
        <v>269</v>
      </c>
      <c r="F86" s="183">
        <v>1207</v>
      </c>
      <c r="G86" s="38" t="s">
        <v>270</v>
      </c>
      <c r="H86" s="375" t="s">
        <v>271</v>
      </c>
      <c r="I86" s="129" t="s">
        <v>25</v>
      </c>
    </row>
    <row r="87" ht="71" spans="2:9">
      <c r="B87" s="188"/>
      <c r="C87" s="190"/>
      <c r="D87" s="190" t="s">
        <v>272</v>
      </c>
      <c r="E87" s="191" t="s">
        <v>273</v>
      </c>
      <c r="F87" s="192">
        <v>1208</v>
      </c>
      <c r="G87" s="191" t="s">
        <v>23</v>
      </c>
      <c r="H87" s="164" t="s">
        <v>274</v>
      </c>
      <c r="I87" s="143" t="s">
        <v>57</v>
      </c>
    </row>
  </sheetData>
  <autoFilter xmlns:etc="http://www.wps.cn/officeDocument/2017/etCustomData" ref="A1:I87" etc:filterBottomFollowUsedRange="0">
    <extLst/>
  </autoFilter>
  <pageMargins left="0.75" right="0.75" top="1" bottom="1" header="0.511805555555556" footer="0.51180555555555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316"/>
  <sheetViews>
    <sheetView showGridLines="0" tabSelected="1" view="pageBreakPreview" zoomScaleNormal="90" workbookViewId="0">
      <pane ySplit="5" topLeftCell="A50" activePane="bottomLeft" state="frozen"/>
      <selection/>
      <selection pane="bottomLeft" activeCell="F56" sqref="F56"/>
    </sheetView>
  </sheetViews>
  <sheetFormatPr defaultColWidth="9" defaultRowHeight="17.6" outlineLevelCol="5"/>
  <cols>
    <col min="1" max="1" width="36.0803571428571" style="298" customWidth="1"/>
    <col min="2" max="2" width="11.5803571428571" style="298" customWidth="1"/>
    <col min="3" max="3" width="23.3303571428571" style="298" customWidth="1"/>
    <col min="4" max="4" width="26.0803571428571" style="298" customWidth="1"/>
    <col min="5" max="5" width="58.75" style="297" customWidth="1"/>
    <col min="6" max="16384" width="9" style="298"/>
  </cols>
  <sheetData>
    <row r="2" spans="1:6">
      <c r="A2" s="301" t="s">
        <v>275</v>
      </c>
      <c r="B2" s="302"/>
      <c r="C2" s="302"/>
      <c r="D2" s="303"/>
      <c r="E2" s="302"/>
      <c r="F2" s="304"/>
    </row>
    <row r="3" spans="1:6">
      <c r="A3" s="305"/>
      <c r="B3" s="306"/>
      <c r="C3" s="306"/>
      <c r="D3" s="307"/>
      <c r="E3" s="306"/>
      <c r="F3" s="308"/>
    </row>
    <row r="4" spans="1:6">
      <c r="A4" s="309" t="s">
        <v>276</v>
      </c>
      <c r="B4" s="309" t="s">
        <v>277</v>
      </c>
      <c r="C4" s="309" t="s">
        <v>278</v>
      </c>
      <c r="D4" s="310" t="s">
        <v>279</v>
      </c>
      <c r="E4" s="310" t="s">
        <v>275</v>
      </c>
      <c r="F4" s="309" t="s">
        <v>280</v>
      </c>
    </row>
    <row r="5" spans="1:6">
      <c r="A5" s="311"/>
      <c r="B5" s="312"/>
      <c r="C5" s="312"/>
      <c r="D5" s="313"/>
      <c r="E5" s="313"/>
      <c r="F5" s="312"/>
    </row>
    <row r="6" spans="1:6">
      <c r="A6" s="314" t="s">
        <v>18</v>
      </c>
      <c r="B6" s="315" t="s">
        <v>19</v>
      </c>
      <c r="C6" s="315"/>
      <c r="D6" s="316"/>
      <c r="E6" s="316"/>
      <c r="F6" s="315"/>
    </row>
    <row r="7" s="295" customFormat="1" ht="282" outlineLevel="1" spans="1:6">
      <c r="A7" s="317"/>
      <c r="B7" s="318" t="s">
        <v>281</v>
      </c>
      <c r="C7" s="319" t="s">
        <v>282</v>
      </c>
      <c r="D7" s="320" t="s">
        <v>283</v>
      </c>
      <c r="E7" s="321" t="s">
        <v>284</v>
      </c>
      <c r="F7" s="322" t="s">
        <v>285</v>
      </c>
    </row>
    <row r="8" s="295" customFormat="1" ht="18" outlineLevel="1" spans="1:6">
      <c r="B8" s="318" t="s">
        <v>286</v>
      </c>
      <c r="C8" s="319" t="s">
        <v>287</v>
      </c>
      <c r="D8" s="320" t="s">
        <v>288</v>
      </c>
      <c r="E8" s="321" t="s">
        <v>289</v>
      </c>
      <c r="F8" s="322" t="s">
        <v>290</v>
      </c>
    </row>
    <row r="9" ht="36" outlineLevel="1" spans="1:6">
      <c r="A9" s="323"/>
      <c r="B9" s="324" t="s">
        <v>291</v>
      </c>
      <c r="C9" s="325" t="s">
        <v>292</v>
      </c>
      <c r="D9" s="326" t="s">
        <v>293</v>
      </c>
      <c r="E9" s="327" t="s">
        <v>294</v>
      </c>
      <c r="F9" s="328" t="s">
        <v>295</v>
      </c>
    </row>
    <row r="10" s="295" customFormat="1" ht="36" outlineLevel="1" spans="1:6">
      <c r="A10" s="317"/>
      <c r="B10" s="318" t="s">
        <v>296</v>
      </c>
      <c r="C10" s="319" t="s">
        <v>297</v>
      </c>
      <c r="D10" s="320" t="s">
        <v>298</v>
      </c>
      <c r="E10" s="321" t="s">
        <v>299</v>
      </c>
      <c r="F10" s="322" t="s">
        <v>300</v>
      </c>
    </row>
    <row r="11" ht="18" outlineLevel="1" spans="1:6">
      <c r="A11" s="323"/>
      <c r="B11" s="324" t="s">
        <v>301</v>
      </c>
      <c r="C11" s="325" t="s">
        <v>302</v>
      </c>
      <c r="D11" s="326" t="s">
        <v>303</v>
      </c>
      <c r="E11" s="329" t="s">
        <v>304</v>
      </c>
      <c r="F11" s="328" t="s">
        <v>305</v>
      </c>
    </row>
    <row r="12" ht="18" outlineLevel="1" spans="1:6">
      <c r="A12" s="323"/>
      <c r="B12" s="324" t="s">
        <v>306</v>
      </c>
      <c r="C12" s="325" t="s">
        <v>307</v>
      </c>
      <c r="D12" s="326" t="s">
        <v>308</v>
      </c>
      <c r="E12" s="329" t="s">
        <v>309</v>
      </c>
      <c r="F12" s="328" t="s">
        <v>310</v>
      </c>
    </row>
    <row r="13" ht="18" outlineLevel="1" spans="1:6">
      <c r="A13" s="323"/>
      <c r="B13" s="324" t="s">
        <v>311</v>
      </c>
      <c r="C13" s="325" t="s">
        <v>312</v>
      </c>
      <c r="D13" s="326" t="s">
        <v>313</v>
      </c>
      <c r="E13" s="329" t="s">
        <v>314</v>
      </c>
      <c r="F13" s="323" t="s">
        <v>310</v>
      </c>
    </row>
    <row r="14" s="295" customFormat="1" ht="71" outlineLevel="1" spans="1:6">
      <c r="A14" s="317"/>
      <c r="B14" s="318" t="s">
        <v>315</v>
      </c>
      <c r="C14" s="319" t="s">
        <v>316</v>
      </c>
      <c r="D14" s="320" t="s">
        <v>317</v>
      </c>
      <c r="E14" s="321" t="s">
        <v>318</v>
      </c>
      <c r="F14" s="317" t="s">
        <v>285</v>
      </c>
    </row>
    <row r="15" ht="18" outlineLevel="1" spans="1:6">
      <c r="A15" s="323"/>
      <c r="B15" s="324" t="s">
        <v>319</v>
      </c>
      <c r="C15" s="325" t="s">
        <v>320</v>
      </c>
      <c r="D15" s="326" t="s">
        <v>321</v>
      </c>
      <c r="E15" s="327" t="s">
        <v>322</v>
      </c>
      <c r="F15" s="323" t="s">
        <v>323</v>
      </c>
    </row>
    <row r="16" s="295" customFormat="1" ht="23" customHeight="1" outlineLevel="1" spans="1:6">
      <c r="A16" s="317"/>
      <c r="B16" s="318" t="s">
        <v>324</v>
      </c>
      <c r="C16" s="319" t="s">
        <v>325</v>
      </c>
      <c r="D16" s="320" t="s">
        <v>326</v>
      </c>
      <c r="E16" s="330" t="s">
        <v>327</v>
      </c>
      <c r="F16" s="317" t="s">
        <v>323</v>
      </c>
    </row>
    <row r="17" ht="106" customHeight="1" outlineLevel="1" spans="1:6">
      <c r="A17" s="323"/>
      <c r="B17" s="324" t="s">
        <v>328</v>
      </c>
      <c r="C17" s="325" t="s">
        <v>329</v>
      </c>
      <c r="D17" s="326" t="s">
        <v>330</v>
      </c>
      <c r="E17" s="327" t="s">
        <v>331</v>
      </c>
      <c r="F17" s="328" t="s">
        <v>323</v>
      </c>
    </row>
    <row r="18" s="295" customFormat="1" ht="18" outlineLevel="1" spans="1:6">
      <c r="A18" s="323"/>
      <c r="B18" s="324" t="s">
        <v>332</v>
      </c>
      <c r="C18" s="325" t="s">
        <v>333</v>
      </c>
      <c r="D18" s="326" t="s">
        <v>334</v>
      </c>
      <c r="E18" s="327" t="s">
        <v>335</v>
      </c>
      <c r="F18" s="322" t="s">
        <v>323</v>
      </c>
    </row>
    <row r="19" ht="18" outlineLevel="1" spans="1:6">
      <c r="A19" s="317"/>
      <c r="B19" s="318" t="s">
        <v>336</v>
      </c>
      <c r="C19" s="319" t="s">
        <v>337</v>
      </c>
      <c r="D19" s="320" t="s">
        <v>338</v>
      </c>
      <c r="E19" s="321" t="s">
        <v>339</v>
      </c>
      <c r="F19" s="317" t="s">
        <v>323</v>
      </c>
    </row>
    <row r="20" ht="18" outlineLevel="1" spans="1:6">
      <c r="A20" s="323"/>
      <c r="B20" s="324" t="s">
        <v>340</v>
      </c>
      <c r="C20" s="325" t="s">
        <v>341</v>
      </c>
      <c r="D20" s="326" t="s">
        <v>342</v>
      </c>
      <c r="E20" s="327" t="s">
        <v>343</v>
      </c>
      <c r="F20" s="323" t="s">
        <v>310</v>
      </c>
    </row>
    <row r="21" s="295" customFormat="1" ht="18" outlineLevel="1" spans="1:6">
      <c r="A21" s="317"/>
      <c r="B21" s="318" t="s">
        <v>344</v>
      </c>
      <c r="C21" s="319" t="s">
        <v>345</v>
      </c>
      <c r="D21" s="320" t="s">
        <v>346</v>
      </c>
      <c r="E21" s="321" t="s">
        <v>347</v>
      </c>
      <c r="F21" s="317" t="s">
        <v>310</v>
      </c>
    </row>
    <row r="22" ht="18" outlineLevel="1" spans="1:6">
      <c r="A22" s="323"/>
      <c r="B22" s="324" t="s">
        <v>348</v>
      </c>
      <c r="C22" s="325" t="s">
        <v>349</v>
      </c>
      <c r="D22" s="326" t="s">
        <v>350</v>
      </c>
      <c r="E22" s="327" t="s">
        <v>351</v>
      </c>
      <c r="F22" s="323" t="s">
        <v>323</v>
      </c>
    </row>
    <row r="23" s="295" customFormat="1" ht="18" outlineLevel="1" spans="1:6">
      <c r="A23" s="317"/>
      <c r="B23" s="318" t="s">
        <v>352</v>
      </c>
      <c r="C23" s="319" t="s">
        <v>353</v>
      </c>
      <c r="D23" s="320" t="s">
        <v>354</v>
      </c>
      <c r="E23" s="321" t="s">
        <v>355</v>
      </c>
      <c r="F23" s="317" t="s">
        <v>356</v>
      </c>
    </row>
    <row r="24" s="295" customFormat="1" ht="18" outlineLevel="1" spans="1:6">
      <c r="A24" s="317"/>
      <c r="B24" s="318" t="s">
        <v>357</v>
      </c>
      <c r="C24" s="319" t="s">
        <v>358</v>
      </c>
      <c r="D24" s="320" t="s">
        <v>359</v>
      </c>
      <c r="E24" s="321" t="s">
        <v>360</v>
      </c>
      <c r="F24" s="317" t="s">
        <v>356</v>
      </c>
    </row>
    <row r="25" s="295" customFormat="1" ht="18" outlineLevel="1" spans="1:6">
      <c r="A25" s="317"/>
      <c r="B25" s="318" t="s">
        <v>361</v>
      </c>
      <c r="C25" s="319" t="s">
        <v>362</v>
      </c>
      <c r="D25" s="320" t="s">
        <v>363</v>
      </c>
      <c r="E25" s="321" t="s">
        <v>360</v>
      </c>
      <c r="F25" s="317" t="s">
        <v>356</v>
      </c>
    </row>
    <row r="26" ht="18" outlineLevel="1" spans="1:6">
      <c r="A26" s="323"/>
      <c r="B26" s="324" t="s">
        <v>364</v>
      </c>
      <c r="C26" s="325" t="s">
        <v>365</v>
      </c>
      <c r="D26" s="326" t="s">
        <v>366</v>
      </c>
      <c r="E26" s="327" t="s">
        <v>360</v>
      </c>
      <c r="F26" s="323" t="s">
        <v>323</v>
      </c>
    </row>
    <row r="27" ht="18" outlineLevel="1" spans="1:6">
      <c r="A27" s="323"/>
      <c r="B27" s="324" t="s">
        <v>367</v>
      </c>
      <c r="C27" s="325" t="s">
        <v>368</v>
      </c>
      <c r="D27" s="326" t="s">
        <v>369</v>
      </c>
      <c r="E27" s="327" t="s">
        <v>370</v>
      </c>
      <c r="F27" s="323" t="s">
        <v>323</v>
      </c>
    </row>
    <row r="28" ht="18" outlineLevel="1" spans="1:6">
      <c r="A28" s="323"/>
      <c r="B28" s="324" t="s">
        <v>371</v>
      </c>
      <c r="C28" s="325" t="s">
        <v>372</v>
      </c>
      <c r="D28" s="326" t="s">
        <v>373</v>
      </c>
      <c r="E28" s="327" t="s">
        <v>360</v>
      </c>
      <c r="F28" s="323" t="s">
        <v>323</v>
      </c>
    </row>
    <row r="29" ht="18" outlineLevel="1" spans="1:6">
      <c r="A29" s="323"/>
      <c r="B29" s="324" t="s">
        <v>374</v>
      </c>
      <c r="C29" s="325" t="s">
        <v>375</v>
      </c>
      <c r="D29" s="326" t="s">
        <v>376</v>
      </c>
      <c r="E29" s="327" t="s">
        <v>377</v>
      </c>
      <c r="F29" s="323" t="s">
        <v>323</v>
      </c>
    </row>
    <row r="30" ht="18" outlineLevel="1" spans="1:6">
      <c r="A30" s="323"/>
      <c r="B30" s="324" t="s">
        <v>378</v>
      </c>
      <c r="C30" s="325" t="s">
        <v>379</v>
      </c>
      <c r="D30" s="326" t="s">
        <v>380</v>
      </c>
      <c r="E30" s="327" t="s">
        <v>381</v>
      </c>
      <c r="F30" s="323" t="s">
        <v>323</v>
      </c>
    </row>
    <row r="31" ht="18" outlineLevel="1" spans="1:6">
      <c r="A31" s="323"/>
      <c r="B31" s="324" t="s">
        <v>382</v>
      </c>
      <c r="C31" s="325" t="s">
        <v>383</v>
      </c>
      <c r="D31" s="326" t="s">
        <v>384</v>
      </c>
      <c r="E31" s="327" t="s">
        <v>377</v>
      </c>
      <c r="F31" s="323" t="s">
        <v>385</v>
      </c>
    </row>
    <row r="32" ht="18" outlineLevel="1" spans="1:6">
      <c r="A32" s="323"/>
      <c r="B32" s="324" t="s">
        <v>386</v>
      </c>
      <c r="C32" s="325" t="s">
        <v>387</v>
      </c>
      <c r="D32" s="326" t="s">
        <v>388</v>
      </c>
      <c r="E32" s="327" t="s">
        <v>389</v>
      </c>
      <c r="F32" s="323" t="s">
        <v>385</v>
      </c>
    </row>
    <row r="33" ht="18" outlineLevel="1" spans="1:6">
      <c r="A33" s="323"/>
      <c r="B33" s="324" t="s">
        <v>390</v>
      </c>
      <c r="C33" s="325" t="s">
        <v>391</v>
      </c>
      <c r="D33" s="326" t="s">
        <v>392</v>
      </c>
      <c r="E33" s="327" t="s">
        <v>393</v>
      </c>
      <c r="F33" s="317" t="s">
        <v>356</v>
      </c>
    </row>
    <row r="34" ht="18" outlineLevel="1" spans="1:6">
      <c r="A34" s="323"/>
      <c r="B34" s="324" t="s">
        <v>394</v>
      </c>
      <c r="C34" s="325" t="s">
        <v>395</v>
      </c>
      <c r="D34" s="326" t="s">
        <v>396</v>
      </c>
      <c r="E34" s="327" t="s">
        <v>397</v>
      </c>
      <c r="F34" s="323" t="s">
        <v>285</v>
      </c>
    </row>
    <row r="35" ht="212" outlineLevel="1" spans="1:6">
      <c r="A35" s="323"/>
      <c r="B35" s="324" t="s">
        <v>398</v>
      </c>
      <c r="C35" s="325" t="s">
        <v>399</v>
      </c>
      <c r="D35" s="326" t="s">
        <v>400</v>
      </c>
      <c r="E35" s="327" t="s">
        <v>401</v>
      </c>
      <c r="F35" s="323" t="s">
        <v>323</v>
      </c>
    </row>
    <row r="36" s="295" customFormat="1" ht="88" outlineLevel="1" spans="1:6">
      <c r="A36" s="317"/>
      <c r="B36" s="318" t="s">
        <v>402</v>
      </c>
      <c r="C36" s="319" t="s">
        <v>403</v>
      </c>
      <c r="D36" s="320" t="s">
        <v>404</v>
      </c>
      <c r="E36" s="321" t="s">
        <v>405</v>
      </c>
      <c r="F36" s="317" t="s">
        <v>285</v>
      </c>
    </row>
    <row r="37" s="295" customFormat="1" ht="80" customHeight="1" outlineLevel="1" spans="1:6">
      <c r="A37" s="331"/>
      <c r="B37" s="318" t="s">
        <v>406</v>
      </c>
      <c r="C37" s="332" t="s">
        <v>407</v>
      </c>
      <c r="D37" s="333" t="s">
        <v>408</v>
      </c>
      <c r="E37" s="334" t="s">
        <v>409</v>
      </c>
      <c r="F37" s="335" t="s">
        <v>410</v>
      </c>
    </row>
    <row r="38" ht="18" outlineLevel="1" spans="1:6">
      <c r="A38" s="323"/>
      <c r="B38" s="324" t="s">
        <v>411</v>
      </c>
      <c r="C38" s="325" t="s">
        <v>412</v>
      </c>
      <c r="D38" s="326" t="s">
        <v>413</v>
      </c>
      <c r="E38" s="336" t="s">
        <v>414</v>
      </c>
      <c r="F38" s="323" t="s">
        <v>415</v>
      </c>
    </row>
    <row r="39" s="295" customFormat="1" ht="18" outlineLevel="1" spans="1:6">
      <c r="A39" s="317"/>
      <c r="B39" s="318" t="s">
        <v>416</v>
      </c>
      <c r="C39" s="319" t="s">
        <v>417</v>
      </c>
      <c r="D39" s="320" t="s">
        <v>418</v>
      </c>
      <c r="E39" s="337" t="s">
        <v>419</v>
      </c>
      <c r="F39" s="317" t="s">
        <v>420</v>
      </c>
    </row>
    <row r="40" s="295" customFormat="1" ht="18" outlineLevel="1" spans="1:6">
      <c r="A40" s="317"/>
      <c r="B40" s="318" t="s">
        <v>421</v>
      </c>
      <c r="C40" s="319" t="s">
        <v>422</v>
      </c>
      <c r="D40" s="320" t="s">
        <v>423</v>
      </c>
      <c r="E40" s="337" t="s">
        <v>424</v>
      </c>
      <c r="F40" s="317" t="s">
        <v>425</v>
      </c>
    </row>
    <row r="41" s="296" customFormat="1" ht="18" outlineLevel="1" spans="1:6">
      <c r="A41" s="317"/>
      <c r="B41" s="318" t="s">
        <v>426</v>
      </c>
      <c r="C41" s="319" t="s">
        <v>427</v>
      </c>
      <c r="D41" s="320" t="s">
        <v>428</v>
      </c>
      <c r="E41" s="337" t="s">
        <v>429</v>
      </c>
      <c r="F41" s="338" t="s">
        <v>430</v>
      </c>
    </row>
    <row r="42" s="296" customFormat="1" ht="18" outlineLevel="1" spans="1:6">
      <c r="A42" s="317"/>
      <c r="B42" s="318" t="s">
        <v>431</v>
      </c>
      <c r="C42" s="319" t="s">
        <v>432</v>
      </c>
      <c r="D42" s="320" t="s">
        <v>433</v>
      </c>
      <c r="E42" s="337" t="s">
        <v>434</v>
      </c>
      <c r="F42" s="317" t="s">
        <v>323</v>
      </c>
    </row>
    <row r="43" s="296" customFormat="1" ht="71" outlineLevel="1" spans="1:6">
      <c r="A43" s="338"/>
      <c r="B43" s="318" t="s">
        <v>435</v>
      </c>
      <c r="C43" s="339" t="s">
        <v>436</v>
      </c>
      <c r="D43" s="320" t="s">
        <v>437</v>
      </c>
      <c r="E43" s="321" t="s">
        <v>438</v>
      </c>
      <c r="F43" s="338" t="s">
        <v>323</v>
      </c>
    </row>
    <row r="44" s="296" customFormat="1" ht="18" outlineLevel="1" spans="1:6">
      <c r="A44" s="338"/>
      <c r="B44" s="318" t="s">
        <v>439</v>
      </c>
      <c r="C44" s="339" t="s">
        <v>440</v>
      </c>
      <c r="D44" s="320" t="s">
        <v>441</v>
      </c>
      <c r="E44" s="321" t="s">
        <v>442</v>
      </c>
      <c r="F44" s="338" t="s">
        <v>443</v>
      </c>
    </row>
    <row r="45" s="296" customFormat="1" ht="106" outlineLevel="1" spans="1:6">
      <c r="A45" s="338"/>
      <c r="B45" s="318" t="s">
        <v>444</v>
      </c>
      <c r="C45" s="339" t="s">
        <v>445</v>
      </c>
      <c r="D45" s="320" t="s">
        <v>446</v>
      </c>
      <c r="E45" s="321" t="s">
        <v>447</v>
      </c>
      <c r="F45" s="338" t="s">
        <v>385</v>
      </c>
    </row>
    <row r="46" s="295" customFormat="1" ht="18" spans="1:6">
      <c r="A46" s="338"/>
      <c r="B46" s="318" t="s">
        <v>448</v>
      </c>
      <c r="C46" s="319" t="s">
        <v>449</v>
      </c>
      <c r="D46" s="320" t="s">
        <v>450</v>
      </c>
      <c r="E46" s="321" t="s">
        <v>377</v>
      </c>
      <c r="F46" s="322" t="s">
        <v>451</v>
      </c>
    </row>
    <row r="47" outlineLevel="1" spans="1:6">
      <c r="A47" s="314" t="s">
        <v>42</v>
      </c>
      <c r="B47" s="315" t="s">
        <v>43</v>
      </c>
      <c r="C47" s="315"/>
      <c r="D47" s="316"/>
      <c r="E47" s="340"/>
      <c r="F47" s="315"/>
    </row>
    <row r="48" ht="36" outlineLevel="1" spans="1:6">
      <c r="A48" s="323"/>
      <c r="B48" s="328" t="s">
        <v>452</v>
      </c>
      <c r="C48" s="325" t="s">
        <v>453</v>
      </c>
      <c r="D48" s="326" t="s">
        <v>454</v>
      </c>
      <c r="E48" s="327" t="s">
        <v>455</v>
      </c>
      <c r="F48" s="323" t="s">
        <v>385</v>
      </c>
    </row>
    <row r="49" s="295" customFormat="1" ht="229" outlineLevel="1" spans="1:6">
      <c r="A49" s="317"/>
      <c r="B49" s="322" t="s">
        <v>456</v>
      </c>
      <c r="C49" s="319" t="s">
        <v>457</v>
      </c>
      <c r="D49" s="320" t="s">
        <v>458</v>
      </c>
      <c r="E49" s="321" t="s">
        <v>459</v>
      </c>
      <c r="F49" s="317" t="s">
        <v>385</v>
      </c>
    </row>
    <row r="50" s="295" customFormat="1" ht="36" outlineLevel="1" spans="1:6">
      <c r="A50" s="317"/>
      <c r="B50" s="322" t="s">
        <v>460</v>
      </c>
      <c r="C50" s="319" t="s">
        <v>461</v>
      </c>
      <c r="D50" s="320" t="s">
        <v>462</v>
      </c>
      <c r="E50" s="321" t="s">
        <v>463</v>
      </c>
      <c r="F50" s="317" t="s">
        <v>464</v>
      </c>
    </row>
    <row r="51" ht="36" outlineLevel="1" spans="1:6">
      <c r="A51" s="323"/>
      <c r="B51" s="328" t="s">
        <v>465</v>
      </c>
      <c r="C51" s="325" t="s">
        <v>466</v>
      </c>
      <c r="D51" s="326" t="s">
        <v>467</v>
      </c>
      <c r="E51" s="341" t="s">
        <v>468</v>
      </c>
      <c r="F51" s="323" t="s">
        <v>385</v>
      </c>
    </row>
    <row r="52" ht="36" outlineLevel="1" spans="1:6">
      <c r="A52" s="323"/>
      <c r="B52" s="328" t="s">
        <v>469</v>
      </c>
      <c r="C52" s="325" t="s">
        <v>470</v>
      </c>
      <c r="D52" s="326" t="s">
        <v>471</v>
      </c>
      <c r="E52" s="327" t="s">
        <v>472</v>
      </c>
      <c r="F52" s="323" t="s">
        <v>323</v>
      </c>
    </row>
    <row r="53" s="295" customFormat="1" ht="18" outlineLevel="1" spans="1:6">
      <c r="A53" s="317"/>
      <c r="B53" s="322" t="s">
        <v>473</v>
      </c>
      <c r="C53" s="319" t="s">
        <v>474</v>
      </c>
      <c r="D53" s="320" t="s">
        <v>475</v>
      </c>
      <c r="E53" s="321" t="s">
        <v>476</v>
      </c>
      <c r="F53" s="317" t="s">
        <v>290</v>
      </c>
    </row>
    <row r="54" ht="36" outlineLevel="1" spans="1:6">
      <c r="A54" s="323"/>
      <c r="B54" s="328" t="s">
        <v>477</v>
      </c>
      <c r="C54" s="325" t="s">
        <v>478</v>
      </c>
      <c r="D54" s="326" t="s">
        <v>479</v>
      </c>
      <c r="E54" s="327" t="s">
        <v>480</v>
      </c>
      <c r="F54" s="323" t="s">
        <v>323</v>
      </c>
    </row>
    <row r="55" ht="18" outlineLevel="1" spans="1:6">
      <c r="A55" s="323"/>
      <c r="B55" s="328" t="s">
        <v>481</v>
      </c>
      <c r="C55" s="325" t="s">
        <v>482</v>
      </c>
      <c r="D55" s="326" t="s">
        <v>483</v>
      </c>
      <c r="E55" s="327" t="s">
        <v>484</v>
      </c>
      <c r="F55" s="323" t="s">
        <v>485</v>
      </c>
    </row>
    <row r="56" ht="18" outlineLevel="1" spans="1:6">
      <c r="A56" s="323"/>
      <c r="B56" s="328" t="s">
        <v>486</v>
      </c>
      <c r="C56" s="325" t="s">
        <v>487</v>
      </c>
      <c r="D56" s="326" t="s">
        <v>488</v>
      </c>
      <c r="E56" s="327" t="s">
        <v>489</v>
      </c>
      <c r="F56" s="323" t="s">
        <v>410</v>
      </c>
    </row>
    <row r="57" s="295" customFormat="1" ht="18" outlineLevel="1" spans="1:6">
      <c r="A57" s="323"/>
      <c r="B57" s="328" t="s">
        <v>490</v>
      </c>
      <c r="C57" s="325" t="s">
        <v>491</v>
      </c>
      <c r="D57" s="326" t="s">
        <v>492</v>
      </c>
      <c r="E57" s="327" t="s">
        <v>360</v>
      </c>
      <c r="F57" s="317" t="s">
        <v>285</v>
      </c>
    </row>
    <row r="58" ht="53" outlineLevel="1" spans="1:6">
      <c r="A58" s="317"/>
      <c r="B58" s="322" t="s">
        <v>493</v>
      </c>
      <c r="C58" s="319" t="s">
        <v>494</v>
      </c>
      <c r="D58" s="320" t="s">
        <v>495</v>
      </c>
      <c r="E58" s="321" t="s">
        <v>496</v>
      </c>
      <c r="F58" s="317" t="s">
        <v>385</v>
      </c>
    </row>
    <row r="59" s="295" customFormat="1" ht="53" outlineLevel="1" spans="1:6">
      <c r="A59" s="317"/>
      <c r="B59" s="322" t="s">
        <v>497</v>
      </c>
      <c r="C59" s="319" t="s">
        <v>498</v>
      </c>
      <c r="D59" s="320" t="s">
        <v>499</v>
      </c>
      <c r="E59" s="321" t="s">
        <v>500</v>
      </c>
      <c r="F59" s="317" t="s">
        <v>385</v>
      </c>
    </row>
    <row r="60" ht="36" outlineLevel="1" spans="1:6">
      <c r="A60" s="323"/>
      <c r="B60" s="328" t="s">
        <v>501</v>
      </c>
      <c r="C60" s="325" t="s">
        <v>502</v>
      </c>
      <c r="D60" s="326" t="s">
        <v>503</v>
      </c>
      <c r="E60" s="327" t="s">
        <v>504</v>
      </c>
      <c r="F60" s="323" t="s">
        <v>323</v>
      </c>
    </row>
    <row r="61" s="295" customFormat="1" ht="36" outlineLevel="1" spans="1:6">
      <c r="A61" s="323"/>
      <c r="B61" s="328" t="s">
        <v>505</v>
      </c>
      <c r="C61" s="325" t="s">
        <v>506</v>
      </c>
      <c r="D61" s="326" t="s">
        <v>507</v>
      </c>
      <c r="E61" s="327" t="s">
        <v>508</v>
      </c>
      <c r="F61" s="317" t="s">
        <v>385</v>
      </c>
    </row>
    <row r="62" ht="18" outlineLevel="1" spans="1:6">
      <c r="A62" s="317"/>
      <c r="B62" s="322" t="s">
        <v>509</v>
      </c>
      <c r="C62" s="319" t="s">
        <v>510</v>
      </c>
      <c r="D62" s="320" t="s">
        <v>511</v>
      </c>
      <c r="E62" s="321" t="s">
        <v>512</v>
      </c>
      <c r="F62" s="323" t="s">
        <v>513</v>
      </c>
    </row>
    <row r="63" s="295" customFormat="1" ht="88" outlineLevel="1" spans="1:6">
      <c r="A63" s="317"/>
      <c r="B63" s="322" t="s">
        <v>514</v>
      </c>
      <c r="C63" s="319" t="s">
        <v>515</v>
      </c>
      <c r="D63" s="320" t="s">
        <v>516</v>
      </c>
      <c r="E63" s="321" t="s">
        <v>517</v>
      </c>
      <c r="F63" s="317" t="s">
        <v>518</v>
      </c>
    </row>
    <row r="64" s="295" customFormat="1" ht="18" outlineLevel="1" spans="1:6">
      <c r="A64" s="317"/>
      <c r="B64" s="322" t="s">
        <v>519</v>
      </c>
      <c r="C64" s="319" t="s">
        <v>520</v>
      </c>
      <c r="D64" s="320" t="s">
        <v>521</v>
      </c>
      <c r="E64" s="321" t="s">
        <v>522</v>
      </c>
      <c r="F64" s="317" t="s">
        <v>310</v>
      </c>
    </row>
    <row r="65" ht="18" outlineLevel="1" spans="1:6">
      <c r="A65" s="323"/>
      <c r="B65" s="328" t="s">
        <v>523</v>
      </c>
      <c r="C65" s="325" t="s">
        <v>524</v>
      </c>
      <c r="D65" s="326" t="s">
        <v>525</v>
      </c>
      <c r="E65" s="327" t="s">
        <v>526</v>
      </c>
      <c r="F65" s="323" t="s">
        <v>527</v>
      </c>
    </row>
    <row r="66" ht="53" outlineLevel="1" spans="1:6">
      <c r="A66" s="323"/>
      <c r="B66" s="328" t="s">
        <v>528</v>
      </c>
      <c r="C66" s="325" t="s">
        <v>529</v>
      </c>
      <c r="D66" s="326" t="s">
        <v>530</v>
      </c>
      <c r="E66" s="327" t="s">
        <v>531</v>
      </c>
      <c r="F66" s="323" t="s">
        <v>443</v>
      </c>
    </row>
    <row r="67" s="295" customFormat="1" ht="71" outlineLevel="1" spans="1:6">
      <c r="A67" s="317"/>
      <c r="B67" s="322" t="s">
        <v>532</v>
      </c>
      <c r="C67" s="319" t="s">
        <v>533</v>
      </c>
      <c r="D67" s="320" t="s">
        <v>534</v>
      </c>
      <c r="E67" s="321" t="s">
        <v>535</v>
      </c>
      <c r="F67" s="317" t="s">
        <v>323</v>
      </c>
    </row>
    <row r="68" s="295" customFormat="1" ht="124" outlineLevel="1" spans="1:6">
      <c r="A68" s="317"/>
      <c r="B68" s="322" t="s">
        <v>536</v>
      </c>
      <c r="C68" s="319" t="s">
        <v>537</v>
      </c>
      <c r="D68" s="320" t="s">
        <v>538</v>
      </c>
      <c r="E68" s="321" t="s">
        <v>539</v>
      </c>
      <c r="F68" s="317" t="s">
        <v>540</v>
      </c>
    </row>
    <row r="69" s="295" customFormat="1" ht="106" outlineLevel="1" spans="1:6">
      <c r="A69" s="317"/>
      <c r="B69" s="322" t="s">
        <v>541</v>
      </c>
      <c r="C69" s="319" t="s">
        <v>542</v>
      </c>
      <c r="D69" s="320" t="s">
        <v>543</v>
      </c>
      <c r="E69" s="321" t="s">
        <v>544</v>
      </c>
      <c r="F69" s="317" t="s">
        <v>323</v>
      </c>
    </row>
    <row r="70" s="295" customFormat="1" ht="53" spans="1:6">
      <c r="A70" s="317"/>
      <c r="B70" s="322" t="s">
        <v>545</v>
      </c>
      <c r="C70" s="319" t="s">
        <v>546</v>
      </c>
      <c r="D70" s="320" t="s">
        <v>547</v>
      </c>
      <c r="E70" s="321" t="s">
        <v>548</v>
      </c>
      <c r="F70" s="317" t="s">
        <v>385</v>
      </c>
    </row>
    <row r="71" s="295" customFormat="1" ht="53" outlineLevel="1" spans="1:6">
      <c r="A71" s="317"/>
      <c r="B71" s="322" t="s">
        <v>549</v>
      </c>
      <c r="C71" s="319" t="s">
        <v>550</v>
      </c>
      <c r="D71" s="320" t="s">
        <v>521</v>
      </c>
      <c r="E71" s="321" t="s">
        <v>551</v>
      </c>
      <c r="F71" s="317" t="s">
        <v>552</v>
      </c>
    </row>
    <row r="72" ht="36" spans="1:6">
      <c r="A72" s="317"/>
      <c r="B72" s="322" t="s">
        <v>553</v>
      </c>
      <c r="C72" s="319" t="s">
        <v>554</v>
      </c>
      <c r="D72" s="319" t="s">
        <v>555</v>
      </c>
      <c r="E72" s="321" t="s">
        <v>556</v>
      </c>
      <c r="F72" s="317" t="s">
        <v>323</v>
      </c>
    </row>
    <row r="73" spans="1:6">
      <c r="A73" s="317"/>
      <c r="B73" s="322" t="s">
        <v>557</v>
      </c>
      <c r="C73" s="319" t="s">
        <v>558</v>
      </c>
      <c r="D73" s="319" t="s">
        <v>559</v>
      </c>
      <c r="E73" s="337" t="s">
        <v>560</v>
      </c>
      <c r="F73" s="317" t="s">
        <v>385</v>
      </c>
    </row>
    <row r="74" s="297" customFormat="1" ht="71" spans="1:6">
      <c r="A74" s="338"/>
      <c r="B74" s="322" t="s">
        <v>561</v>
      </c>
      <c r="C74" s="339" t="s">
        <v>562</v>
      </c>
      <c r="D74" s="339" t="s">
        <v>563</v>
      </c>
      <c r="E74" s="321" t="s">
        <v>535</v>
      </c>
      <c r="F74" s="317" t="s">
        <v>385</v>
      </c>
    </row>
    <row r="75" s="297" customFormat="1" ht="18" spans="1:6">
      <c r="A75" s="338"/>
      <c r="B75" s="322" t="s">
        <v>564</v>
      </c>
      <c r="C75" s="339" t="s">
        <v>565</v>
      </c>
      <c r="D75" s="339" t="s">
        <v>566</v>
      </c>
      <c r="E75" s="321" t="s">
        <v>567</v>
      </c>
      <c r="F75" s="317" t="s">
        <v>323</v>
      </c>
    </row>
    <row r="76" outlineLevel="1" spans="1:6">
      <c r="A76" s="314" t="s">
        <v>568</v>
      </c>
      <c r="B76" s="328" t="s">
        <v>66</v>
      </c>
      <c r="C76" s="328"/>
      <c r="D76" s="326"/>
      <c r="E76" s="329"/>
      <c r="F76" s="328"/>
    </row>
    <row r="77" ht="36" outlineLevel="1" spans="1:6">
      <c r="A77" s="323"/>
      <c r="B77" s="328" t="s">
        <v>569</v>
      </c>
      <c r="C77" s="325" t="s">
        <v>570</v>
      </c>
      <c r="D77" s="326" t="s">
        <v>571</v>
      </c>
      <c r="E77" s="327" t="s">
        <v>572</v>
      </c>
      <c r="F77" s="328" t="s">
        <v>385</v>
      </c>
    </row>
    <row r="78" ht="36" outlineLevel="1" spans="1:6">
      <c r="A78" s="323"/>
      <c r="B78" s="328" t="s">
        <v>573</v>
      </c>
      <c r="C78" s="325" t="s">
        <v>574</v>
      </c>
      <c r="D78" s="326" t="s">
        <v>575</v>
      </c>
      <c r="E78" s="327" t="s">
        <v>576</v>
      </c>
      <c r="F78" s="328" t="s">
        <v>356</v>
      </c>
    </row>
    <row r="79" ht="36" outlineLevel="1" spans="1:6">
      <c r="A79" s="323"/>
      <c r="B79" s="328" t="s">
        <v>577</v>
      </c>
      <c r="C79" s="325" t="s">
        <v>578</v>
      </c>
      <c r="D79" s="326" t="s">
        <v>579</v>
      </c>
      <c r="E79" s="327" t="s">
        <v>580</v>
      </c>
      <c r="F79" s="323" t="s">
        <v>356</v>
      </c>
    </row>
    <row r="80" ht="36" outlineLevel="1" spans="1:6">
      <c r="A80" s="323"/>
      <c r="B80" s="328" t="s">
        <v>581</v>
      </c>
      <c r="C80" s="325" t="s">
        <v>582</v>
      </c>
      <c r="D80" s="326" t="s">
        <v>583</v>
      </c>
      <c r="E80" s="327" t="s">
        <v>584</v>
      </c>
      <c r="F80" s="323" t="s">
        <v>585</v>
      </c>
    </row>
    <row r="81" s="295" customFormat="1" ht="36" outlineLevel="1" spans="1:6">
      <c r="A81" s="317"/>
      <c r="B81" s="322" t="s">
        <v>586</v>
      </c>
      <c r="C81" s="319" t="s">
        <v>587</v>
      </c>
      <c r="D81" s="320" t="s">
        <v>588</v>
      </c>
      <c r="E81" s="321" t="s">
        <v>589</v>
      </c>
      <c r="F81" s="317" t="s">
        <v>323</v>
      </c>
    </row>
    <row r="82" s="87" customFormat="1" ht="409.5" outlineLevel="1" spans="1:6">
      <c r="A82" s="81"/>
      <c r="B82" s="322" t="s">
        <v>590</v>
      </c>
      <c r="C82" s="342" t="s">
        <v>591</v>
      </c>
      <c r="D82" s="320" t="s">
        <v>592</v>
      </c>
      <c r="E82" s="343" t="s">
        <v>593</v>
      </c>
      <c r="F82" s="81" t="s">
        <v>356</v>
      </c>
    </row>
    <row r="83" ht="264" outlineLevel="1" spans="1:6">
      <c r="A83" s="323"/>
      <c r="B83" s="328" t="s">
        <v>594</v>
      </c>
      <c r="C83" s="325" t="s">
        <v>595</v>
      </c>
      <c r="D83" s="326" t="s">
        <v>596</v>
      </c>
      <c r="E83" s="327" t="s">
        <v>597</v>
      </c>
      <c r="F83" s="323" t="s">
        <v>552</v>
      </c>
    </row>
    <row r="84" ht="264" outlineLevel="1" spans="1:6">
      <c r="A84" s="323"/>
      <c r="B84" s="328" t="s">
        <v>598</v>
      </c>
      <c r="C84" s="325" t="s">
        <v>599</v>
      </c>
      <c r="D84" s="326" t="s">
        <v>600</v>
      </c>
      <c r="E84" s="327" t="s">
        <v>601</v>
      </c>
      <c r="F84" s="323" t="s">
        <v>602</v>
      </c>
    </row>
    <row r="85" s="298" customFormat="1" ht="18" outlineLevel="1" spans="1:6">
      <c r="A85" s="323"/>
      <c r="B85" s="328" t="s">
        <v>603</v>
      </c>
      <c r="C85" s="325" t="s">
        <v>604</v>
      </c>
      <c r="D85" s="326" t="s">
        <v>605</v>
      </c>
      <c r="E85" s="327" t="s">
        <v>606</v>
      </c>
      <c r="F85" s="323" t="s">
        <v>607</v>
      </c>
    </row>
    <row r="86" s="298" customFormat="1" ht="18" outlineLevel="1" spans="1:6">
      <c r="A86" s="323"/>
      <c r="B86" s="328" t="s">
        <v>608</v>
      </c>
      <c r="C86" s="325" t="s">
        <v>609</v>
      </c>
      <c r="D86" s="326" t="s">
        <v>610</v>
      </c>
      <c r="E86" s="327" t="s">
        <v>611</v>
      </c>
      <c r="F86" s="323" t="s">
        <v>295</v>
      </c>
    </row>
    <row r="87" s="298" customFormat="1" ht="18" outlineLevel="1" spans="1:6">
      <c r="A87" s="323"/>
      <c r="B87" s="328" t="s">
        <v>612</v>
      </c>
      <c r="C87" s="325" t="s">
        <v>613</v>
      </c>
      <c r="D87" s="326" t="s">
        <v>614</v>
      </c>
      <c r="E87" s="327" t="s">
        <v>611</v>
      </c>
      <c r="F87" s="323" t="s">
        <v>295</v>
      </c>
    </row>
    <row r="88" ht="18" outlineLevel="1" spans="1:6">
      <c r="A88" s="323"/>
      <c r="B88" s="328" t="s">
        <v>615</v>
      </c>
      <c r="C88" s="325" t="s">
        <v>616</v>
      </c>
      <c r="D88" s="326" t="s">
        <v>617</v>
      </c>
      <c r="E88" s="327" t="s">
        <v>611</v>
      </c>
      <c r="F88" s="323" t="s">
        <v>295</v>
      </c>
    </row>
    <row r="89" ht="18" outlineLevel="1" spans="1:6">
      <c r="A89" s="323"/>
      <c r="B89" s="328" t="s">
        <v>618</v>
      </c>
      <c r="C89" s="325" t="s">
        <v>619</v>
      </c>
      <c r="D89" s="326" t="s">
        <v>620</v>
      </c>
      <c r="E89" s="327" t="s">
        <v>621</v>
      </c>
      <c r="F89" s="323" t="s">
        <v>622</v>
      </c>
    </row>
    <row r="90" s="295" customFormat="1" ht="71" outlineLevel="1" spans="1:6">
      <c r="A90" s="317"/>
      <c r="B90" s="322" t="s">
        <v>623</v>
      </c>
      <c r="C90" s="319" t="s">
        <v>624</v>
      </c>
      <c r="D90" s="320" t="s">
        <v>625</v>
      </c>
      <c r="E90" s="321" t="s">
        <v>626</v>
      </c>
      <c r="F90" s="344" t="s">
        <v>290</v>
      </c>
    </row>
    <row r="91" s="295" customFormat="1" ht="71" outlineLevel="1" spans="1:6">
      <c r="A91" s="317"/>
      <c r="B91" s="322" t="s">
        <v>627</v>
      </c>
      <c r="C91" s="319" t="s">
        <v>628</v>
      </c>
      <c r="D91" s="320" t="s">
        <v>629</v>
      </c>
      <c r="E91" s="321" t="s">
        <v>630</v>
      </c>
      <c r="F91" s="317" t="s">
        <v>285</v>
      </c>
    </row>
    <row r="92" ht="53" outlineLevel="1" spans="1:6">
      <c r="A92" s="317"/>
      <c r="B92" s="322" t="s">
        <v>631</v>
      </c>
      <c r="C92" s="319" t="s">
        <v>632</v>
      </c>
      <c r="D92" s="320" t="s">
        <v>633</v>
      </c>
      <c r="E92" s="321" t="s">
        <v>634</v>
      </c>
      <c r="F92" s="323" t="s">
        <v>385</v>
      </c>
    </row>
    <row r="93" s="295" customFormat="1" ht="53" outlineLevel="1" spans="1:6">
      <c r="A93" s="317"/>
      <c r="B93" s="322" t="s">
        <v>635</v>
      </c>
      <c r="C93" s="319" t="s">
        <v>636</v>
      </c>
      <c r="D93" s="320" t="s">
        <v>637</v>
      </c>
      <c r="E93" s="321" t="s">
        <v>638</v>
      </c>
      <c r="F93" s="317" t="s">
        <v>323</v>
      </c>
    </row>
    <row r="94" s="295" customFormat="1" ht="63" customHeight="1" outlineLevel="1" spans="1:6">
      <c r="A94" s="323"/>
      <c r="B94" s="328" t="s">
        <v>639</v>
      </c>
      <c r="C94" s="325" t="s">
        <v>640</v>
      </c>
      <c r="D94" s="326" t="s">
        <v>641</v>
      </c>
      <c r="E94" s="327" t="s">
        <v>642</v>
      </c>
      <c r="F94" s="317" t="s">
        <v>607</v>
      </c>
    </row>
    <row r="95" ht="71" outlineLevel="1" spans="1:6">
      <c r="A95" s="317"/>
      <c r="B95" s="322" t="s">
        <v>643</v>
      </c>
      <c r="C95" s="319" t="s">
        <v>644</v>
      </c>
      <c r="D95" s="320" t="s">
        <v>645</v>
      </c>
      <c r="E95" s="321" t="s">
        <v>646</v>
      </c>
      <c r="F95" s="323" t="s">
        <v>385</v>
      </c>
    </row>
    <row r="96" ht="53" outlineLevel="1" spans="1:6">
      <c r="A96" s="323"/>
      <c r="B96" s="328" t="s">
        <v>647</v>
      </c>
      <c r="C96" s="325" t="s">
        <v>648</v>
      </c>
      <c r="D96" s="326" t="s">
        <v>649</v>
      </c>
      <c r="E96" s="329" t="s">
        <v>650</v>
      </c>
      <c r="F96" s="323" t="s">
        <v>552</v>
      </c>
    </row>
    <row r="97" ht="141" outlineLevel="1" spans="1:6">
      <c r="A97" s="323"/>
      <c r="B97" s="322" t="s">
        <v>651</v>
      </c>
      <c r="C97" s="319" t="s">
        <v>652</v>
      </c>
      <c r="D97" s="320" t="s">
        <v>653</v>
      </c>
      <c r="E97" s="321" t="s">
        <v>654</v>
      </c>
      <c r="F97" s="317" t="s">
        <v>385</v>
      </c>
    </row>
    <row r="98" ht="18" outlineLevel="1" spans="1:6">
      <c r="A98" s="323"/>
      <c r="B98" s="328" t="s">
        <v>655</v>
      </c>
      <c r="C98" s="325" t="s">
        <v>656</v>
      </c>
      <c r="D98" s="326" t="s">
        <v>657</v>
      </c>
      <c r="E98" s="327" t="s">
        <v>658</v>
      </c>
      <c r="F98" s="323" t="s">
        <v>295</v>
      </c>
    </row>
    <row r="99" s="295" customFormat="1" ht="18" outlineLevel="1" spans="1:6">
      <c r="A99" s="323"/>
      <c r="B99" s="328" t="s">
        <v>659</v>
      </c>
      <c r="C99" s="325" t="s">
        <v>660</v>
      </c>
      <c r="D99" s="326" t="s">
        <v>661</v>
      </c>
      <c r="E99" s="327" t="s">
        <v>662</v>
      </c>
      <c r="F99" s="317" t="s">
        <v>663</v>
      </c>
    </row>
    <row r="100" ht="62" customHeight="1" outlineLevel="1" spans="1:6">
      <c r="A100" s="317"/>
      <c r="B100" s="322" t="s">
        <v>664</v>
      </c>
      <c r="C100" s="319" t="s">
        <v>665</v>
      </c>
      <c r="D100" s="320" t="s">
        <v>666</v>
      </c>
      <c r="E100" s="321" t="s">
        <v>667</v>
      </c>
      <c r="F100" s="323" t="s">
        <v>385</v>
      </c>
    </row>
    <row r="101" s="295" customFormat="1" ht="36" outlineLevel="1" spans="1:6">
      <c r="A101" s="323"/>
      <c r="B101" s="328" t="s">
        <v>668</v>
      </c>
      <c r="C101" s="325" t="s">
        <v>669</v>
      </c>
      <c r="D101" s="326" t="s">
        <v>670</v>
      </c>
      <c r="E101" s="327" t="s">
        <v>671</v>
      </c>
      <c r="F101" s="317" t="s">
        <v>385</v>
      </c>
    </row>
    <row r="102" ht="71" outlineLevel="1" spans="1:6">
      <c r="A102" s="317"/>
      <c r="B102" s="322" t="s">
        <v>672</v>
      </c>
      <c r="C102" s="319" t="s">
        <v>673</v>
      </c>
      <c r="D102" s="320" t="s">
        <v>674</v>
      </c>
      <c r="E102" s="321" t="s">
        <v>675</v>
      </c>
      <c r="F102" s="323" t="s">
        <v>323</v>
      </c>
    </row>
    <row r="103" ht="18" outlineLevel="1" spans="1:6">
      <c r="A103" s="323"/>
      <c r="B103" s="328" t="s">
        <v>676</v>
      </c>
      <c r="C103" s="325" t="s">
        <v>677</v>
      </c>
      <c r="D103" s="326" t="s">
        <v>678</v>
      </c>
      <c r="E103" s="327" t="s">
        <v>679</v>
      </c>
      <c r="F103" s="323" t="s">
        <v>518</v>
      </c>
    </row>
    <row r="104" ht="18" outlineLevel="1" spans="1:6">
      <c r="A104" s="323"/>
      <c r="B104" s="328" t="s">
        <v>680</v>
      </c>
      <c r="C104" s="325" t="s">
        <v>681</v>
      </c>
      <c r="D104" s="326" t="s">
        <v>682</v>
      </c>
      <c r="E104" s="327" t="s">
        <v>683</v>
      </c>
      <c r="F104" s="323" t="s">
        <v>518</v>
      </c>
    </row>
    <row r="105" ht="36" outlineLevel="1" spans="1:6">
      <c r="A105" s="323"/>
      <c r="B105" s="328" t="s">
        <v>684</v>
      </c>
      <c r="C105" s="325" t="s">
        <v>685</v>
      </c>
      <c r="D105" s="326" t="s">
        <v>686</v>
      </c>
      <c r="E105" s="327" t="s">
        <v>687</v>
      </c>
      <c r="F105" s="323" t="s">
        <v>310</v>
      </c>
    </row>
    <row r="106" s="295" customFormat="1" ht="53" outlineLevel="1" spans="1:6">
      <c r="A106" s="317"/>
      <c r="B106" s="322" t="s">
        <v>688</v>
      </c>
      <c r="C106" s="319" t="s">
        <v>689</v>
      </c>
      <c r="D106" s="320" t="s">
        <v>690</v>
      </c>
      <c r="E106" s="321" t="s">
        <v>691</v>
      </c>
      <c r="F106" s="317" t="s">
        <v>552</v>
      </c>
    </row>
    <row r="107" s="295" customFormat="1" ht="36" outlineLevel="1" spans="1:6">
      <c r="A107" s="317"/>
      <c r="B107" s="322" t="s">
        <v>692</v>
      </c>
      <c r="C107" s="319" t="s">
        <v>693</v>
      </c>
      <c r="D107" s="320" t="s">
        <v>694</v>
      </c>
      <c r="E107" s="321" t="s">
        <v>695</v>
      </c>
      <c r="F107" s="317" t="s">
        <v>290</v>
      </c>
    </row>
    <row r="108" s="295" customFormat="1" ht="88" outlineLevel="1" spans="1:6">
      <c r="A108" s="323"/>
      <c r="B108" s="322" t="s">
        <v>696</v>
      </c>
      <c r="C108" s="345" t="s">
        <v>697</v>
      </c>
      <c r="D108" s="320" t="s">
        <v>698</v>
      </c>
      <c r="E108" s="321" t="s">
        <v>699</v>
      </c>
      <c r="F108" s="317" t="s">
        <v>385</v>
      </c>
    </row>
    <row r="109" outlineLevel="1" spans="1:6">
      <c r="A109" s="314" t="s">
        <v>700</v>
      </c>
      <c r="B109" s="328" t="s">
        <v>77</v>
      </c>
      <c r="C109" s="328"/>
      <c r="D109" s="326"/>
      <c r="E109" s="329"/>
      <c r="F109" s="328"/>
    </row>
    <row r="110" s="295" customFormat="1" ht="53" outlineLevel="1" spans="1:6">
      <c r="A110" s="317"/>
      <c r="B110" s="322" t="s">
        <v>701</v>
      </c>
      <c r="C110" s="319" t="s">
        <v>702</v>
      </c>
      <c r="D110" s="320" t="s">
        <v>703</v>
      </c>
      <c r="E110" s="321" t="s">
        <v>704</v>
      </c>
      <c r="F110" s="317" t="s">
        <v>518</v>
      </c>
    </row>
    <row r="111" s="295" customFormat="1" ht="71" outlineLevel="1" spans="1:6">
      <c r="A111" s="317"/>
      <c r="B111" s="322" t="s">
        <v>705</v>
      </c>
      <c r="C111" s="319" t="s">
        <v>706</v>
      </c>
      <c r="D111" s="320" t="s">
        <v>707</v>
      </c>
      <c r="E111" s="321" t="s">
        <v>708</v>
      </c>
      <c r="F111" s="317" t="s">
        <v>385</v>
      </c>
    </row>
    <row r="112" ht="88" outlineLevel="1" spans="1:6">
      <c r="A112" s="317"/>
      <c r="B112" s="322" t="s">
        <v>709</v>
      </c>
      <c r="C112" s="319" t="s">
        <v>710</v>
      </c>
      <c r="D112" s="320" t="s">
        <v>711</v>
      </c>
      <c r="E112" s="321" t="s">
        <v>712</v>
      </c>
      <c r="F112" s="323" t="s">
        <v>385</v>
      </c>
    </row>
    <row r="113" s="295" customFormat="1" ht="18" outlineLevel="1" spans="1:6">
      <c r="A113" s="323"/>
      <c r="B113" s="328" t="s">
        <v>713</v>
      </c>
      <c r="C113" s="325" t="s">
        <v>714</v>
      </c>
      <c r="D113" s="326" t="s">
        <v>715</v>
      </c>
      <c r="E113" s="327" t="s">
        <v>716</v>
      </c>
      <c r="F113" s="317" t="s">
        <v>290</v>
      </c>
    </row>
    <row r="114" ht="36" outlineLevel="1" spans="1:6">
      <c r="A114" s="317"/>
      <c r="B114" s="322" t="s">
        <v>717</v>
      </c>
      <c r="C114" s="319" t="s">
        <v>718</v>
      </c>
      <c r="D114" s="320" t="s">
        <v>719</v>
      </c>
      <c r="E114" s="321" t="s">
        <v>720</v>
      </c>
      <c r="F114" s="323" t="s">
        <v>285</v>
      </c>
    </row>
    <row r="115" s="295" customFormat="1" ht="18" outlineLevel="1" spans="1:6">
      <c r="A115" s="317"/>
      <c r="B115" s="322" t="s">
        <v>721</v>
      </c>
      <c r="C115" s="319" t="s">
        <v>722</v>
      </c>
      <c r="D115" s="320" t="s">
        <v>723</v>
      </c>
      <c r="E115" s="321" t="s">
        <v>724</v>
      </c>
      <c r="F115" s="317" t="s">
        <v>725</v>
      </c>
    </row>
    <row r="116" ht="53" spans="1:6">
      <c r="A116" s="317"/>
      <c r="B116" s="322" t="s">
        <v>726</v>
      </c>
      <c r="C116" s="319" t="s">
        <v>727</v>
      </c>
      <c r="D116" s="320" t="s">
        <v>728</v>
      </c>
      <c r="E116" s="321" t="s">
        <v>729</v>
      </c>
      <c r="F116" s="323" t="s">
        <v>385</v>
      </c>
    </row>
    <row r="117" s="295" customFormat="1" ht="18" spans="1:6">
      <c r="A117" s="317"/>
      <c r="B117" s="322" t="s">
        <v>730</v>
      </c>
      <c r="C117" s="319" t="s">
        <v>731</v>
      </c>
      <c r="D117" s="320" t="s">
        <v>732</v>
      </c>
      <c r="E117" s="346" t="s">
        <v>733</v>
      </c>
      <c r="F117" s="317" t="s">
        <v>310</v>
      </c>
    </row>
    <row r="118" ht="18" spans="1:6">
      <c r="A118" s="317"/>
      <c r="B118" s="322" t="s">
        <v>734</v>
      </c>
      <c r="C118" s="319" t="s">
        <v>735</v>
      </c>
      <c r="D118" s="320" t="s">
        <v>736</v>
      </c>
      <c r="E118" s="21" t="s">
        <v>360</v>
      </c>
      <c r="F118" s="323" t="s">
        <v>285</v>
      </c>
    </row>
    <row r="119" outlineLevel="1" spans="1:6">
      <c r="A119" s="314" t="s">
        <v>737</v>
      </c>
      <c r="B119" s="328" t="s">
        <v>127</v>
      </c>
      <c r="C119" s="328"/>
      <c r="D119" s="326"/>
      <c r="E119" s="329"/>
      <c r="F119" s="328"/>
    </row>
    <row r="120" ht="18" outlineLevel="1" spans="1:6">
      <c r="A120" s="323"/>
      <c r="B120" s="328" t="s">
        <v>738</v>
      </c>
      <c r="C120" s="325" t="s">
        <v>739</v>
      </c>
      <c r="D120" s="326" t="s">
        <v>740</v>
      </c>
      <c r="E120" s="327" t="s">
        <v>741</v>
      </c>
      <c r="F120" s="323" t="s">
        <v>356</v>
      </c>
    </row>
    <row r="121" s="299" customFormat="1" ht="18" outlineLevel="1" spans="1:6">
      <c r="A121" s="317"/>
      <c r="B121" s="322" t="s">
        <v>742</v>
      </c>
      <c r="C121" s="319" t="s">
        <v>743</v>
      </c>
      <c r="D121" s="320" t="s">
        <v>744</v>
      </c>
      <c r="E121" s="321" t="s">
        <v>745</v>
      </c>
      <c r="F121" s="317" t="s">
        <v>356</v>
      </c>
    </row>
    <row r="122" s="87" customFormat="1" ht="124" outlineLevel="1" spans="1:6">
      <c r="A122" s="81"/>
      <c r="B122" s="322" t="s">
        <v>746</v>
      </c>
      <c r="C122" s="342" t="s">
        <v>747</v>
      </c>
      <c r="D122" s="347" t="s">
        <v>748</v>
      </c>
      <c r="E122" s="343" t="s">
        <v>749</v>
      </c>
      <c r="F122" s="81" t="s">
        <v>518</v>
      </c>
    </row>
    <row r="123" ht="71" outlineLevel="1" spans="1:6">
      <c r="A123" s="317"/>
      <c r="B123" s="322" t="s">
        <v>750</v>
      </c>
      <c r="C123" s="319" t="s">
        <v>751</v>
      </c>
      <c r="D123" s="320" t="s">
        <v>752</v>
      </c>
      <c r="E123" s="321" t="s">
        <v>753</v>
      </c>
      <c r="F123" s="323" t="s">
        <v>754</v>
      </c>
    </row>
    <row r="124" s="295" customFormat="1" ht="18" outlineLevel="1" spans="1:6">
      <c r="A124" s="317"/>
      <c r="B124" s="322" t="s">
        <v>755</v>
      </c>
      <c r="C124" s="319" t="s">
        <v>756</v>
      </c>
      <c r="D124" s="320" t="s">
        <v>757</v>
      </c>
      <c r="E124" s="321" t="s">
        <v>758</v>
      </c>
      <c r="F124" s="317" t="s">
        <v>323</v>
      </c>
    </row>
    <row r="125" s="295" customFormat="1" ht="53" outlineLevel="1" spans="1:6">
      <c r="A125" s="317"/>
      <c r="B125" s="322" t="s">
        <v>759</v>
      </c>
      <c r="C125" s="319" t="s">
        <v>760</v>
      </c>
      <c r="D125" s="320" t="s">
        <v>761</v>
      </c>
      <c r="E125" s="321" t="s">
        <v>762</v>
      </c>
      <c r="F125" s="317" t="s">
        <v>323</v>
      </c>
    </row>
    <row r="126" s="295" customFormat="1" ht="18" outlineLevel="1" spans="1:6">
      <c r="A126" s="323"/>
      <c r="B126" s="328" t="s">
        <v>763</v>
      </c>
      <c r="C126" s="325" t="s">
        <v>764</v>
      </c>
      <c r="D126" s="326" t="s">
        <v>765</v>
      </c>
      <c r="E126" s="327" t="s">
        <v>766</v>
      </c>
      <c r="F126" s="317" t="s">
        <v>430</v>
      </c>
    </row>
    <row r="127" ht="212" outlineLevel="1" spans="1:6">
      <c r="A127" s="317"/>
      <c r="B127" s="322" t="s">
        <v>767</v>
      </c>
      <c r="C127" s="319" t="s">
        <v>768</v>
      </c>
      <c r="D127" s="320" t="s">
        <v>769</v>
      </c>
      <c r="E127" s="321" t="s">
        <v>770</v>
      </c>
      <c r="F127" s="323" t="s">
        <v>518</v>
      </c>
    </row>
    <row r="128" ht="18" outlineLevel="1" spans="1:6">
      <c r="A128" s="323"/>
      <c r="B128" s="328" t="s">
        <v>771</v>
      </c>
      <c r="C128" s="325" t="s">
        <v>772</v>
      </c>
      <c r="D128" s="326" t="s">
        <v>773</v>
      </c>
      <c r="E128" s="327" t="s">
        <v>774</v>
      </c>
      <c r="F128" s="323" t="s">
        <v>775</v>
      </c>
    </row>
    <row r="129" ht="53" outlineLevel="1" spans="1:6">
      <c r="A129" s="323"/>
      <c r="B129" s="328" t="s">
        <v>776</v>
      </c>
      <c r="C129" s="325" t="s">
        <v>777</v>
      </c>
      <c r="D129" s="326" t="s">
        <v>778</v>
      </c>
      <c r="E129" s="327" t="s">
        <v>779</v>
      </c>
      <c r="F129" s="323" t="s">
        <v>518</v>
      </c>
    </row>
    <row r="130" ht="18" outlineLevel="1" spans="1:6">
      <c r="A130" s="323"/>
      <c r="B130" s="328" t="s">
        <v>780</v>
      </c>
      <c r="C130" s="325" t="s">
        <v>781</v>
      </c>
      <c r="D130" s="326" t="s">
        <v>782</v>
      </c>
      <c r="E130" s="327" t="s">
        <v>377</v>
      </c>
      <c r="F130" s="323" t="s">
        <v>783</v>
      </c>
    </row>
    <row r="131" ht="18" outlineLevel="1" spans="1:6">
      <c r="A131" s="323"/>
      <c r="B131" s="328" t="s">
        <v>784</v>
      </c>
      <c r="C131" s="325" t="s">
        <v>785</v>
      </c>
      <c r="D131" s="326" t="s">
        <v>786</v>
      </c>
      <c r="E131" s="327" t="s">
        <v>787</v>
      </c>
      <c r="F131" s="323" t="s">
        <v>783</v>
      </c>
    </row>
    <row r="132" s="295" customFormat="1" ht="18" outlineLevel="1" spans="1:6">
      <c r="A132" s="317"/>
      <c r="B132" s="322" t="s">
        <v>788</v>
      </c>
      <c r="C132" s="319" t="s">
        <v>789</v>
      </c>
      <c r="D132" s="320" t="s">
        <v>790</v>
      </c>
      <c r="E132" s="321" t="s">
        <v>377</v>
      </c>
      <c r="F132" s="317" t="s">
        <v>783</v>
      </c>
    </row>
    <row r="133" s="295" customFormat="1" ht="18" outlineLevel="1" spans="1:6">
      <c r="A133" s="317"/>
      <c r="B133" s="404" t="s">
        <v>791</v>
      </c>
      <c r="C133" s="319" t="s">
        <v>792</v>
      </c>
      <c r="D133" s="320" t="s">
        <v>793</v>
      </c>
      <c r="E133" s="321" t="s">
        <v>377</v>
      </c>
      <c r="F133" s="317" t="s">
        <v>518</v>
      </c>
    </row>
    <row r="134" ht="18" outlineLevel="1" spans="1:6">
      <c r="A134" s="323"/>
      <c r="B134" s="405" t="s">
        <v>794</v>
      </c>
      <c r="C134" s="325" t="s">
        <v>795</v>
      </c>
      <c r="D134" s="326" t="s">
        <v>796</v>
      </c>
      <c r="E134" s="327" t="s">
        <v>797</v>
      </c>
      <c r="F134" s="323" t="s">
        <v>385</v>
      </c>
    </row>
    <row r="135" ht="18" outlineLevel="1" spans="1:6">
      <c r="A135" s="323"/>
      <c r="B135" s="405" t="s">
        <v>798</v>
      </c>
      <c r="C135" s="325" t="s">
        <v>799</v>
      </c>
      <c r="D135" s="326" t="s">
        <v>800</v>
      </c>
      <c r="E135" s="327" t="s">
        <v>801</v>
      </c>
      <c r="F135" s="323" t="s">
        <v>783</v>
      </c>
    </row>
    <row r="136" ht="18" outlineLevel="1" spans="1:6">
      <c r="A136" s="323"/>
      <c r="B136" s="405" t="s">
        <v>802</v>
      </c>
      <c r="C136" s="325" t="s">
        <v>803</v>
      </c>
      <c r="D136" s="326" t="s">
        <v>804</v>
      </c>
      <c r="E136" s="327" t="s">
        <v>805</v>
      </c>
      <c r="F136" s="323" t="s">
        <v>323</v>
      </c>
    </row>
    <row r="137" ht="141" outlineLevel="1" spans="1:6">
      <c r="A137" s="317"/>
      <c r="B137" s="404" t="s">
        <v>806</v>
      </c>
      <c r="C137" s="319" t="s">
        <v>807</v>
      </c>
      <c r="D137" s="320" t="s">
        <v>808</v>
      </c>
      <c r="E137" s="321" t="s">
        <v>809</v>
      </c>
      <c r="F137" s="323" t="s">
        <v>783</v>
      </c>
    </row>
    <row r="138" ht="36" outlineLevel="1" spans="1:6">
      <c r="A138" s="317"/>
      <c r="B138" s="404" t="s">
        <v>810</v>
      </c>
      <c r="C138" s="319" t="s">
        <v>811</v>
      </c>
      <c r="D138" s="320" t="s">
        <v>812</v>
      </c>
      <c r="E138" s="321" t="s">
        <v>813</v>
      </c>
      <c r="F138" s="317" t="s">
        <v>323</v>
      </c>
    </row>
    <row r="139" s="295" customFormat="1" ht="36" outlineLevel="1" spans="1:6">
      <c r="A139" s="317"/>
      <c r="B139" s="404" t="s">
        <v>814</v>
      </c>
      <c r="C139" s="319" t="s">
        <v>815</v>
      </c>
      <c r="D139" s="320" t="s">
        <v>816</v>
      </c>
      <c r="E139" s="321" t="s">
        <v>817</v>
      </c>
      <c r="F139" s="317" t="s">
        <v>323</v>
      </c>
    </row>
    <row r="140" s="295" customFormat="1" ht="18" outlineLevel="1" spans="1:6">
      <c r="A140" s="317"/>
      <c r="B140" s="404" t="s">
        <v>818</v>
      </c>
      <c r="C140" s="319" t="s">
        <v>819</v>
      </c>
      <c r="D140" s="320" t="s">
        <v>820</v>
      </c>
      <c r="E140" s="321" t="s">
        <v>821</v>
      </c>
      <c r="F140" s="317" t="s">
        <v>822</v>
      </c>
    </row>
    <row r="141" ht="18" outlineLevel="1" spans="1:6">
      <c r="A141" s="323"/>
      <c r="B141" s="405" t="s">
        <v>823</v>
      </c>
      <c r="C141" s="325" t="s">
        <v>824</v>
      </c>
      <c r="D141" s="326" t="s">
        <v>825</v>
      </c>
      <c r="E141" s="327" t="s">
        <v>484</v>
      </c>
      <c r="F141" s="323" t="s">
        <v>385</v>
      </c>
    </row>
    <row r="142" ht="18" outlineLevel="1" spans="1:6">
      <c r="A142" s="323"/>
      <c r="B142" s="405" t="s">
        <v>826</v>
      </c>
      <c r="C142" s="325" t="s">
        <v>827</v>
      </c>
      <c r="D142" s="326" t="s">
        <v>828</v>
      </c>
      <c r="E142" s="327" t="s">
        <v>484</v>
      </c>
      <c r="F142" s="323" t="s">
        <v>385</v>
      </c>
    </row>
    <row r="143" ht="18" outlineLevel="1" spans="1:6">
      <c r="A143" s="323"/>
      <c r="B143" s="405" t="s">
        <v>829</v>
      </c>
      <c r="C143" s="325" t="s">
        <v>830</v>
      </c>
      <c r="D143" s="326" t="s">
        <v>831</v>
      </c>
      <c r="E143" s="327" t="s">
        <v>832</v>
      </c>
      <c r="F143" s="323" t="s">
        <v>833</v>
      </c>
    </row>
    <row r="144" ht="18" outlineLevel="1" spans="1:6">
      <c r="A144" s="323"/>
      <c r="B144" s="405" t="s">
        <v>834</v>
      </c>
      <c r="C144" s="325" t="s">
        <v>835</v>
      </c>
      <c r="D144" s="326" t="s">
        <v>836</v>
      </c>
      <c r="E144" s="327" t="s">
        <v>837</v>
      </c>
      <c r="F144" s="323" t="s">
        <v>833</v>
      </c>
    </row>
    <row r="145" s="295" customFormat="1" ht="53" outlineLevel="1" spans="1:6">
      <c r="A145" s="317"/>
      <c r="B145" s="404" t="s">
        <v>838</v>
      </c>
      <c r="C145" s="319" t="s">
        <v>839</v>
      </c>
      <c r="D145" s="320" t="s">
        <v>840</v>
      </c>
      <c r="E145" s="321" t="s">
        <v>841</v>
      </c>
      <c r="F145" s="317" t="s">
        <v>323</v>
      </c>
    </row>
    <row r="146" ht="53" outlineLevel="1" spans="1:6">
      <c r="A146" s="317"/>
      <c r="B146" s="404" t="s">
        <v>842</v>
      </c>
      <c r="C146" s="319" t="s">
        <v>843</v>
      </c>
      <c r="D146" s="320" t="s">
        <v>844</v>
      </c>
      <c r="E146" s="321" t="s">
        <v>845</v>
      </c>
      <c r="F146" s="323" t="s">
        <v>443</v>
      </c>
    </row>
    <row r="147" ht="53" outlineLevel="1" spans="1:6">
      <c r="A147" s="317"/>
      <c r="B147" s="404" t="s">
        <v>846</v>
      </c>
      <c r="C147" s="319" t="s">
        <v>847</v>
      </c>
      <c r="D147" s="320" t="s">
        <v>848</v>
      </c>
      <c r="E147" s="321" t="s">
        <v>849</v>
      </c>
      <c r="F147" s="317" t="s">
        <v>323</v>
      </c>
    </row>
    <row r="148" ht="212" outlineLevel="1" spans="1:6">
      <c r="A148" s="323"/>
      <c r="B148" s="405" t="s">
        <v>850</v>
      </c>
      <c r="C148" s="325" t="s">
        <v>851</v>
      </c>
      <c r="D148" s="326" t="s">
        <v>852</v>
      </c>
      <c r="E148" s="327" t="s">
        <v>853</v>
      </c>
      <c r="F148" s="323" t="s">
        <v>323</v>
      </c>
    </row>
    <row r="149" ht="18" outlineLevel="1" spans="1:6">
      <c r="A149" s="323"/>
      <c r="B149" s="405" t="s">
        <v>854</v>
      </c>
      <c r="C149" s="325" t="s">
        <v>855</v>
      </c>
      <c r="D149" s="326" t="s">
        <v>856</v>
      </c>
      <c r="E149" s="327" t="s">
        <v>857</v>
      </c>
      <c r="F149" s="323" t="s">
        <v>323</v>
      </c>
    </row>
    <row r="150" s="295" customFormat="1" ht="18" outlineLevel="1" spans="1:6">
      <c r="A150" s="317"/>
      <c r="B150" s="404" t="s">
        <v>858</v>
      </c>
      <c r="C150" s="319" t="s">
        <v>859</v>
      </c>
      <c r="D150" s="320" t="s">
        <v>860</v>
      </c>
      <c r="E150" s="321" t="s">
        <v>522</v>
      </c>
      <c r="F150" s="317" t="s">
        <v>310</v>
      </c>
    </row>
    <row r="151" s="295" customFormat="1" ht="18" outlineLevel="1" spans="1:6">
      <c r="A151" s="317"/>
      <c r="B151" s="404" t="s">
        <v>861</v>
      </c>
      <c r="C151" s="319" t="s">
        <v>862</v>
      </c>
      <c r="D151" s="320" t="s">
        <v>863</v>
      </c>
      <c r="E151" s="321" t="s">
        <v>864</v>
      </c>
      <c r="F151" s="317" t="s">
        <v>310</v>
      </c>
    </row>
    <row r="152" ht="18" outlineLevel="1" spans="1:6">
      <c r="A152" s="323"/>
      <c r="B152" s="405" t="s">
        <v>865</v>
      </c>
      <c r="C152" s="325" t="s">
        <v>866</v>
      </c>
      <c r="D152" s="326" t="s">
        <v>867</v>
      </c>
      <c r="E152" s="327" t="s">
        <v>868</v>
      </c>
      <c r="F152" s="323" t="s">
        <v>385</v>
      </c>
    </row>
    <row r="153" s="295" customFormat="1" ht="18" outlineLevel="1" spans="1:6">
      <c r="A153" s="317"/>
      <c r="B153" s="404" t="s">
        <v>869</v>
      </c>
      <c r="C153" s="319" t="s">
        <v>870</v>
      </c>
      <c r="D153" s="320" t="s">
        <v>871</v>
      </c>
      <c r="E153" s="321" t="s">
        <v>872</v>
      </c>
      <c r="F153" s="317" t="s">
        <v>430</v>
      </c>
    </row>
    <row r="154" s="295" customFormat="1" ht="212" outlineLevel="1" spans="1:6">
      <c r="A154" s="317"/>
      <c r="B154" s="404" t="s">
        <v>873</v>
      </c>
      <c r="C154" s="319" t="s">
        <v>874</v>
      </c>
      <c r="D154" s="320" t="s">
        <v>875</v>
      </c>
      <c r="E154" s="321" t="s">
        <v>876</v>
      </c>
      <c r="F154" s="317" t="s">
        <v>385</v>
      </c>
    </row>
    <row r="155" s="295" customFormat="1" ht="18" outlineLevel="1" spans="1:6">
      <c r="A155" s="317"/>
      <c r="B155" s="404" t="s">
        <v>877</v>
      </c>
      <c r="C155" s="319" t="s">
        <v>878</v>
      </c>
      <c r="D155" s="320" t="s">
        <v>879</v>
      </c>
      <c r="E155" s="321" t="s">
        <v>880</v>
      </c>
      <c r="F155" s="317" t="s">
        <v>540</v>
      </c>
    </row>
    <row r="156" s="295" customFormat="1" ht="71" outlineLevel="1" spans="1:6">
      <c r="A156" s="317"/>
      <c r="B156" s="404" t="s">
        <v>881</v>
      </c>
      <c r="C156" s="319" t="s">
        <v>882</v>
      </c>
      <c r="D156" s="320" t="s">
        <v>883</v>
      </c>
      <c r="E156" s="321" t="s">
        <v>884</v>
      </c>
      <c r="F156" s="322" t="s">
        <v>540</v>
      </c>
    </row>
    <row r="157" s="295" customFormat="1" ht="36" outlineLevel="1" spans="1:6">
      <c r="A157" s="317"/>
      <c r="B157" s="404" t="s">
        <v>885</v>
      </c>
      <c r="C157" s="319" t="s">
        <v>886</v>
      </c>
      <c r="D157" s="320" t="s">
        <v>887</v>
      </c>
      <c r="E157" s="321" t="s">
        <v>888</v>
      </c>
      <c r="F157" s="322" t="s">
        <v>552</v>
      </c>
    </row>
    <row r="158" s="295" customFormat="1" ht="36" outlineLevel="1" spans="1:6">
      <c r="A158" s="317"/>
      <c r="B158" s="404" t="s">
        <v>889</v>
      </c>
      <c r="C158" s="319" t="s">
        <v>890</v>
      </c>
      <c r="D158" s="320" t="s">
        <v>891</v>
      </c>
      <c r="E158" s="321" t="s">
        <v>892</v>
      </c>
      <c r="F158" s="322" t="s">
        <v>323</v>
      </c>
    </row>
    <row r="159" s="295" customFormat="1" ht="71" outlineLevel="1" spans="1:6">
      <c r="A159" s="331"/>
      <c r="B159" s="404" t="s">
        <v>893</v>
      </c>
      <c r="C159" s="319" t="s">
        <v>894</v>
      </c>
      <c r="D159" s="320" t="s">
        <v>895</v>
      </c>
      <c r="E159" s="321" t="s">
        <v>896</v>
      </c>
      <c r="F159" s="317" t="s">
        <v>323</v>
      </c>
    </row>
    <row r="160" s="295" customFormat="1" ht="53" outlineLevel="1" spans="1:6">
      <c r="A160" s="317"/>
      <c r="B160" s="404" t="s">
        <v>897</v>
      </c>
      <c r="C160" s="332" t="s">
        <v>898</v>
      </c>
      <c r="D160" s="333" t="s">
        <v>899</v>
      </c>
      <c r="E160" s="334" t="s">
        <v>900</v>
      </c>
      <c r="F160" s="317" t="s">
        <v>323</v>
      </c>
    </row>
    <row r="161" s="295" customFormat="1" ht="18" outlineLevel="1" spans="1:6">
      <c r="A161" s="335"/>
      <c r="B161" s="404" t="s">
        <v>901</v>
      </c>
      <c r="C161" s="332" t="s">
        <v>902</v>
      </c>
      <c r="D161" s="333" t="s">
        <v>903</v>
      </c>
      <c r="E161" s="334" t="s">
        <v>904</v>
      </c>
      <c r="F161" s="317" t="s">
        <v>552</v>
      </c>
    </row>
    <row r="162" s="295" customFormat="1" ht="53" outlineLevel="1" spans="1:6">
      <c r="A162" s="331"/>
      <c r="B162" s="404" t="s">
        <v>905</v>
      </c>
      <c r="C162" s="332" t="s">
        <v>906</v>
      </c>
      <c r="D162" s="333" t="s">
        <v>907</v>
      </c>
      <c r="E162" s="334" t="s">
        <v>908</v>
      </c>
      <c r="F162" s="322" t="s">
        <v>323</v>
      </c>
    </row>
    <row r="163" s="295" customFormat="1" ht="18" outlineLevel="1" spans="1:6">
      <c r="A163" s="331"/>
      <c r="B163" s="404" t="s">
        <v>909</v>
      </c>
      <c r="C163" s="332" t="s">
        <v>910</v>
      </c>
      <c r="D163" s="333" t="s">
        <v>911</v>
      </c>
      <c r="E163" s="334" t="s">
        <v>912</v>
      </c>
      <c r="F163" s="317" t="s">
        <v>607</v>
      </c>
    </row>
    <row r="164" ht="53" spans="1:6">
      <c r="A164" s="335"/>
      <c r="B164" s="404" t="s">
        <v>913</v>
      </c>
      <c r="C164" s="332" t="s">
        <v>914</v>
      </c>
      <c r="D164" s="333" t="s">
        <v>915</v>
      </c>
      <c r="E164" s="334" t="s">
        <v>916</v>
      </c>
      <c r="F164" s="322" t="s">
        <v>323</v>
      </c>
    </row>
    <row r="165" ht="53" spans="1:6">
      <c r="A165" s="335"/>
      <c r="B165" s="404" t="s">
        <v>917</v>
      </c>
      <c r="C165" s="332" t="s">
        <v>918</v>
      </c>
      <c r="D165" s="333" t="s">
        <v>919</v>
      </c>
      <c r="E165" s="334" t="s">
        <v>920</v>
      </c>
      <c r="F165" s="322" t="s">
        <v>552</v>
      </c>
    </row>
    <row r="166" ht="36" spans="1:6">
      <c r="A166" s="335"/>
      <c r="B166" s="404" t="s">
        <v>921</v>
      </c>
      <c r="C166" s="332" t="s">
        <v>922</v>
      </c>
      <c r="D166" s="332" t="s">
        <v>923</v>
      </c>
      <c r="E166" s="334" t="s">
        <v>924</v>
      </c>
      <c r="F166" s="339" t="s">
        <v>385</v>
      </c>
    </row>
    <row r="167" ht="53" spans="1:6">
      <c r="A167" s="335"/>
      <c r="B167" s="404" t="s">
        <v>925</v>
      </c>
      <c r="C167" s="332" t="s">
        <v>926</v>
      </c>
      <c r="D167" s="332" t="s">
        <v>927</v>
      </c>
      <c r="E167" s="334" t="s">
        <v>928</v>
      </c>
      <c r="F167" s="322" t="s">
        <v>552</v>
      </c>
    </row>
    <row r="168" ht="18" spans="1:6">
      <c r="A168" s="335"/>
      <c r="B168" s="404" t="s">
        <v>929</v>
      </c>
      <c r="C168" s="332" t="s">
        <v>930</v>
      </c>
      <c r="D168" s="319" t="s">
        <v>931</v>
      </c>
      <c r="E168" s="334" t="s">
        <v>932</v>
      </c>
      <c r="F168" s="322" t="s">
        <v>356</v>
      </c>
    </row>
    <row r="169" ht="53" spans="1:6">
      <c r="A169" s="335"/>
      <c r="B169" s="404" t="s">
        <v>933</v>
      </c>
      <c r="C169" s="332" t="s">
        <v>934</v>
      </c>
      <c r="D169" s="332" t="s">
        <v>935</v>
      </c>
      <c r="E169" s="334" t="s">
        <v>936</v>
      </c>
      <c r="F169" s="322" t="s">
        <v>323</v>
      </c>
    </row>
    <row r="170" ht="18" spans="1:6">
      <c r="A170" s="335"/>
      <c r="B170" s="404" t="s">
        <v>937</v>
      </c>
      <c r="C170" s="332" t="s">
        <v>938</v>
      </c>
      <c r="D170" s="332" t="s">
        <v>939</v>
      </c>
      <c r="E170" s="334" t="s">
        <v>940</v>
      </c>
      <c r="F170" s="322" t="s">
        <v>941</v>
      </c>
    </row>
    <row r="171" ht="18" spans="1:6">
      <c r="A171" s="335"/>
      <c r="B171" s="404" t="s">
        <v>942</v>
      </c>
      <c r="C171" s="332" t="s">
        <v>943</v>
      </c>
      <c r="D171" s="332" t="s">
        <v>944</v>
      </c>
      <c r="E171" s="334" t="s">
        <v>945</v>
      </c>
      <c r="F171" s="322" t="s">
        <v>451</v>
      </c>
    </row>
    <row r="172" outlineLevel="1" spans="1:6">
      <c r="A172" s="348" t="s">
        <v>65</v>
      </c>
      <c r="B172" s="349" t="s">
        <v>163</v>
      </c>
      <c r="C172" s="349"/>
      <c r="D172" s="350"/>
      <c r="E172" s="351"/>
      <c r="F172" s="328"/>
    </row>
    <row r="173" ht="18" outlineLevel="1" spans="1:6">
      <c r="A173" s="323"/>
      <c r="B173" s="328" t="s">
        <v>946</v>
      </c>
      <c r="C173" s="325" t="s">
        <v>947</v>
      </c>
      <c r="D173" s="326" t="s">
        <v>948</v>
      </c>
      <c r="E173" s="327" t="s">
        <v>949</v>
      </c>
      <c r="F173" s="323" t="s">
        <v>385</v>
      </c>
    </row>
    <row r="174" s="295" customFormat="1" ht="18" outlineLevel="1" spans="1:6">
      <c r="A174" s="323"/>
      <c r="B174" s="328" t="s">
        <v>950</v>
      </c>
      <c r="C174" s="325" t="s">
        <v>951</v>
      </c>
      <c r="D174" s="326" t="s">
        <v>952</v>
      </c>
      <c r="E174" s="327" t="s">
        <v>953</v>
      </c>
      <c r="F174" s="317" t="s">
        <v>356</v>
      </c>
    </row>
    <row r="175" ht="53" outlineLevel="1" spans="1:6">
      <c r="A175" s="317"/>
      <c r="B175" s="322" t="s">
        <v>954</v>
      </c>
      <c r="C175" s="319" t="s">
        <v>955</v>
      </c>
      <c r="D175" s="320" t="s">
        <v>956</v>
      </c>
      <c r="E175" s="321" t="s">
        <v>957</v>
      </c>
      <c r="F175" s="323" t="s">
        <v>323</v>
      </c>
    </row>
    <row r="176" ht="53" outlineLevel="1" spans="1:6">
      <c r="A176" s="323"/>
      <c r="B176" s="328" t="s">
        <v>958</v>
      </c>
      <c r="C176" s="325" t="s">
        <v>959</v>
      </c>
      <c r="D176" s="326" t="s">
        <v>960</v>
      </c>
      <c r="E176" s="327" t="s">
        <v>961</v>
      </c>
      <c r="F176" s="323" t="s">
        <v>552</v>
      </c>
    </row>
    <row r="177" ht="53" outlineLevel="1" spans="1:6">
      <c r="A177" s="323"/>
      <c r="B177" s="328" t="s">
        <v>962</v>
      </c>
      <c r="C177" s="325" t="s">
        <v>963</v>
      </c>
      <c r="D177" s="326" t="s">
        <v>964</v>
      </c>
      <c r="E177" s="327" t="s">
        <v>965</v>
      </c>
      <c r="F177" s="323" t="s">
        <v>323</v>
      </c>
    </row>
    <row r="178" ht="18" outlineLevel="1" spans="1:6">
      <c r="A178" s="323"/>
      <c r="B178" s="328" t="s">
        <v>966</v>
      </c>
      <c r="C178" s="325" t="s">
        <v>967</v>
      </c>
      <c r="D178" s="326" t="s">
        <v>968</v>
      </c>
      <c r="E178" s="327" t="s">
        <v>969</v>
      </c>
      <c r="F178" s="323" t="s">
        <v>385</v>
      </c>
    </row>
    <row r="179" ht="18" outlineLevel="1" spans="1:6">
      <c r="A179" s="323"/>
      <c r="B179" s="328" t="s">
        <v>970</v>
      </c>
      <c r="C179" s="325" t="s">
        <v>971</v>
      </c>
      <c r="D179" s="326" t="s">
        <v>972</v>
      </c>
      <c r="E179" s="327" t="s">
        <v>360</v>
      </c>
      <c r="F179" s="323" t="s">
        <v>385</v>
      </c>
    </row>
    <row r="180" s="299" customFormat="1" ht="71" outlineLevel="1" spans="1:6">
      <c r="A180" s="317"/>
      <c r="B180" s="322" t="s">
        <v>973</v>
      </c>
      <c r="C180" s="319" t="s">
        <v>974</v>
      </c>
      <c r="D180" s="320" t="s">
        <v>975</v>
      </c>
      <c r="E180" s="343" t="s">
        <v>976</v>
      </c>
      <c r="F180" s="317" t="s">
        <v>385</v>
      </c>
    </row>
    <row r="181" s="6" customFormat="1" ht="36" outlineLevel="1" spans="1:6">
      <c r="A181" s="61"/>
      <c r="B181" s="322" t="s">
        <v>977</v>
      </c>
      <c r="C181" s="342" t="s">
        <v>978</v>
      </c>
      <c r="D181" s="347" t="s">
        <v>979</v>
      </c>
      <c r="E181" s="343" t="s">
        <v>980</v>
      </c>
      <c r="F181" s="61" t="s">
        <v>356</v>
      </c>
    </row>
    <row r="182" s="6" customFormat="1" ht="18" outlineLevel="1" spans="1:6">
      <c r="A182" s="61"/>
      <c r="B182" s="322" t="s">
        <v>981</v>
      </c>
      <c r="C182" s="342" t="s">
        <v>982</v>
      </c>
      <c r="D182" s="347" t="s">
        <v>983</v>
      </c>
      <c r="E182" s="343" t="s">
        <v>984</v>
      </c>
      <c r="F182" s="61" t="s">
        <v>285</v>
      </c>
    </row>
    <row r="183" s="87" customFormat="1" ht="18" outlineLevel="1" spans="1:6">
      <c r="A183" s="61"/>
      <c r="B183" s="328" t="s">
        <v>985</v>
      </c>
      <c r="C183" s="352" t="s">
        <v>986</v>
      </c>
      <c r="D183" s="353" t="s">
        <v>987</v>
      </c>
      <c r="E183" s="341" t="s">
        <v>988</v>
      </c>
      <c r="F183" s="81" t="s">
        <v>989</v>
      </c>
    </row>
    <row r="184" s="6" customFormat="1" ht="18" outlineLevel="1" spans="1:6">
      <c r="A184" s="81"/>
      <c r="B184" s="322" t="s">
        <v>990</v>
      </c>
      <c r="C184" s="342" t="s">
        <v>991</v>
      </c>
      <c r="D184" s="347" t="s">
        <v>992</v>
      </c>
      <c r="E184" s="343" t="s">
        <v>993</v>
      </c>
      <c r="F184" s="61" t="s">
        <v>285</v>
      </c>
    </row>
    <row r="185" s="87" customFormat="1" ht="71" outlineLevel="1" spans="1:6">
      <c r="A185" s="81"/>
      <c r="B185" s="322" t="s">
        <v>994</v>
      </c>
      <c r="C185" s="342" t="s">
        <v>995</v>
      </c>
      <c r="D185" s="320" t="s">
        <v>996</v>
      </c>
      <c r="E185" s="343" t="s">
        <v>997</v>
      </c>
      <c r="F185" s="81" t="s">
        <v>385</v>
      </c>
    </row>
    <row r="186" ht="71" spans="1:6">
      <c r="A186" s="81"/>
      <c r="B186" s="322" t="s">
        <v>998</v>
      </c>
      <c r="C186" s="342" t="s">
        <v>999</v>
      </c>
      <c r="D186" s="320" t="s">
        <v>1000</v>
      </c>
      <c r="E186" s="343" t="s">
        <v>1001</v>
      </c>
      <c r="F186" s="81" t="s">
        <v>385</v>
      </c>
    </row>
    <row r="187" s="87" customFormat="1" ht="18" outlineLevel="1" spans="1:6">
      <c r="A187" s="81"/>
      <c r="B187" s="322" t="s">
        <v>1002</v>
      </c>
      <c r="C187" s="342" t="s">
        <v>1003</v>
      </c>
      <c r="D187" s="320" t="s">
        <v>1004</v>
      </c>
      <c r="E187" s="343" t="s">
        <v>1005</v>
      </c>
      <c r="F187" s="81" t="s">
        <v>310</v>
      </c>
    </row>
    <row r="188" ht="18" spans="1:6">
      <c r="A188" s="81"/>
      <c r="B188" s="322" t="s">
        <v>1006</v>
      </c>
      <c r="C188" s="342" t="s">
        <v>1007</v>
      </c>
      <c r="D188" s="320" t="s">
        <v>1008</v>
      </c>
      <c r="E188" s="343" t="s">
        <v>1009</v>
      </c>
      <c r="F188" s="322" t="s">
        <v>323</v>
      </c>
    </row>
    <row r="189" ht="53" spans="1:6">
      <c r="A189" s="81"/>
      <c r="B189" s="322" t="s">
        <v>1010</v>
      </c>
      <c r="C189" s="342" t="s">
        <v>1011</v>
      </c>
      <c r="D189" s="320" t="s">
        <v>1012</v>
      </c>
      <c r="E189" s="343" t="s">
        <v>1013</v>
      </c>
      <c r="F189" s="322" t="s">
        <v>323</v>
      </c>
    </row>
    <row r="190" outlineLevel="1" spans="1:6">
      <c r="A190" s="314" t="s">
        <v>176</v>
      </c>
      <c r="B190" s="328" t="s">
        <v>177</v>
      </c>
      <c r="C190" s="328"/>
      <c r="D190" s="326"/>
      <c r="E190" s="329"/>
      <c r="F190" s="328"/>
    </row>
    <row r="191" ht="53" outlineLevel="1" spans="1:6">
      <c r="A191" s="323"/>
      <c r="B191" s="328" t="s">
        <v>1014</v>
      </c>
      <c r="C191" s="325" t="s">
        <v>1015</v>
      </c>
      <c r="D191" s="326" t="s">
        <v>1016</v>
      </c>
      <c r="E191" s="327" t="s">
        <v>1017</v>
      </c>
      <c r="F191" s="323" t="s">
        <v>385</v>
      </c>
    </row>
    <row r="192" s="295" customFormat="1" ht="53" outlineLevel="1" spans="1:6">
      <c r="A192" s="317"/>
      <c r="B192" s="322" t="s">
        <v>1018</v>
      </c>
      <c r="C192" s="319" t="s">
        <v>1019</v>
      </c>
      <c r="D192" s="322" t="s">
        <v>1020</v>
      </c>
      <c r="E192" s="321" t="s">
        <v>1021</v>
      </c>
      <c r="F192" s="317" t="s">
        <v>385</v>
      </c>
    </row>
    <row r="193" s="295" customFormat="1" ht="53" outlineLevel="1" spans="1:6">
      <c r="A193" s="317"/>
      <c r="B193" s="322" t="s">
        <v>1022</v>
      </c>
      <c r="C193" s="319" t="s">
        <v>1023</v>
      </c>
      <c r="D193" s="322" t="s">
        <v>1024</v>
      </c>
      <c r="E193" s="321" t="s">
        <v>1025</v>
      </c>
      <c r="F193" s="317" t="s">
        <v>385</v>
      </c>
    </row>
    <row r="194" s="295" customFormat="1" ht="53" outlineLevel="1" spans="1:6">
      <c r="A194" s="317"/>
      <c r="B194" s="322" t="s">
        <v>1026</v>
      </c>
      <c r="C194" s="319" t="s">
        <v>1027</v>
      </c>
      <c r="D194" s="322" t="s">
        <v>1028</v>
      </c>
      <c r="E194" s="321" t="s">
        <v>1029</v>
      </c>
      <c r="F194" s="317" t="s">
        <v>385</v>
      </c>
    </row>
    <row r="195" ht="18" outlineLevel="1" spans="1:6">
      <c r="A195" s="323"/>
      <c r="B195" s="328" t="s">
        <v>1030</v>
      </c>
      <c r="C195" s="325" t="s">
        <v>1031</v>
      </c>
      <c r="D195" s="326" t="s">
        <v>1032</v>
      </c>
      <c r="E195" s="327" t="s">
        <v>1033</v>
      </c>
      <c r="F195" s="323" t="s">
        <v>310</v>
      </c>
    </row>
    <row r="196" ht="18" outlineLevel="1" spans="1:6">
      <c r="A196" s="323"/>
      <c r="B196" s="328" t="s">
        <v>1034</v>
      </c>
      <c r="C196" s="325" t="s">
        <v>1035</v>
      </c>
      <c r="D196" s="326" t="s">
        <v>1036</v>
      </c>
      <c r="E196" s="327" t="s">
        <v>377</v>
      </c>
      <c r="F196" s="323" t="s">
        <v>430</v>
      </c>
    </row>
    <row r="197" ht="18" outlineLevel="1" spans="1:6">
      <c r="A197" s="323"/>
      <c r="B197" s="328" t="s">
        <v>1037</v>
      </c>
      <c r="C197" s="325" t="s">
        <v>1038</v>
      </c>
      <c r="D197" s="326" t="s">
        <v>1039</v>
      </c>
      <c r="E197" s="327" t="s">
        <v>1040</v>
      </c>
      <c r="F197" s="323" t="s">
        <v>385</v>
      </c>
    </row>
    <row r="198" ht="18" outlineLevel="1" spans="1:6">
      <c r="A198" s="81"/>
      <c r="B198" s="322" t="s">
        <v>1041</v>
      </c>
      <c r="C198" s="342" t="s">
        <v>1042</v>
      </c>
      <c r="D198" s="347" t="s">
        <v>1043</v>
      </c>
      <c r="E198" s="343" t="s">
        <v>1044</v>
      </c>
      <c r="F198" s="323" t="s">
        <v>552</v>
      </c>
    </row>
    <row r="199" ht="18" outlineLevel="1" spans="1:6">
      <c r="A199" s="323"/>
      <c r="B199" s="328" t="s">
        <v>1045</v>
      </c>
      <c r="C199" s="325" t="s">
        <v>1046</v>
      </c>
      <c r="D199" s="326" t="s">
        <v>1047</v>
      </c>
      <c r="E199" s="327" t="s">
        <v>1048</v>
      </c>
      <c r="F199" s="323" t="s">
        <v>323</v>
      </c>
    </row>
    <row r="200" ht="18" outlineLevel="1" spans="1:6">
      <c r="A200" s="323"/>
      <c r="B200" s="328" t="s">
        <v>1049</v>
      </c>
      <c r="C200" s="325" t="s">
        <v>1050</v>
      </c>
      <c r="D200" s="326" t="s">
        <v>1051</v>
      </c>
      <c r="E200" s="327" t="s">
        <v>377</v>
      </c>
      <c r="F200" s="323" t="s">
        <v>285</v>
      </c>
    </row>
    <row r="201" s="295" customFormat="1" ht="18" outlineLevel="1" spans="1:6">
      <c r="A201" s="323"/>
      <c r="B201" s="328" t="s">
        <v>1052</v>
      </c>
      <c r="C201" s="325" t="s">
        <v>1053</v>
      </c>
      <c r="D201" s="326" t="s">
        <v>1054</v>
      </c>
      <c r="E201" s="327" t="s">
        <v>360</v>
      </c>
      <c r="F201" s="317" t="s">
        <v>323</v>
      </c>
    </row>
    <row r="202" ht="53" spans="1:6">
      <c r="A202" s="317"/>
      <c r="B202" s="322" t="s">
        <v>1055</v>
      </c>
      <c r="C202" s="319" t="s">
        <v>1056</v>
      </c>
      <c r="D202" s="320" t="s">
        <v>1057</v>
      </c>
      <c r="E202" s="321" t="s">
        <v>1058</v>
      </c>
      <c r="F202" s="317" t="s">
        <v>385</v>
      </c>
    </row>
    <row r="203" ht="18" spans="1:6">
      <c r="A203" s="317"/>
      <c r="B203" s="322" t="s">
        <v>1059</v>
      </c>
      <c r="C203" s="319" t="s">
        <v>1060</v>
      </c>
      <c r="D203" s="320" t="s">
        <v>1061</v>
      </c>
      <c r="E203" s="321" t="s">
        <v>1062</v>
      </c>
      <c r="F203" s="317" t="s">
        <v>552</v>
      </c>
    </row>
    <row r="204" ht="71" spans="1:6">
      <c r="A204" s="317"/>
      <c r="B204" s="322" t="s">
        <v>1063</v>
      </c>
      <c r="C204" s="319" t="s">
        <v>1064</v>
      </c>
      <c r="D204" s="320" t="s">
        <v>1065</v>
      </c>
      <c r="E204" s="321" t="s">
        <v>1066</v>
      </c>
      <c r="F204" s="322" t="s">
        <v>385</v>
      </c>
    </row>
    <row r="205" ht="36" spans="1:6">
      <c r="A205" s="317"/>
      <c r="B205" s="322" t="s">
        <v>1067</v>
      </c>
      <c r="C205" s="319" t="s">
        <v>1068</v>
      </c>
      <c r="D205" s="320" t="s">
        <v>1069</v>
      </c>
      <c r="E205" s="321" t="s">
        <v>1070</v>
      </c>
      <c r="F205" s="322" t="s">
        <v>552</v>
      </c>
    </row>
    <row r="206" ht="53" spans="1:6">
      <c r="A206" s="317"/>
      <c r="B206" s="322" t="s">
        <v>1071</v>
      </c>
      <c r="C206" s="319" t="s">
        <v>1072</v>
      </c>
      <c r="D206" s="320" t="s">
        <v>1073</v>
      </c>
      <c r="E206" s="321" t="s">
        <v>1074</v>
      </c>
      <c r="F206" s="322" t="s">
        <v>552</v>
      </c>
    </row>
    <row r="207" outlineLevel="1" spans="1:6">
      <c r="A207" s="314" t="s">
        <v>1075</v>
      </c>
      <c r="B207" s="328" t="s">
        <v>197</v>
      </c>
      <c r="C207" s="328"/>
      <c r="D207" s="326"/>
      <c r="E207" s="329"/>
      <c r="F207" s="328"/>
    </row>
    <row r="208" ht="18" spans="1:6">
      <c r="A208" s="323"/>
      <c r="B208" s="328" t="s">
        <v>1076</v>
      </c>
      <c r="C208" s="325" t="s">
        <v>1077</v>
      </c>
      <c r="D208" s="326" t="s">
        <v>1078</v>
      </c>
      <c r="E208" s="327" t="s">
        <v>1079</v>
      </c>
      <c r="F208" s="323" t="s">
        <v>410</v>
      </c>
    </row>
    <row r="209" s="295" customFormat="1" outlineLevel="1" spans="1:6">
      <c r="A209" s="314" t="s">
        <v>1080</v>
      </c>
      <c r="B209" s="324" t="s">
        <v>211</v>
      </c>
      <c r="C209" s="328"/>
      <c r="D209" s="326"/>
      <c r="E209" s="329"/>
      <c r="F209" s="322"/>
    </row>
    <row r="210" s="295" customFormat="1" ht="81" customHeight="1" outlineLevel="1" spans="1:6">
      <c r="A210" s="323"/>
      <c r="B210" s="324" t="s">
        <v>1081</v>
      </c>
      <c r="C210" s="325" t="s">
        <v>1082</v>
      </c>
      <c r="D210" s="326" t="s">
        <v>1083</v>
      </c>
      <c r="E210" s="327" t="s">
        <v>1084</v>
      </c>
      <c r="F210" s="317" t="s">
        <v>941</v>
      </c>
    </row>
    <row r="211" s="295" customFormat="1" ht="88" outlineLevel="1" spans="1:6">
      <c r="A211" s="317"/>
      <c r="B211" s="318" t="s">
        <v>1085</v>
      </c>
      <c r="C211" s="319" t="s">
        <v>1086</v>
      </c>
      <c r="D211" s="320" t="s">
        <v>1087</v>
      </c>
      <c r="E211" s="321" t="s">
        <v>1088</v>
      </c>
      <c r="F211" s="317" t="s">
        <v>1089</v>
      </c>
    </row>
    <row r="212" s="295" customFormat="1" ht="88" outlineLevel="1" spans="1:6">
      <c r="A212" s="317"/>
      <c r="B212" s="318" t="s">
        <v>1090</v>
      </c>
      <c r="C212" s="319" t="s">
        <v>1091</v>
      </c>
      <c r="D212" s="320" t="s">
        <v>1092</v>
      </c>
      <c r="E212" s="321" t="s">
        <v>1093</v>
      </c>
      <c r="F212" s="317" t="s">
        <v>1089</v>
      </c>
    </row>
    <row r="213" s="298" customFormat="1" outlineLevel="1" spans="1:6">
      <c r="A213" s="354" t="s">
        <v>1094</v>
      </c>
      <c r="B213" s="324" t="s">
        <v>1095</v>
      </c>
      <c r="C213" s="328"/>
      <c r="D213" s="326"/>
      <c r="E213" s="329"/>
      <c r="F213" s="323"/>
    </row>
    <row r="214" s="295" customFormat="1" ht="71" outlineLevel="1" spans="1:6">
      <c r="A214" s="318"/>
      <c r="B214" s="404" t="s">
        <v>1096</v>
      </c>
      <c r="C214" s="339" t="s">
        <v>1097</v>
      </c>
      <c r="D214" s="355" t="s">
        <v>1098</v>
      </c>
      <c r="E214" s="321" t="s">
        <v>1099</v>
      </c>
      <c r="F214" s="317" t="s">
        <v>385</v>
      </c>
    </row>
    <row r="215" s="295" customFormat="1" ht="36" outlineLevel="1" spans="1:6">
      <c r="A215" s="318"/>
      <c r="B215" s="404" t="s">
        <v>1100</v>
      </c>
      <c r="C215" s="339" t="s">
        <v>1101</v>
      </c>
      <c r="D215" s="355" t="s">
        <v>1102</v>
      </c>
      <c r="E215" s="321" t="s">
        <v>1103</v>
      </c>
      <c r="F215" s="317" t="s">
        <v>356</v>
      </c>
    </row>
    <row r="216" s="298" customFormat="1" ht="124" outlineLevel="1" spans="1:6">
      <c r="A216" s="318"/>
      <c r="B216" s="404" t="s">
        <v>1104</v>
      </c>
      <c r="C216" s="339" t="s">
        <v>1105</v>
      </c>
      <c r="D216" s="355" t="s">
        <v>1106</v>
      </c>
      <c r="E216" s="321" t="s">
        <v>1107</v>
      </c>
      <c r="F216" s="323" t="s">
        <v>485</v>
      </c>
    </row>
    <row r="217" s="298" customFormat="1" ht="36" outlineLevel="1" spans="1:6">
      <c r="A217" s="318"/>
      <c r="B217" s="404" t="s">
        <v>1108</v>
      </c>
      <c r="C217" s="339" t="s">
        <v>1109</v>
      </c>
      <c r="D217" s="355" t="s">
        <v>1110</v>
      </c>
      <c r="E217" s="321" t="s">
        <v>1111</v>
      </c>
      <c r="F217" s="323" t="s">
        <v>290</v>
      </c>
    </row>
    <row r="218" s="298" customFormat="1" ht="36" outlineLevel="1" spans="1:6">
      <c r="A218" s="324"/>
      <c r="B218" s="405" t="s">
        <v>1112</v>
      </c>
      <c r="C218" s="356" t="s">
        <v>1113</v>
      </c>
      <c r="D218" s="357" t="s">
        <v>1114</v>
      </c>
      <c r="E218" s="327" t="s">
        <v>1115</v>
      </c>
      <c r="F218" s="323" t="s">
        <v>443</v>
      </c>
    </row>
    <row r="219" s="295" customFormat="1" ht="18" outlineLevel="1" spans="1:6">
      <c r="A219" s="318"/>
      <c r="B219" s="404" t="s">
        <v>1116</v>
      </c>
      <c r="C219" s="339" t="s">
        <v>1117</v>
      </c>
      <c r="D219" s="355" t="s">
        <v>1118</v>
      </c>
      <c r="E219" s="321" t="s">
        <v>1119</v>
      </c>
      <c r="F219" s="317" t="s">
        <v>410</v>
      </c>
    </row>
    <row r="220" s="298" customFormat="1" ht="36" outlineLevel="1" spans="1:6">
      <c r="A220" s="318"/>
      <c r="B220" s="404" t="s">
        <v>1120</v>
      </c>
      <c r="C220" s="339" t="s">
        <v>1121</v>
      </c>
      <c r="D220" s="355" t="s">
        <v>1122</v>
      </c>
      <c r="E220" s="321" t="s">
        <v>1123</v>
      </c>
      <c r="F220" s="323" t="s">
        <v>356</v>
      </c>
    </row>
    <row r="221" s="298" customFormat="1" ht="18" outlineLevel="1" spans="1:6">
      <c r="A221" s="324"/>
      <c r="B221" s="405" t="s">
        <v>1124</v>
      </c>
      <c r="C221" s="356" t="s">
        <v>1125</v>
      </c>
      <c r="D221" s="357" t="s">
        <v>1126</v>
      </c>
      <c r="E221" s="327" t="s">
        <v>1127</v>
      </c>
      <c r="F221" s="323" t="s">
        <v>300</v>
      </c>
    </row>
    <row r="222" s="298" customFormat="1" ht="18" outlineLevel="1" spans="1:6">
      <c r="A222" s="324"/>
      <c r="B222" s="405" t="s">
        <v>1128</v>
      </c>
      <c r="C222" s="356" t="s">
        <v>1129</v>
      </c>
      <c r="D222" s="357" t="s">
        <v>1130</v>
      </c>
      <c r="E222" s="327" t="s">
        <v>1131</v>
      </c>
      <c r="F222" s="323" t="s">
        <v>310</v>
      </c>
    </row>
    <row r="223" s="295" customFormat="1" ht="53" outlineLevel="1" spans="1:6">
      <c r="A223" s="318"/>
      <c r="B223" s="404" t="s">
        <v>1132</v>
      </c>
      <c r="C223" s="339" t="s">
        <v>1133</v>
      </c>
      <c r="D223" s="355" t="s">
        <v>1134</v>
      </c>
      <c r="E223" s="321" t="s">
        <v>1135</v>
      </c>
      <c r="F223" s="317" t="s">
        <v>552</v>
      </c>
    </row>
    <row r="224" s="298" customFormat="1" ht="18" outlineLevel="1" spans="1:6">
      <c r="A224" s="324"/>
      <c r="B224" s="405" t="s">
        <v>1136</v>
      </c>
      <c r="C224" s="356" t="s">
        <v>1137</v>
      </c>
      <c r="D224" s="357" t="s">
        <v>1138</v>
      </c>
      <c r="E224" s="327" t="s">
        <v>1139</v>
      </c>
      <c r="F224" s="323" t="s">
        <v>323</v>
      </c>
    </row>
    <row r="225" s="295" customFormat="1" ht="18" outlineLevel="1" spans="1:6">
      <c r="A225" s="324"/>
      <c r="B225" s="405" t="s">
        <v>1140</v>
      </c>
      <c r="C225" s="100" t="s">
        <v>1141</v>
      </c>
      <c r="D225" s="357" t="s">
        <v>1142</v>
      </c>
      <c r="E225" s="327" t="s">
        <v>1143</v>
      </c>
      <c r="F225" s="317" t="s">
        <v>323</v>
      </c>
    </row>
    <row r="226" s="295" customFormat="1" ht="36" outlineLevel="1" spans="1:6">
      <c r="A226" s="318"/>
      <c r="B226" s="404" t="s">
        <v>1144</v>
      </c>
      <c r="C226" s="358" t="s">
        <v>1145</v>
      </c>
      <c r="D226" s="355" t="s">
        <v>1146</v>
      </c>
      <c r="E226" s="321" t="s">
        <v>1147</v>
      </c>
      <c r="F226" s="317" t="s">
        <v>518</v>
      </c>
    </row>
    <row r="227" s="298" customFormat="1" ht="36" outlineLevel="1" spans="1:6">
      <c r="A227" s="318"/>
      <c r="B227" s="404" t="s">
        <v>1148</v>
      </c>
      <c r="C227" s="358" t="s">
        <v>1149</v>
      </c>
      <c r="D227" s="355" t="s">
        <v>1150</v>
      </c>
      <c r="E227" s="321" t="s">
        <v>1151</v>
      </c>
      <c r="F227" s="323" t="s">
        <v>602</v>
      </c>
    </row>
    <row r="228" s="298" customFormat="1" ht="36" outlineLevel="1" spans="1:6">
      <c r="A228" s="324"/>
      <c r="B228" s="405" t="s">
        <v>1152</v>
      </c>
      <c r="C228" s="100" t="s">
        <v>1153</v>
      </c>
      <c r="D228" s="357" t="s">
        <v>1154</v>
      </c>
      <c r="E228" s="327" t="s">
        <v>1155</v>
      </c>
      <c r="F228" s="323" t="s">
        <v>1156</v>
      </c>
    </row>
    <row r="229" s="298" customFormat="1" ht="36" outlineLevel="1" spans="1:6">
      <c r="A229" s="324"/>
      <c r="B229" s="405" t="s">
        <v>1157</v>
      </c>
      <c r="C229" s="356" t="s">
        <v>1158</v>
      </c>
      <c r="D229" s="357" t="s">
        <v>1159</v>
      </c>
      <c r="E229" s="327" t="s">
        <v>1160</v>
      </c>
      <c r="F229" s="323" t="s">
        <v>323</v>
      </c>
    </row>
    <row r="230" s="298" customFormat="1" ht="18" outlineLevel="1" spans="1:6">
      <c r="A230" s="324"/>
      <c r="B230" s="405" t="s">
        <v>1161</v>
      </c>
      <c r="C230" s="356" t="s">
        <v>1162</v>
      </c>
      <c r="D230" s="357" t="s">
        <v>1163</v>
      </c>
      <c r="E230" s="327" t="s">
        <v>1164</v>
      </c>
      <c r="F230" s="323" t="s">
        <v>323</v>
      </c>
    </row>
    <row r="231" s="298" customFormat="1" ht="36" outlineLevel="1" spans="1:6">
      <c r="A231" s="324"/>
      <c r="B231" s="405" t="s">
        <v>1165</v>
      </c>
      <c r="C231" s="356" t="s">
        <v>1166</v>
      </c>
      <c r="D231" s="357" t="s">
        <v>1167</v>
      </c>
      <c r="E231" s="327" t="s">
        <v>1168</v>
      </c>
      <c r="F231" s="323" t="s">
        <v>323</v>
      </c>
    </row>
    <row r="232" s="298" customFormat="1" ht="36" outlineLevel="1" spans="1:6">
      <c r="A232" s="324"/>
      <c r="B232" s="405" t="s">
        <v>1169</v>
      </c>
      <c r="C232" s="356" t="s">
        <v>1170</v>
      </c>
      <c r="D232" s="357" t="s">
        <v>1171</v>
      </c>
      <c r="E232" s="327" t="s">
        <v>1172</v>
      </c>
      <c r="F232" s="323" t="s">
        <v>323</v>
      </c>
    </row>
    <row r="233" s="298" customFormat="1" ht="36" outlineLevel="1" spans="1:6">
      <c r="A233" s="324"/>
      <c r="B233" s="405" t="s">
        <v>1173</v>
      </c>
      <c r="C233" s="356" t="s">
        <v>1174</v>
      </c>
      <c r="D233" s="357" t="s">
        <v>1175</v>
      </c>
      <c r="E233" s="327" t="s">
        <v>1176</v>
      </c>
      <c r="F233" s="323" t="s">
        <v>323</v>
      </c>
    </row>
    <row r="234" s="298" customFormat="1" ht="18" outlineLevel="1" spans="1:6">
      <c r="A234" s="324"/>
      <c r="B234" s="405" t="s">
        <v>1177</v>
      </c>
      <c r="C234" s="356" t="s">
        <v>1178</v>
      </c>
      <c r="D234" s="357" t="s">
        <v>1179</v>
      </c>
      <c r="E234" s="327" t="s">
        <v>1180</v>
      </c>
      <c r="F234" s="323" t="s">
        <v>323</v>
      </c>
    </row>
    <row r="235" s="298" customFormat="1" ht="53" outlineLevel="1" spans="1:6">
      <c r="A235" s="324"/>
      <c r="B235" s="405" t="s">
        <v>1181</v>
      </c>
      <c r="C235" s="356" t="s">
        <v>1182</v>
      </c>
      <c r="D235" s="357" t="s">
        <v>1183</v>
      </c>
      <c r="E235" s="327" t="s">
        <v>1184</v>
      </c>
      <c r="F235" s="323" t="s">
        <v>323</v>
      </c>
    </row>
    <row r="236" s="298" customFormat="1" ht="60" customHeight="1" outlineLevel="1" spans="1:6">
      <c r="A236" s="324"/>
      <c r="B236" s="405" t="s">
        <v>1185</v>
      </c>
      <c r="C236" s="356" t="s">
        <v>1186</v>
      </c>
      <c r="D236" s="357" t="s">
        <v>1187</v>
      </c>
      <c r="E236" s="327" t="s">
        <v>1188</v>
      </c>
      <c r="F236" s="323" t="s">
        <v>323</v>
      </c>
    </row>
    <row r="237" s="298" customFormat="1" ht="71" outlineLevel="1" spans="1:6">
      <c r="A237" s="324"/>
      <c r="B237" s="405" t="s">
        <v>1189</v>
      </c>
      <c r="C237" s="356" t="s">
        <v>1190</v>
      </c>
      <c r="D237" s="357" t="s">
        <v>1191</v>
      </c>
      <c r="E237" s="327" t="s">
        <v>1192</v>
      </c>
      <c r="F237" s="323" t="s">
        <v>420</v>
      </c>
    </row>
    <row r="238" s="298" customFormat="1" ht="124" outlineLevel="1" spans="1:6">
      <c r="A238" s="324"/>
      <c r="B238" s="405" t="s">
        <v>1193</v>
      </c>
      <c r="C238" s="356" t="s">
        <v>1194</v>
      </c>
      <c r="D238" s="357" t="s">
        <v>1195</v>
      </c>
      <c r="E238" s="327" t="s">
        <v>1196</v>
      </c>
      <c r="F238" s="323" t="s">
        <v>420</v>
      </c>
    </row>
    <row r="239" s="295" customFormat="1" ht="36" outlineLevel="1" spans="1:6">
      <c r="A239" s="324"/>
      <c r="B239" s="405" t="s">
        <v>1197</v>
      </c>
      <c r="C239" s="356" t="s">
        <v>1198</v>
      </c>
      <c r="D239" s="357" t="s">
        <v>1199</v>
      </c>
      <c r="E239" s="327" t="s">
        <v>1200</v>
      </c>
      <c r="F239" s="317" t="s">
        <v>941</v>
      </c>
    </row>
    <row r="240" s="298" customFormat="1" ht="18" outlineLevel="1" spans="1:6">
      <c r="A240" s="318"/>
      <c r="B240" s="404" t="s">
        <v>1201</v>
      </c>
      <c r="C240" s="339" t="s">
        <v>1202</v>
      </c>
      <c r="D240" s="355" t="s">
        <v>1203</v>
      </c>
      <c r="E240" s="359" t="s">
        <v>1204</v>
      </c>
      <c r="F240" s="323" t="s">
        <v>552</v>
      </c>
    </row>
    <row r="241" customFormat="1" ht="36" outlineLevel="1" spans="1:6">
      <c r="A241" s="318"/>
      <c r="B241" s="404" t="s">
        <v>1205</v>
      </c>
      <c r="C241" s="339" t="s">
        <v>1206</v>
      </c>
      <c r="D241" s="323" t="s">
        <v>1207</v>
      </c>
      <c r="E241" s="360" t="s">
        <v>1208</v>
      </c>
      <c r="F241" s="323" t="s">
        <v>385</v>
      </c>
    </row>
    <row r="242" s="298" customFormat="1" ht="36" spans="1:6">
      <c r="A242" s="323"/>
      <c r="B242" s="405" t="s">
        <v>1209</v>
      </c>
      <c r="C242" s="92" t="s">
        <v>1210</v>
      </c>
      <c r="D242" s="323" t="s">
        <v>1211</v>
      </c>
      <c r="E242" s="360" t="s">
        <v>1212</v>
      </c>
      <c r="F242" s="323" t="s">
        <v>385</v>
      </c>
    </row>
    <row r="243" s="298" customFormat="1" ht="36" spans="1:6">
      <c r="A243" s="323"/>
      <c r="B243" s="405" t="s">
        <v>1213</v>
      </c>
      <c r="C243" s="92" t="s">
        <v>1214</v>
      </c>
      <c r="D243" s="323" t="s">
        <v>1215</v>
      </c>
      <c r="E243" s="360" t="s">
        <v>1216</v>
      </c>
      <c r="F243" s="323" t="s">
        <v>385</v>
      </c>
    </row>
    <row r="244" s="298" customFormat="1" ht="18" spans="1:6">
      <c r="A244" s="323"/>
      <c r="B244" s="405" t="s">
        <v>1217</v>
      </c>
      <c r="C244" s="92" t="s">
        <v>1218</v>
      </c>
      <c r="D244" s="323" t="s">
        <v>1219</v>
      </c>
      <c r="E244" s="360" t="s">
        <v>377</v>
      </c>
      <c r="F244" s="323" t="s">
        <v>385</v>
      </c>
    </row>
    <row r="245" s="295" customFormat="1" ht="18" spans="1:6">
      <c r="A245" s="317"/>
      <c r="B245" s="404" t="s">
        <v>1220</v>
      </c>
      <c r="C245" s="89" t="s">
        <v>1221</v>
      </c>
      <c r="D245" s="317" t="s">
        <v>1222</v>
      </c>
      <c r="E245" s="361" t="s">
        <v>377</v>
      </c>
      <c r="F245" s="317" t="s">
        <v>356</v>
      </c>
    </row>
    <row r="246" s="87" customFormat="1" ht="45" customHeight="1" spans="1:6">
      <c r="A246" s="323"/>
      <c r="B246" s="405" t="s">
        <v>1223</v>
      </c>
      <c r="C246" s="92" t="s">
        <v>1224</v>
      </c>
      <c r="D246" s="323" t="s">
        <v>1225</v>
      </c>
      <c r="E246" s="360" t="s">
        <v>1226</v>
      </c>
      <c r="F246" s="81" t="s">
        <v>323</v>
      </c>
    </row>
    <row r="247" s="295" customFormat="1" ht="53" spans="1:6">
      <c r="A247" s="81"/>
      <c r="B247" s="404" t="s">
        <v>1227</v>
      </c>
      <c r="C247" s="88" t="s">
        <v>1228</v>
      </c>
      <c r="D247" s="81" t="s">
        <v>1229</v>
      </c>
      <c r="E247" s="362" t="s">
        <v>1230</v>
      </c>
      <c r="F247" s="317" t="s">
        <v>518</v>
      </c>
    </row>
    <row r="248" s="295" customFormat="1" ht="53" spans="1:6">
      <c r="A248" s="317"/>
      <c r="B248" s="404" t="s">
        <v>1231</v>
      </c>
      <c r="C248" s="89" t="s">
        <v>1232</v>
      </c>
      <c r="D248" s="317" t="s">
        <v>1233</v>
      </c>
      <c r="E248" s="361" t="s">
        <v>1234</v>
      </c>
      <c r="F248" s="317" t="s">
        <v>622</v>
      </c>
    </row>
    <row r="249" s="295" customFormat="1" ht="36" spans="1:6">
      <c r="A249" s="177"/>
      <c r="B249" s="404" t="s">
        <v>1235</v>
      </c>
      <c r="C249" s="339" t="s">
        <v>1236</v>
      </c>
      <c r="D249" s="355" t="s">
        <v>1237</v>
      </c>
      <c r="E249" s="321" t="s">
        <v>1238</v>
      </c>
      <c r="F249" s="317" t="s">
        <v>323</v>
      </c>
    </row>
    <row r="250" s="298" customFormat="1" ht="18" spans="1:6">
      <c r="A250" s="177"/>
      <c r="B250" s="404" t="s">
        <v>1239</v>
      </c>
      <c r="C250" s="339" t="s">
        <v>1240</v>
      </c>
      <c r="D250" s="355" t="s">
        <v>1241</v>
      </c>
      <c r="E250" s="321" t="s">
        <v>1242</v>
      </c>
      <c r="F250" s="323" t="s">
        <v>1243</v>
      </c>
    </row>
    <row r="251" s="298" customFormat="1" ht="18" spans="1:6">
      <c r="A251" s="186"/>
      <c r="B251" s="405" t="s">
        <v>1244</v>
      </c>
      <c r="C251" s="356" t="s">
        <v>1245</v>
      </c>
      <c r="D251" s="357" t="s">
        <v>1246</v>
      </c>
      <c r="E251" s="327" t="s">
        <v>1247</v>
      </c>
      <c r="F251" s="323" t="s">
        <v>323</v>
      </c>
    </row>
    <row r="252" s="298" customFormat="1" ht="53" spans="1:6">
      <c r="A252" s="186"/>
      <c r="B252" s="405" t="s">
        <v>1248</v>
      </c>
      <c r="C252" s="356" t="s">
        <v>1249</v>
      </c>
      <c r="D252" s="357" t="s">
        <v>1250</v>
      </c>
      <c r="E252" s="327" t="s">
        <v>1251</v>
      </c>
      <c r="F252" s="323" t="s">
        <v>323</v>
      </c>
    </row>
    <row r="253" s="295" customFormat="1" ht="18" spans="1:6">
      <c r="A253" s="177"/>
      <c r="B253" s="404" t="s">
        <v>1252</v>
      </c>
      <c r="C253" s="339" t="s">
        <v>1253</v>
      </c>
      <c r="D253" s="355" t="s">
        <v>1254</v>
      </c>
      <c r="E253" s="321" t="s">
        <v>1255</v>
      </c>
      <c r="F253" s="317" t="s">
        <v>1256</v>
      </c>
    </row>
    <row r="254" s="295" customFormat="1" ht="18" spans="1:6">
      <c r="A254" s="186"/>
      <c r="B254" s="405" t="s">
        <v>1257</v>
      </c>
      <c r="C254" s="356" t="s">
        <v>1258</v>
      </c>
      <c r="D254" s="357" t="s">
        <v>1259</v>
      </c>
      <c r="E254" s="327" t="s">
        <v>1260</v>
      </c>
      <c r="F254" s="317" t="s">
        <v>1261</v>
      </c>
    </row>
    <row r="255" s="298" customFormat="1" ht="36" spans="1:6">
      <c r="A255" s="177"/>
      <c r="B255" s="404" t="s">
        <v>1262</v>
      </c>
      <c r="C255" s="339" t="s">
        <v>1263</v>
      </c>
      <c r="D255" s="355" t="s">
        <v>1264</v>
      </c>
      <c r="E255" s="321" t="s">
        <v>1265</v>
      </c>
      <c r="F255" s="323" t="s">
        <v>323</v>
      </c>
    </row>
    <row r="256" s="298" customFormat="1" ht="18" spans="1:6">
      <c r="A256" s="186"/>
      <c r="B256" s="405" t="s">
        <v>1266</v>
      </c>
      <c r="C256" s="356" t="s">
        <v>1267</v>
      </c>
      <c r="D256" s="357" t="s">
        <v>1268</v>
      </c>
      <c r="E256" s="327" t="s">
        <v>1269</v>
      </c>
      <c r="F256" s="323" t="s">
        <v>323</v>
      </c>
    </row>
    <row r="257" s="298" customFormat="1" ht="18" spans="1:6">
      <c r="B257" s="405" t="s">
        <v>1270</v>
      </c>
      <c r="C257" s="356" t="s">
        <v>1271</v>
      </c>
      <c r="D257" s="357" t="s">
        <v>1272</v>
      </c>
      <c r="E257" s="327" t="s">
        <v>1273</v>
      </c>
      <c r="F257" s="323" t="s">
        <v>323</v>
      </c>
    </row>
    <row r="258" s="298" customFormat="1" ht="53" spans="1:6">
      <c r="A258" s="323"/>
      <c r="B258" s="405" t="s">
        <v>1274</v>
      </c>
      <c r="C258" s="356" t="s">
        <v>1275</v>
      </c>
      <c r="D258" s="357" t="s">
        <v>1276</v>
      </c>
      <c r="E258" s="327" t="s">
        <v>1277</v>
      </c>
      <c r="F258" s="323" t="s">
        <v>540</v>
      </c>
    </row>
    <row r="259" s="298" customFormat="1" ht="18" spans="1:6">
      <c r="A259" s="323"/>
      <c r="B259" s="405" t="s">
        <v>1278</v>
      </c>
      <c r="C259" s="356" t="s">
        <v>1279</v>
      </c>
      <c r="D259" s="357" t="s">
        <v>1280</v>
      </c>
      <c r="E259" s="327" t="s">
        <v>1281</v>
      </c>
      <c r="F259" s="323" t="s">
        <v>323</v>
      </c>
    </row>
    <row r="260" s="295" customFormat="1" ht="18" spans="1:6">
      <c r="A260" s="323"/>
      <c r="B260" s="405" t="s">
        <v>1282</v>
      </c>
      <c r="C260" s="356" t="s">
        <v>1283</v>
      </c>
      <c r="D260" s="357" t="s">
        <v>1284</v>
      </c>
      <c r="E260" s="327" t="s">
        <v>1285</v>
      </c>
      <c r="F260" s="317" t="s">
        <v>443</v>
      </c>
    </row>
    <row r="261" s="295" customFormat="1" ht="18" spans="1:6">
      <c r="A261" s="317"/>
      <c r="B261" s="404" t="s">
        <v>1286</v>
      </c>
      <c r="C261" s="339" t="s">
        <v>1287</v>
      </c>
      <c r="D261" s="355" t="s">
        <v>1288</v>
      </c>
      <c r="E261" s="339" t="s">
        <v>1289</v>
      </c>
      <c r="F261" s="317" t="s">
        <v>518</v>
      </c>
    </row>
    <row r="262" s="295" customFormat="1" ht="18" spans="1:6">
      <c r="A262" s="317"/>
      <c r="B262" s="404" t="s">
        <v>1290</v>
      </c>
      <c r="C262" s="339" t="s">
        <v>1291</v>
      </c>
      <c r="D262" s="355" t="s">
        <v>1292</v>
      </c>
      <c r="E262" s="339" t="s">
        <v>1289</v>
      </c>
      <c r="F262" s="317" t="s">
        <v>518</v>
      </c>
    </row>
    <row r="263" s="298" customFormat="1" ht="18" spans="1:6">
      <c r="A263" s="317"/>
      <c r="B263" s="404" t="s">
        <v>1293</v>
      </c>
      <c r="C263" s="339" t="s">
        <v>1294</v>
      </c>
      <c r="D263" s="355" t="s">
        <v>1295</v>
      </c>
      <c r="E263" s="339" t="s">
        <v>1296</v>
      </c>
      <c r="F263" s="323" t="s">
        <v>518</v>
      </c>
    </row>
    <row r="264" s="295" customFormat="1" ht="124" spans="1:6">
      <c r="A264" s="323"/>
      <c r="B264" s="405" t="s">
        <v>1297</v>
      </c>
      <c r="C264" s="356" t="s">
        <v>1298</v>
      </c>
      <c r="D264" s="357" t="s">
        <v>1299</v>
      </c>
      <c r="E264" s="327" t="s">
        <v>1300</v>
      </c>
      <c r="F264" s="317" t="s">
        <v>518</v>
      </c>
    </row>
    <row r="265" s="298" customFormat="1" ht="53" spans="1:6">
      <c r="A265" s="323"/>
      <c r="B265" s="405" t="s">
        <v>1301</v>
      </c>
      <c r="C265" s="356" t="s">
        <v>1302</v>
      </c>
      <c r="D265" s="357" t="s">
        <v>1303</v>
      </c>
      <c r="E265" s="327" t="s">
        <v>1304</v>
      </c>
      <c r="F265" s="323" t="s">
        <v>323</v>
      </c>
    </row>
    <row r="266" s="298" customFormat="1" ht="18" spans="1:6">
      <c r="A266" s="323"/>
      <c r="B266" s="405" t="s">
        <v>1305</v>
      </c>
      <c r="C266" s="356" t="s">
        <v>1306</v>
      </c>
      <c r="D266" s="357" t="s">
        <v>1307</v>
      </c>
      <c r="E266" s="327" t="s">
        <v>1308</v>
      </c>
      <c r="F266" s="323" t="s">
        <v>833</v>
      </c>
    </row>
    <row r="267" s="298" customFormat="1" ht="18" spans="1:6">
      <c r="A267" s="323"/>
      <c r="B267" s="405" t="s">
        <v>1309</v>
      </c>
      <c r="C267" s="356" t="s">
        <v>1310</v>
      </c>
      <c r="D267" s="357" t="s">
        <v>1311</v>
      </c>
      <c r="E267" s="327" t="s">
        <v>1312</v>
      </c>
      <c r="F267" s="323" t="s">
        <v>1313</v>
      </c>
    </row>
    <row r="268" s="298" customFormat="1" ht="194" spans="1:6">
      <c r="A268" s="323"/>
      <c r="B268" s="405" t="s">
        <v>1314</v>
      </c>
      <c r="C268" s="356" t="s">
        <v>1315</v>
      </c>
      <c r="D268" s="357" t="s">
        <v>1316</v>
      </c>
      <c r="E268" s="327" t="s">
        <v>1317</v>
      </c>
      <c r="F268" s="323" t="s">
        <v>443</v>
      </c>
    </row>
    <row r="269" s="298" customFormat="1" ht="18" spans="1:6">
      <c r="A269" s="323"/>
      <c r="B269" s="405" t="s">
        <v>1318</v>
      </c>
      <c r="C269" s="356" t="s">
        <v>1319</v>
      </c>
      <c r="D269" s="357" t="s">
        <v>1320</v>
      </c>
      <c r="E269" s="327" t="s">
        <v>1321</v>
      </c>
      <c r="F269" s="323" t="s">
        <v>1313</v>
      </c>
    </row>
    <row r="270" s="298" customFormat="1" ht="36" spans="1:6">
      <c r="A270" s="323"/>
      <c r="B270" s="405" t="s">
        <v>1322</v>
      </c>
      <c r="C270" s="356" t="s">
        <v>1323</v>
      </c>
      <c r="D270" s="357" t="s">
        <v>1324</v>
      </c>
      <c r="E270" s="327" t="s">
        <v>1325</v>
      </c>
      <c r="F270" s="323" t="s">
        <v>1313</v>
      </c>
    </row>
    <row r="271" s="298" customFormat="1" ht="36" spans="1:6">
      <c r="A271" s="323"/>
      <c r="B271" s="405" t="s">
        <v>1326</v>
      </c>
      <c r="C271" s="356" t="s">
        <v>1327</v>
      </c>
      <c r="D271" s="357" t="s">
        <v>1328</v>
      </c>
      <c r="E271" s="327" t="s">
        <v>1329</v>
      </c>
      <c r="F271" s="323" t="s">
        <v>1313</v>
      </c>
    </row>
    <row r="272" s="298" customFormat="1" ht="36" spans="1:6">
      <c r="A272" s="323"/>
      <c r="B272" s="405" t="s">
        <v>1330</v>
      </c>
      <c r="C272" s="356" t="s">
        <v>1331</v>
      </c>
      <c r="D272" s="357" t="s">
        <v>1332</v>
      </c>
      <c r="E272" s="327" t="s">
        <v>1333</v>
      </c>
      <c r="F272" s="323" t="s">
        <v>1313</v>
      </c>
    </row>
    <row r="273" s="298" customFormat="1" ht="18" spans="1:6">
      <c r="A273" s="323"/>
      <c r="B273" s="405" t="s">
        <v>1334</v>
      </c>
      <c r="C273" s="356" t="s">
        <v>1335</v>
      </c>
      <c r="D273" s="357" t="s">
        <v>1336</v>
      </c>
      <c r="E273" s="327" t="s">
        <v>1337</v>
      </c>
      <c r="F273" s="323" t="s">
        <v>1338</v>
      </c>
    </row>
    <row r="274" s="298" customFormat="1" ht="53" spans="1:6">
      <c r="A274" s="323"/>
      <c r="B274" s="405" t="s">
        <v>1339</v>
      </c>
      <c r="C274" s="356" t="s">
        <v>1340</v>
      </c>
      <c r="D274" s="357" t="s">
        <v>1341</v>
      </c>
      <c r="E274" s="327" t="s">
        <v>1342</v>
      </c>
      <c r="F274" s="323" t="s">
        <v>323</v>
      </c>
    </row>
    <row r="275" s="298" customFormat="1" ht="18" spans="1:6">
      <c r="A275" s="323"/>
      <c r="B275" s="405" t="s">
        <v>1343</v>
      </c>
      <c r="C275" s="356" t="s">
        <v>1344</v>
      </c>
      <c r="D275" s="357" t="s">
        <v>1345</v>
      </c>
      <c r="E275" s="327" t="s">
        <v>1346</v>
      </c>
      <c r="F275" s="323" t="s">
        <v>323</v>
      </c>
    </row>
    <row r="276" s="298" customFormat="1" ht="18" spans="1:6">
      <c r="A276" s="323"/>
      <c r="B276" s="405" t="s">
        <v>1347</v>
      </c>
      <c r="C276" s="356" t="s">
        <v>1348</v>
      </c>
      <c r="D276" s="357" t="s">
        <v>1349</v>
      </c>
      <c r="E276" s="327" t="s">
        <v>1350</v>
      </c>
      <c r="F276" s="323" t="s">
        <v>323</v>
      </c>
    </row>
    <row r="277" s="298" customFormat="1" ht="141" spans="1:6">
      <c r="A277" s="323"/>
      <c r="B277" s="405" t="s">
        <v>1351</v>
      </c>
      <c r="C277" s="356" t="s">
        <v>1352</v>
      </c>
      <c r="D277" s="357" t="s">
        <v>1353</v>
      </c>
      <c r="E277" s="327" t="s">
        <v>1354</v>
      </c>
      <c r="F277" s="323" t="s">
        <v>540</v>
      </c>
    </row>
    <row r="278" s="295" customFormat="1" ht="18" spans="1:6">
      <c r="A278" s="323"/>
      <c r="B278" s="405" t="s">
        <v>1355</v>
      </c>
      <c r="C278" s="356" t="s">
        <v>1356</v>
      </c>
      <c r="D278" s="357" t="s">
        <v>1357</v>
      </c>
      <c r="E278" s="327" t="s">
        <v>1358</v>
      </c>
      <c r="F278" s="61" t="s">
        <v>323</v>
      </c>
    </row>
    <row r="279" s="298" customFormat="1" ht="18" spans="1:6">
      <c r="A279" s="317"/>
      <c r="B279" s="404" t="s">
        <v>1359</v>
      </c>
      <c r="C279" s="339" t="s">
        <v>1360</v>
      </c>
      <c r="D279" s="355" t="s">
        <v>1361</v>
      </c>
      <c r="E279" s="321" t="s">
        <v>1362</v>
      </c>
      <c r="F279" s="323" t="s">
        <v>1363</v>
      </c>
    </row>
    <row r="280" s="295" customFormat="1" ht="36" spans="1:6">
      <c r="A280" s="323"/>
      <c r="B280" s="405" t="s">
        <v>1364</v>
      </c>
      <c r="C280" s="356" t="s">
        <v>1365</v>
      </c>
      <c r="D280" s="357" t="s">
        <v>1366</v>
      </c>
      <c r="E280" s="327" t="s">
        <v>1367</v>
      </c>
      <c r="F280" s="317" t="s">
        <v>323</v>
      </c>
    </row>
    <row r="281" s="295" customFormat="1" ht="18" spans="1:6">
      <c r="A281" s="317"/>
      <c r="B281" s="404" t="s">
        <v>1368</v>
      </c>
      <c r="C281" s="339" t="s">
        <v>1369</v>
      </c>
      <c r="D281" s="355" t="s">
        <v>1370</v>
      </c>
      <c r="E281" s="321" t="s">
        <v>1371</v>
      </c>
      <c r="F281" s="317" t="s">
        <v>410</v>
      </c>
    </row>
    <row r="282" s="298" customFormat="1" ht="36" spans="1:6">
      <c r="A282" s="317"/>
      <c r="B282" s="404" t="s">
        <v>1372</v>
      </c>
      <c r="C282" s="339" t="s">
        <v>1373</v>
      </c>
      <c r="D282" s="355" t="s">
        <v>1374</v>
      </c>
      <c r="E282" s="321" t="s">
        <v>1375</v>
      </c>
      <c r="F282" s="323" t="s">
        <v>285</v>
      </c>
    </row>
    <row r="283" s="295" customFormat="1" ht="88" spans="1:6">
      <c r="A283" s="317"/>
      <c r="B283" s="404" t="s">
        <v>1376</v>
      </c>
      <c r="C283" s="339" t="s">
        <v>1377</v>
      </c>
      <c r="D283" s="355" t="s">
        <v>1378</v>
      </c>
      <c r="E283" s="321" t="s">
        <v>1379</v>
      </c>
      <c r="F283" s="317" t="s">
        <v>323</v>
      </c>
    </row>
    <row r="284" s="295" customFormat="1" ht="36" spans="1:6">
      <c r="A284" s="317"/>
      <c r="B284" s="404" t="s">
        <v>1380</v>
      </c>
      <c r="C284" s="339" t="s">
        <v>1381</v>
      </c>
      <c r="D284" s="355" t="s">
        <v>1382</v>
      </c>
      <c r="E284" s="321" t="s">
        <v>1383</v>
      </c>
      <c r="F284" s="317" t="s">
        <v>323</v>
      </c>
    </row>
    <row r="285" s="295" customFormat="1" ht="71" spans="1:6">
      <c r="A285" s="323"/>
      <c r="B285" s="405" t="s">
        <v>1384</v>
      </c>
      <c r="C285" s="356" t="s">
        <v>1385</v>
      </c>
      <c r="D285" s="357" t="s">
        <v>1386</v>
      </c>
      <c r="E285" s="327" t="s">
        <v>1387</v>
      </c>
      <c r="F285" s="317" t="s">
        <v>518</v>
      </c>
    </row>
    <row r="286" s="298" customFormat="1" ht="18" spans="1:6">
      <c r="A286" s="317"/>
      <c r="B286" s="404" t="s">
        <v>1388</v>
      </c>
      <c r="C286" s="339" t="s">
        <v>1389</v>
      </c>
      <c r="D286" s="355" t="s">
        <v>1390</v>
      </c>
      <c r="E286" s="321" t="s">
        <v>1391</v>
      </c>
      <c r="F286" s="323" t="s">
        <v>323</v>
      </c>
    </row>
    <row r="287" s="298" customFormat="1" ht="229" spans="1:6">
      <c r="A287" s="323"/>
      <c r="B287" s="405" t="s">
        <v>1392</v>
      </c>
      <c r="C287" s="356" t="s">
        <v>1393</v>
      </c>
      <c r="D287" s="357" t="s">
        <v>1394</v>
      </c>
      <c r="E287" s="327" t="s">
        <v>1395</v>
      </c>
      <c r="F287" s="323" t="s">
        <v>540</v>
      </c>
    </row>
    <row r="288" s="298" customFormat="1" ht="18" spans="1:6">
      <c r="A288" s="323"/>
      <c r="B288" s="405" t="s">
        <v>1396</v>
      </c>
      <c r="C288" s="356" t="s">
        <v>1397</v>
      </c>
      <c r="D288" s="357" t="s">
        <v>1398</v>
      </c>
      <c r="E288" s="327" t="s">
        <v>1399</v>
      </c>
      <c r="F288" s="323" t="s">
        <v>323</v>
      </c>
    </row>
    <row r="289" s="298" customFormat="1" ht="18" spans="1:6">
      <c r="A289" s="323"/>
      <c r="B289" s="405" t="s">
        <v>1400</v>
      </c>
      <c r="C289" s="356" t="s">
        <v>1401</v>
      </c>
      <c r="D289" s="357" t="s">
        <v>1402</v>
      </c>
      <c r="E289" s="327" t="s">
        <v>1403</v>
      </c>
      <c r="F289" s="323" t="s">
        <v>323</v>
      </c>
    </row>
    <row r="290" s="295" customFormat="1" ht="71" spans="1:6">
      <c r="A290" s="323"/>
      <c r="B290" s="405" t="s">
        <v>1404</v>
      </c>
      <c r="C290" s="356" t="s">
        <v>1405</v>
      </c>
      <c r="D290" s="357" t="s">
        <v>1406</v>
      </c>
      <c r="E290" s="327" t="s">
        <v>1407</v>
      </c>
      <c r="F290" s="318" t="s">
        <v>518</v>
      </c>
    </row>
    <row r="291" s="298" customFormat="1" ht="18" spans="1:6">
      <c r="A291" s="323"/>
      <c r="B291" s="405" t="s">
        <v>1408</v>
      </c>
      <c r="C291" s="356" t="s">
        <v>1409</v>
      </c>
      <c r="D291" s="357" t="s">
        <v>1410</v>
      </c>
      <c r="E291" s="327" t="s">
        <v>1411</v>
      </c>
      <c r="F291" s="323" t="s">
        <v>1313</v>
      </c>
    </row>
    <row r="292" s="298" customFormat="1" ht="36" spans="1:6">
      <c r="A292" s="323"/>
      <c r="B292" s="405" t="s">
        <v>1412</v>
      </c>
      <c r="C292" s="356" t="s">
        <v>1413</v>
      </c>
      <c r="D292" s="357" t="s">
        <v>1414</v>
      </c>
      <c r="E292" s="327" t="s">
        <v>1415</v>
      </c>
      <c r="F292" s="323" t="s">
        <v>323</v>
      </c>
    </row>
    <row r="293" s="295" customFormat="1" ht="18" spans="1:6">
      <c r="A293" s="317"/>
      <c r="B293" s="404" t="s">
        <v>1416</v>
      </c>
      <c r="C293" s="339" t="s">
        <v>1417</v>
      </c>
      <c r="D293" s="355" t="s">
        <v>1418</v>
      </c>
      <c r="E293" s="321" t="s">
        <v>1419</v>
      </c>
      <c r="F293" s="317" t="s">
        <v>385</v>
      </c>
    </row>
    <row r="294" s="298" customFormat="1" ht="18" spans="1:6">
      <c r="A294" s="323"/>
      <c r="B294" s="405" t="s">
        <v>1420</v>
      </c>
      <c r="C294" s="356" t="s">
        <v>1421</v>
      </c>
      <c r="D294" s="357" t="s">
        <v>1422</v>
      </c>
      <c r="E294" s="327" t="s">
        <v>1423</v>
      </c>
      <c r="F294" s="323" t="s">
        <v>1424</v>
      </c>
    </row>
    <row r="295" s="298" customFormat="1" ht="36" spans="1:6">
      <c r="A295" s="323"/>
      <c r="B295" s="405" t="s">
        <v>1425</v>
      </c>
      <c r="C295" s="356" t="s">
        <v>1426</v>
      </c>
      <c r="D295" s="357" t="s">
        <v>1427</v>
      </c>
      <c r="E295" s="327" t="s">
        <v>1428</v>
      </c>
      <c r="F295" s="323" t="s">
        <v>323</v>
      </c>
    </row>
    <row r="296" s="298" customFormat="1" ht="18" spans="1:6">
      <c r="A296" s="323"/>
      <c r="B296" s="405" t="s">
        <v>1429</v>
      </c>
      <c r="C296" s="356" t="s">
        <v>1430</v>
      </c>
      <c r="D296" s="357" t="s">
        <v>1431</v>
      </c>
      <c r="E296" s="327" t="s">
        <v>1432</v>
      </c>
      <c r="F296" s="323" t="s">
        <v>323</v>
      </c>
    </row>
    <row r="297" s="298" customFormat="1" ht="36" spans="1:6">
      <c r="A297" s="323"/>
      <c r="B297" s="405" t="s">
        <v>1433</v>
      </c>
      <c r="C297" s="356" t="s">
        <v>1434</v>
      </c>
      <c r="D297" s="357" t="s">
        <v>1435</v>
      </c>
      <c r="E297" s="327" t="s">
        <v>1436</v>
      </c>
      <c r="F297" s="323" t="s">
        <v>323</v>
      </c>
    </row>
    <row r="298" s="298" customFormat="1" ht="18" spans="1:6">
      <c r="A298" s="323"/>
      <c r="B298" s="405" t="s">
        <v>1437</v>
      </c>
      <c r="C298" s="356" t="s">
        <v>1438</v>
      </c>
      <c r="D298" s="357" t="s">
        <v>1439</v>
      </c>
      <c r="E298" s="327" t="s">
        <v>1440</v>
      </c>
      <c r="F298" s="323" t="s">
        <v>323</v>
      </c>
    </row>
    <row r="299" s="298" customFormat="1" ht="53" spans="1:6">
      <c r="A299" s="323"/>
      <c r="B299" s="405" t="s">
        <v>1441</v>
      </c>
      <c r="C299" s="356" t="s">
        <v>1442</v>
      </c>
      <c r="D299" s="357" t="s">
        <v>1443</v>
      </c>
      <c r="E299" s="327" t="s">
        <v>1444</v>
      </c>
      <c r="F299" s="323" t="s">
        <v>540</v>
      </c>
    </row>
    <row r="300" s="298" customFormat="1" ht="18" spans="1:6">
      <c r="A300" s="323"/>
      <c r="B300" s="405" t="s">
        <v>1445</v>
      </c>
      <c r="C300" s="356" t="s">
        <v>1446</v>
      </c>
      <c r="D300" s="357" t="s">
        <v>1447</v>
      </c>
      <c r="E300" s="327" t="s">
        <v>1448</v>
      </c>
      <c r="F300" s="323" t="s">
        <v>323</v>
      </c>
    </row>
    <row r="301" s="298" customFormat="1" ht="18" spans="1:6">
      <c r="A301" s="323"/>
      <c r="B301" s="405" t="s">
        <v>1449</v>
      </c>
      <c r="C301" s="356" t="s">
        <v>1450</v>
      </c>
      <c r="D301" s="357" t="s">
        <v>1451</v>
      </c>
      <c r="E301" s="327" t="s">
        <v>1452</v>
      </c>
      <c r="F301" s="323" t="s">
        <v>323</v>
      </c>
    </row>
    <row r="302" s="298" customFormat="1" ht="36" spans="1:6">
      <c r="A302" s="323"/>
      <c r="B302" s="405" t="s">
        <v>1453</v>
      </c>
      <c r="C302" s="356" t="s">
        <v>1454</v>
      </c>
      <c r="D302" s="357" t="s">
        <v>1455</v>
      </c>
      <c r="E302" s="327" t="s">
        <v>1456</v>
      </c>
      <c r="F302" s="323" t="s">
        <v>385</v>
      </c>
    </row>
    <row r="303" s="298" customFormat="1" ht="18" spans="1:6">
      <c r="A303" s="323"/>
      <c r="B303" s="405" t="s">
        <v>1457</v>
      </c>
      <c r="C303" s="356" t="s">
        <v>1458</v>
      </c>
      <c r="D303" s="357" t="s">
        <v>1459</v>
      </c>
      <c r="E303" s="327" t="s">
        <v>1460</v>
      </c>
      <c r="F303" s="323" t="s">
        <v>323</v>
      </c>
    </row>
    <row r="304" s="298" customFormat="1" ht="36" spans="1:6">
      <c r="A304" s="323"/>
      <c r="B304" s="405" t="s">
        <v>1461</v>
      </c>
      <c r="C304" s="356" t="s">
        <v>874</v>
      </c>
      <c r="D304" s="357" t="s">
        <v>1462</v>
      </c>
      <c r="E304" s="327" t="s">
        <v>1463</v>
      </c>
      <c r="F304" s="323" t="s">
        <v>323</v>
      </c>
    </row>
    <row r="305" s="298" customFormat="1" ht="18" spans="1:6">
      <c r="A305" s="323"/>
      <c r="B305" s="405" t="s">
        <v>1464</v>
      </c>
      <c r="C305" s="356" t="s">
        <v>1465</v>
      </c>
      <c r="D305" s="357" t="s">
        <v>1466</v>
      </c>
      <c r="E305" s="327" t="s">
        <v>1467</v>
      </c>
      <c r="F305" s="323" t="s">
        <v>323</v>
      </c>
    </row>
    <row r="306" s="298" customFormat="1" ht="36" spans="1:6">
      <c r="A306" s="323"/>
      <c r="B306" s="405" t="s">
        <v>1468</v>
      </c>
      <c r="C306" s="356" t="s">
        <v>1469</v>
      </c>
      <c r="D306" s="357" t="s">
        <v>1470</v>
      </c>
      <c r="E306" s="327" t="s">
        <v>1471</v>
      </c>
      <c r="F306" s="323" t="s">
        <v>323</v>
      </c>
    </row>
    <row r="307" s="298" customFormat="1" ht="106" spans="1:6">
      <c r="A307" s="323"/>
      <c r="B307" s="405" t="s">
        <v>1472</v>
      </c>
      <c r="C307" s="363" t="s">
        <v>1473</v>
      </c>
      <c r="D307" s="364" t="s">
        <v>1474</v>
      </c>
      <c r="E307" s="365" t="s">
        <v>1475</v>
      </c>
      <c r="F307" s="323" t="s">
        <v>518</v>
      </c>
    </row>
    <row r="308" s="295" customFormat="1" ht="176" spans="1:6">
      <c r="A308" s="323"/>
      <c r="B308" s="405" t="s">
        <v>1476</v>
      </c>
      <c r="C308" s="356" t="s">
        <v>1477</v>
      </c>
      <c r="D308" s="357" t="s">
        <v>1478</v>
      </c>
      <c r="E308" s="327" t="s">
        <v>1479</v>
      </c>
      <c r="F308" s="317" t="s">
        <v>323</v>
      </c>
    </row>
    <row r="309" s="298" customFormat="1" ht="18" spans="1:6">
      <c r="A309" s="317"/>
      <c r="B309" s="404" t="s">
        <v>1480</v>
      </c>
      <c r="C309" s="339" t="s">
        <v>1481</v>
      </c>
      <c r="D309" s="355" t="s">
        <v>1482</v>
      </c>
      <c r="E309" s="321" t="s">
        <v>1483</v>
      </c>
      <c r="F309" s="323" t="s">
        <v>310</v>
      </c>
    </row>
    <row r="310" s="298" customFormat="1" ht="36" spans="1:6">
      <c r="A310" s="323"/>
      <c r="B310" s="404" t="s">
        <v>1484</v>
      </c>
      <c r="C310" s="339" t="s">
        <v>1485</v>
      </c>
      <c r="D310" s="355" t="s">
        <v>1486</v>
      </c>
      <c r="E310" s="321" t="s">
        <v>1487</v>
      </c>
      <c r="F310" s="317" t="s">
        <v>323</v>
      </c>
    </row>
    <row r="311" s="298" customFormat="1" ht="141" spans="1:6">
      <c r="A311" s="323"/>
      <c r="B311" s="404" t="s">
        <v>1488</v>
      </c>
      <c r="C311" s="339" t="s">
        <v>1489</v>
      </c>
      <c r="D311" s="355" t="s">
        <v>1490</v>
      </c>
      <c r="E311" s="321" t="s">
        <v>1491</v>
      </c>
      <c r="F311" s="317" t="s">
        <v>323</v>
      </c>
    </row>
    <row r="312" s="298" customFormat="1" ht="36" spans="1:6">
      <c r="A312" s="323"/>
      <c r="B312" s="404" t="s">
        <v>1492</v>
      </c>
      <c r="C312" s="339" t="s">
        <v>1493</v>
      </c>
      <c r="D312" s="355" t="s">
        <v>1494</v>
      </c>
      <c r="E312" s="321" t="s">
        <v>1495</v>
      </c>
      <c r="F312" s="317" t="s">
        <v>323</v>
      </c>
    </row>
    <row r="313" s="298" customFormat="1" ht="71" spans="1:6">
      <c r="A313" s="323"/>
      <c r="B313" s="404" t="s">
        <v>1496</v>
      </c>
      <c r="C313" s="339" t="s">
        <v>1497</v>
      </c>
      <c r="D313" s="355" t="s">
        <v>1498</v>
      </c>
      <c r="E313" s="321" t="s">
        <v>1499</v>
      </c>
      <c r="F313" s="317" t="s">
        <v>385</v>
      </c>
    </row>
    <row r="314" customFormat="1" ht="18" spans="1:6">
      <c r="A314" s="323"/>
      <c r="B314" s="404" t="s">
        <v>1500</v>
      </c>
      <c r="C314" s="339" t="s">
        <v>1501</v>
      </c>
      <c r="D314" s="355" t="s">
        <v>1502</v>
      </c>
      <c r="E314" s="321" t="s">
        <v>1375</v>
      </c>
      <c r="F314" s="317" t="s">
        <v>285</v>
      </c>
    </row>
    <row r="315" customFormat="1" ht="18" spans="1:6">
      <c r="A315" s="323"/>
      <c r="B315" s="404" t="s">
        <v>1503</v>
      </c>
      <c r="C315" s="339" t="s">
        <v>1504</v>
      </c>
      <c r="D315" s="355" t="s">
        <v>1102</v>
      </c>
      <c r="E315" s="321" t="s">
        <v>1375</v>
      </c>
      <c r="F315" s="317" t="s">
        <v>285</v>
      </c>
    </row>
    <row r="316" s="300" customFormat="1" ht="18" spans="1:6">
      <c r="A316" s="61"/>
      <c r="B316" s="404" t="s">
        <v>1505</v>
      </c>
      <c r="C316" s="366" t="s">
        <v>1506</v>
      </c>
      <c r="D316" s="367" t="s">
        <v>1507</v>
      </c>
      <c r="E316" s="343" t="s">
        <v>1508</v>
      </c>
      <c r="F316" s="347" t="s">
        <v>1509</v>
      </c>
    </row>
  </sheetData>
  <autoFilter xmlns:etc="http://www.wps.cn/officeDocument/2017/etCustomData" ref="A3:F316" etc:filterBottomFollowUsedRange="0">
    <extLst/>
  </autoFilter>
  <mergeCells count="7">
    <mergeCell ref="A4:A5"/>
    <mergeCell ref="B4:B5"/>
    <mergeCell ref="C4:C5"/>
    <mergeCell ref="D4:D5"/>
    <mergeCell ref="E4:E5"/>
    <mergeCell ref="F4:F5"/>
    <mergeCell ref="A2:F3"/>
  </mergeCells>
  <pageMargins left="0.75" right="0.75" top="1" bottom="1" header="0.510416666666667" footer="0.510416666666667"/>
  <pageSetup paperSize="9" scale="50"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2055"/>
  <sheetViews>
    <sheetView showGridLines="0" view="pageBreakPreview" zoomScale="85" zoomScaleNormal="75" workbookViewId="0">
      <pane ySplit="5" topLeftCell="A301" activePane="bottomLeft" state="frozenSplit"/>
      <selection/>
      <selection pane="bottomLeft" activeCell="K388" sqref="K388"/>
    </sheetView>
  </sheetViews>
  <sheetFormatPr defaultColWidth="9" defaultRowHeight="20.4"/>
  <cols>
    <col min="1" max="1" width="25.1428571428571" style="93" customWidth="1"/>
    <col min="2" max="2" width="9.375" style="94" customWidth="1"/>
    <col min="3" max="3" width="15.125" style="95" customWidth="1"/>
    <col min="4" max="4" width="29.375" style="95" customWidth="1"/>
    <col min="5" max="5" width="7.375" style="96" customWidth="1"/>
    <col min="6" max="6" width="35" style="97" customWidth="1"/>
    <col min="7" max="7" width="15.5" style="29" customWidth="1"/>
    <col min="8" max="8" width="12.5" style="97" customWidth="1"/>
    <col min="9" max="9" width="17.25" style="97" customWidth="1"/>
    <col min="10" max="10" width="11.5" style="29" customWidth="1"/>
    <col min="11" max="11" width="72.25" style="97" customWidth="1"/>
    <col min="12" max="12" width="9.83035714285714" style="29" customWidth="1"/>
    <col min="13" max="13" width="42.5" style="98" customWidth="1"/>
    <col min="14" max="14" width="9.58035714285714" style="99" customWidth="1"/>
    <col min="15" max="15" width="13.125" style="99" customWidth="1"/>
    <col min="16" max="16" width="14.0803571428571" style="41" customWidth="1"/>
    <col min="17" max="16384" width="9" style="61"/>
  </cols>
  <sheetData>
    <row r="1" spans="1:16">
      <c r="D1" s="100"/>
      <c r="F1" s="98"/>
      <c r="G1" s="101"/>
      <c r="H1" s="98"/>
      <c r="L1" s="101"/>
    </row>
    <row r="2" ht="17.6" spans="1:16">
      <c r="A2" s="102" t="s">
        <v>1510</v>
      </c>
      <c r="B2" s="103"/>
      <c r="C2" s="103"/>
      <c r="D2" s="103"/>
      <c r="E2" s="104"/>
      <c r="F2" s="105"/>
      <c r="G2" s="104"/>
      <c r="H2" s="105"/>
      <c r="I2" s="105"/>
      <c r="J2" s="104"/>
      <c r="K2" s="105"/>
      <c r="L2" s="104"/>
      <c r="M2" s="106"/>
      <c r="N2" s="107"/>
      <c r="O2" s="107"/>
      <c r="P2" s="107"/>
    </row>
    <row r="3" ht="17.6" spans="1:16">
      <c r="A3" s="102"/>
      <c r="B3" s="103"/>
      <c r="C3" s="103"/>
      <c r="D3" s="103"/>
      <c r="E3" s="104"/>
      <c r="F3" s="105"/>
      <c r="G3" s="104"/>
      <c r="H3" s="105"/>
      <c r="I3" s="105"/>
      <c r="J3" s="104"/>
      <c r="K3" s="105"/>
      <c r="L3" s="104"/>
      <c r="M3" s="106"/>
      <c r="N3" s="107"/>
      <c r="O3" s="107"/>
      <c r="P3" s="107"/>
    </row>
    <row r="4" ht="17.6" spans="1:16">
      <c r="A4" s="108" t="s">
        <v>276</v>
      </c>
      <c r="B4" s="109" t="s">
        <v>1511</v>
      </c>
      <c r="C4" s="100" t="s">
        <v>1512</v>
      </c>
      <c r="D4" s="110" t="s">
        <v>20</v>
      </c>
      <c r="E4" s="111" t="s">
        <v>13</v>
      </c>
      <c r="F4" s="112" t="s">
        <v>1513</v>
      </c>
      <c r="G4" s="110" t="s">
        <v>1514</v>
      </c>
      <c r="H4" s="113" t="s">
        <v>1515</v>
      </c>
      <c r="I4" s="112" t="s">
        <v>1516</v>
      </c>
      <c r="J4" s="110" t="s">
        <v>277</v>
      </c>
      <c r="K4" s="112" t="s">
        <v>275</v>
      </c>
      <c r="L4" s="110" t="s">
        <v>280</v>
      </c>
      <c r="M4" s="114" t="s">
        <v>449</v>
      </c>
      <c r="N4" s="16" t="s">
        <v>1517</v>
      </c>
      <c r="O4" s="16" t="s">
        <v>1518</v>
      </c>
      <c r="P4" s="17" t="s">
        <v>1519</v>
      </c>
    </row>
    <row r="5" ht="17.6" spans="1:16">
      <c r="A5" s="115"/>
      <c r="B5" s="116"/>
      <c r="D5" s="117"/>
      <c r="E5" s="116"/>
      <c r="F5" s="112"/>
      <c r="G5" s="117"/>
      <c r="H5" s="118"/>
      <c r="I5" s="112"/>
      <c r="J5" s="117"/>
      <c r="K5" s="112"/>
      <c r="L5" s="117"/>
      <c r="M5" s="114"/>
      <c r="N5" s="15"/>
      <c r="O5" s="15"/>
      <c r="P5" s="18"/>
    </row>
    <row r="6" s="61" customFormat="1" ht="19" customHeight="1" spans="1:16">
      <c r="A6" s="119" t="s">
        <v>18</v>
      </c>
      <c r="B6" s="120" t="s">
        <v>19</v>
      </c>
      <c r="C6" s="121"/>
      <c r="D6" s="121"/>
      <c r="E6" s="120"/>
      <c r="F6" s="122"/>
      <c r="G6" s="123"/>
      <c r="H6" s="122"/>
      <c r="I6" s="122"/>
      <c r="J6" s="123"/>
      <c r="K6" s="122"/>
      <c r="L6" s="123"/>
      <c r="M6" s="124"/>
      <c r="N6" s="99"/>
      <c r="O6" s="99"/>
      <c r="P6" s="41"/>
    </row>
    <row r="7" s="61" customFormat="1" ht="61.9" customHeight="1" spans="1:16">
      <c r="A7" s="125"/>
      <c r="B7" s="34"/>
      <c r="C7" s="19" t="s">
        <v>21</v>
      </c>
      <c r="D7" s="24" t="s">
        <v>22</v>
      </c>
      <c r="E7" s="126">
        <v>101</v>
      </c>
      <c r="F7" s="127"/>
      <c r="G7" s="126"/>
      <c r="H7" s="126"/>
      <c r="I7" s="127"/>
      <c r="J7" s="126"/>
      <c r="K7" s="127"/>
      <c r="L7" s="126"/>
      <c r="M7" s="128" t="str">
        <f>INDEX(表结构总览!E:H,MATCH(D7,表结构总览!E:E,0),4)</f>
        <v>本表报送银行机构或业务中心信息，业务中心包含管理机构、营业机构、内设机构、虚拟机构。对于营业机构、内设机构、虚拟机构，银行机构代码、金融许可证号等字段可以取上级机构或者本级实体机构对应的信息。境外机构也需要报送，根据实际情况无法填报的字段可以为空。子公司不必报送。机构永久关停、撤销等情况的，在报送最后状态的次月可不再报送。</v>
      </c>
      <c r="N7" s="129" t="s">
        <v>25</v>
      </c>
      <c r="O7" s="129" t="s">
        <v>449</v>
      </c>
      <c r="P7" s="33"/>
    </row>
    <row r="8" s="61" customFormat="1" ht="30" customHeight="1" outlineLevel="1" spans="1:16">
      <c r="A8" s="130"/>
      <c r="B8" s="36"/>
      <c r="C8" s="25"/>
      <c r="D8" s="25"/>
      <c r="E8" s="36"/>
      <c r="F8" s="131" t="s">
        <v>325</v>
      </c>
      <c r="G8" s="31" t="s">
        <v>1520</v>
      </c>
      <c r="H8" s="132" t="s">
        <v>1521</v>
      </c>
      <c r="I8" s="131" t="s">
        <v>325</v>
      </c>
      <c r="J8" s="31" t="str">
        <f>INDEX(数据元说明!A:F,MATCH(I8,数据元说明!C:C,0),2)</f>
        <v>001010</v>
      </c>
      <c r="K8" s="133" t="str">
        <f>INDEX(数据元说明!A:F,MATCH(I8,数据元说明!C:C,0),5)</f>
        <v>12位人行支付行号或SWIFT行号。</v>
      </c>
      <c r="L8" s="31" t="str">
        <f>INDEX(数据元说明!A:F,MATCH(I8,数据元说明!C:C,0),6)</f>
        <v>C..30</v>
      </c>
      <c r="M8" s="133" t="s">
        <v>1522</v>
      </c>
      <c r="N8" s="33"/>
      <c r="O8" s="33"/>
      <c r="P8" s="33"/>
    </row>
    <row r="9" s="61" customFormat="1" ht="30" customHeight="1" outlineLevel="1" spans="1:16">
      <c r="A9" s="130"/>
      <c r="B9" s="36"/>
      <c r="C9" s="25"/>
      <c r="D9" s="25"/>
      <c r="E9" s="36"/>
      <c r="F9" s="131" t="s">
        <v>333</v>
      </c>
      <c r="G9" s="31" t="s">
        <v>1523</v>
      </c>
      <c r="H9" s="132" t="s">
        <v>1524</v>
      </c>
      <c r="I9" s="131" t="s">
        <v>333</v>
      </c>
      <c r="J9" s="31" t="str">
        <f>INDEX(数据元说明!A:F,MATCH(I9,数据元说明!C:C,0),2)</f>
        <v>001012</v>
      </c>
      <c r="K9" s="133" t="str">
        <f>INDEX(数据元说明!A:F,MATCH(I9,数据元说明!C:C,0),5)</f>
        <v>银行内部机构号。应具有标识机构的唯一性。</v>
      </c>
      <c r="L9" s="31" t="str">
        <f>INDEX(数据元说明!A:F,MATCH(I9,数据元说明!C:C,0),6)</f>
        <v>C..30</v>
      </c>
      <c r="M9" s="133" t="s">
        <v>1525</v>
      </c>
      <c r="N9" s="99"/>
      <c r="O9" s="99"/>
      <c r="P9" s="99"/>
    </row>
    <row r="10" s="81" customFormat="1" ht="30" customHeight="1" outlineLevel="1" spans="1:16">
      <c r="A10" s="134"/>
      <c r="B10" s="47"/>
      <c r="C10" s="39"/>
      <c r="D10" s="39"/>
      <c r="E10" s="47"/>
      <c r="F10" s="135" t="s">
        <v>329</v>
      </c>
      <c r="G10" s="136" t="s">
        <v>1526</v>
      </c>
      <c r="H10" s="137" t="s">
        <v>1527</v>
      </c>
      <c r="I10" s="135" t="s">
        <v>329</v>
      </c>
      <c r="J10" s="136" t="str">
        <f>INDEX(数据元说明!A:F,MATCH(I10,数据元说明!C:C,0),2)</f>
        <v>001011</v>
      </c>
      <c r="K10" s="138" t="str">
        <f>INDEX(数据元说明!A:F,MATCH(I10,数据元说明!C:C,0),5)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 s="136" t="str">
        <f>INDEX(数据元说明!A:F,MATCH(I10,数据元说明!C:C,0),6)</f>
        <v>C..30</v>
      </c>
      <c r="M10" s="138" t="s">
        <v>1528</v>
      </c>
      <c r="N10" s="129" t="s">
        <v>25</v>
      </c>
      <c r="O10" s="129" t="s">
        <v>449</v>
      </c>
      <c r="P10" s="139"/>
    </row>
    <row r="11" s="81" customFormat="1" ht="30" customHeight="1" outlineLevel="1" spans="1:16">
      <c r="A11" s="134"/>
      <c r="B11" s="47"/>
      <c r="C11" s="39"/>
      <c r="D11" s="39"/>
      <c r="E11" s="47"/>
      <c r="F11" s="135" t="s">
        <v>506</v>
      </c>
      <c r="G11" s="136" t="s">
        <v>1529</v>
      </c>
      <c r="H11" s="137" t="s">
        <v>1530</v>
      </c>
      <c r="I11" s="135" t="s">
        <v>506</v>
      </c>
      <c r="J11" s="136" t="str">
        <f>INDEX(数据元说明!A:F,MATCH(I11,数据元说明!C:C,0),2)</f>
        <v>002014</v>
      </c>
      <c r="K11" s="138" t="str">
        <f>INDEX(数据元说明!A:F,MATCH(I11,数据元说明!C:C,0),5)</f>
        <v>已登记统一社会信用代码的，填18位统一社会信用代码；未登记统一社会信用代码的，按原有方式填写。</v>
      </c>
      <c r="L11" s="136" t="str">
        <f>INDEX(数据元说明!A:F,MATCH(I11,数据元说明!C:C,0),6)</f>
        <v>C..60</v>
      </c>
      <c r="M11" s="138" t="s">
        <v>1531</v>
      </c>
      <c r="N11" s="129" t="s">
        <v>25</v>
      </c>
      <c r="O11" s="129" t="s">
        <v>449</v>
      </c>
      <c r="P11" s="140"/>
    </row>
    <row r="12" s="81" customFormat="1" ht="30" customHeight="1" outlineLevel="1" spans="1:16">
      <c r="A12" s="134"/>
      <c r="B12" s="47"/>
      <c r="C12" s="39"/>
      <c r="D12" s="39"/>
      <c r="E12" s="47"/>
      <c r="F12" s="135" t="s">
        <v>1532</v>
      </c>
      <c r="G12" s="136" t="s">
        <v>1533</v>
      </c>
      <c r="H12" s="137" t="s">
        <v>1534</v>
      </c>
      <c r="I12" s="135" t="s">
        <v>282</v>
      </c>
      <c r="J12" s="136" t="str">
        <f>INDEX(数据元说明!A:F,MATCH(I12,数据元说明!C:C,0),2)</f>
        <v>001001</v>
      </c>
      <c r="K12" s="138" t="str">
        <f>INDEX(数据元说明!A:F,MATCH(I12,数据元说明!C:C,0),5)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2" s="136" t="str">
        <f>INDEX(数据元说明!A:F,MATCH(I12,数据元说明!C:C,0),6)</f>
        <v>C..400</v>
      </c>
      <c r="M12" s="138" t="s">
        <v>1535</v>
      </c>
      <c r="N12" s="139" t="s">
        <v>25</v>
      </c>
      <c r="O12" s="139" t="s">
        <v>280</v>
      </c>
      <c r="P12" s="139"/>
    </row>
    <row r="13" s="81" customFormat="1" ht="194" outlineLevel="1" spans="1:16">
      <c r="A13" s="134"/>
      <c r="B13" s="47"/>
      <c r="C13" s="39"/>
      <c r="D13" s="39"/>
      <c r="E13" s="47"/>
      <c r="F13" s="135" t="s">
        <v>337</v>
      </c>
      <c r="G13" s="136" t="s">
        <v>1536</v>
      </c>
      <c r="H13" s="137" t="s">
        <v>1537</v>
      </c>
      <c r="I13" s="135" t="s">
        <v>337</v>
      </c>
      <c r="J13" s="136" t="str">
        <f>INDEX(数据元说明!A:F,MATCH(I13,数据元说明!C:C,0),2)</f>
        <v>001013</v>
      </c>
      <c r="K13" s="138" t="str">
        <f>INDEX(数据元说明!A:F,MATCH(I13,数据元说明!C:C,0),5)</f>
        <v>管理机构，营业机构，虚拟机构，内设机构。</v>
      </c>
      <c r="L13" s="136" t="str">
        <f>INDEX(数据元说明!A:F,MATCH(I13,数据元说明!C:C,0),6)</f>
        <v>C..30</v>
      </c>
      <c r="M13" s="138" t="s">
        <v>1538</v>
      </c>
      <c r="N13" s="139" t="s">
        <v>25</v>
      </c>
      <c r="O13" s="139" t="s">
        <v>1539</v>
      </c>
      <c r="P13" s="139"/>
    </row>
    <row r="14" s="81" customFormat="1" ht="30" customHeight="1" outlineLevel="1" spans="1:16">
      <c r="A14" s="141"/>
      <c r="B14" s="142"/>
      <c r="C14" s="39"/>
      <c r="D14" s="39"/>
      <c r="E14" s="47"/>
      <c r="F14" s="135" t="s">
        <v>1540</v>
      </c>
      <c r="G14" s="136" t="s">
        <v>1541</v>
      </c>
      <c r="H14" s="137" t="s">
        <v>1542</v>
      </c>
      <c r="I14" s="135" t="s">
        <v>407</v>
      </c>
      <c r="J14" s="136" t="str">
        <f>INDEX(数据元说明!A:F,MATCH(I14,数据元说明!C:C,0),2)</f>
        <v>001031</v>
      </c>
      <c r="K14" s="138" t="str">
        <f>INDEX(数据元说明!A:F,MATCH(I14,数据元说明!C:C,0),5)</f>
        <v>境内地区参照《GB/T 2260-2020 中华人民共和国行政区划代码》填写国内行政区划代码，填写至二级分类，如110100。境外地区参照《GB/T 2659 世界各国和地区名称代码》定义的三字符代码，如USA。</v>
      </c>
      <c r="L14" s="136" t="str">
        <f>INDEX(数据元说明!A:F,MATCH(I14,数据元说明!C:C,0),6)</f>
        <v>C..6</v>
      </c>
      <c r="M14" s="138" t="s">
        <v>1543</v>
      </c>
      <c r="N14" s="143" t="s">
        <v>57</v>
      </c>
      <c r="O14" s="140"/>
      <c r="P14" s="140"/>
    </row>
    <row r="15" s="61" customFormat="1" ht="30" customHeight="1" outlineLevel="1" spans="1:16">
      <c r="A15" s="130"/>
      <c r="B15" s="36"/>
      <c r="C15" s="25"/>
      <c r="D15" s="25"/>
      <c r="E15" s="36"/>
      <c r="F15" s="131" t="s">
        <v>345</v>
      </c>
      <c r="G15" s="31" t="s">
        <v>1544</v>
      </c>
      <c r="H15" s="132" t="s">
        <v>1545</v>
      </c>
      <c r="I15" s="131" t="s">
        <v>345</v>
      </c>
      <c r="J15" s="31" t="str">
        <f>INDEX(数据元说明!A:F,MATCH(I15,数据元说明!C:C,0),2)</f>
        <v>001015</v>
      </c>
      <c r="K15" s="133" t="str">
        <f>INDEX(数据元说明!A:F,MATCH(I15,数据元说明!C:C,0),5)</f>
        <v>营业，停业。</v>
      </c>
      <c r="L15" s="31" t="str">
        <f>INDEX(数据元说明!A:F,MATCH(I15,数据元说明!C:C,0),6)</f>
        <v>C6</v>
      </c>
      <c r="M15" s="133" t="s">
        <v>1546</v>
      </c>
      <c r="N15" s="33"/>
      <c r="O15" s="33"/>
      <c r="P15" s="33"/>
    </row>
    <row r="16" s="81" customFormat="1" ht="30" customHeight="1" outlineLevel="1" spans="1:16">
      <c r="A16" s="134"/>
      <c r="B16" s="47"/>
      <c r="C16" s="39"/>
      <c r="D16" s="39"/>
      <c r="E16" s="47"/>
      <c r="F16" s="135" t="s">
        <v>1547</v>
      </c>
      <c r="G16" s="136" t="s">
        <v>1548</v>
      </c>
      <c r="H16" s="137" t="s">
        <v>1549</v>
      </c>
      <c r="I16" s="135" t="s">
        <v>302</v>
      </c>
      <c r="J16" s="136" t="str">
        <f>INDEX(数据元说明!A:F,MATCH(I16,数据元说明!C:C,0),2)</f>
        <v>001005</v>
      </c>
      <c r="K16" s="138" t="str">
        <f>INDEX(数据元说明!A:F,MATCH(I16,数据元说明!C:C,0),5)</f>
        <v>YYYYMMDD，默认值99991231。</v>
      </c>
      <c r="L16" s="136" t="str">
        <f>INDEX(数据元说明!A:F,MATCH(I16,数据元说明!C:C,0),6)</f>
        <v>C8</v>
      </c>
      <c r="M16" s="138"/>
      <c r="N16" s="139" t="s">
        <v>25</v>
      </c>
      <c r="O16" s="139" t="s">
        <v>1550</v>
      </c>
      <c r="P16" s="139"/>
    </row>
    <row r="17" s="61" customFormat="1" ht="30" customHeight="1" outlineLevel="1" spans="1:16">
      <c r="A17" s="130"/>
      <c r="B17" s="36"/>
      <c r="C17" s="25"/>
      <c r="D17" s="25"/>
      <c r="E17" s="36"/>
      <c r="F17" s="131" t="s">
        <v>1551</v>
      </c>
      <c r="G17" s="31" t="s">
        <v>1552</v>
      </c>
      <c r="H17" s="132" t="s">
        <v>1553</v>
      </c>
      <c r="I17" s="131" t="s">
        <v>316</v>
      </c>
      <c r="J17" s="31" t="str">
        <f>INDEX(数据元说明!A:F,MATCH(I17,数据元说明!C:C,0),2)</f>
        <v>001008</v>
      </c>
      <c r="K17" s="133" t="str">
        <f>INDEX(数据元说明!A:F,MATCH(I17,数据元说明!C:C,0),5)</f>
        <v>中文描述。个人填报个人住址。机构填报有关部门批准的有效证件上登记的地址。参照《企业法人营业执照》中的注册地填报，要写明省（区、市）、地（区、市、州、盟）、县（区、市、旗）。境外机构及境内涉密机构不填报。</v>
      </c>
      <c r="L17" s="31" t="str">
        <f>INDEX(数据元说明!A:F,MATCH(I17,数据元说明!C:C,0),6)</f>
        <v>C..400</v>
      </c>
      <c r="M17" s="133" t="s">
        <v>1554</v>
      </c>
      <c r="N17" s="33"/>
      <c r="O17" s="33"/>
      <c r="P17" s="33"/>
    </row>
    <row r="18" s="81" customFormat="1" ht="30" customHeight="1" outlineLevel="1" spans="1:16">
      <c r="A18" s="134"/>
      <c r="B18" s="47"/>
      <c r="C18" s="39"/>
      <c r="D18" s="39"/>
      <c r="E18" s="47"/>
      <c r="F18" s="135" t="s">
        <v>1555</v>
      </c>
      <c r="G18" s="136" t="s">
        <v>1556</v>
      </c>
      <c r="H18" s="137" t="s">
        <v>1557</v>
      </c>
      <c r="I18" s="135" t="s">
        <v>320</v>
      </c>
      <c r="J18" s="136" t="str">
        <f>INDEX(数据元说明!A:F,MATCH(I18,数据元说明!C:C,0),2)</f>
        <v>001009</v>
      </c>
      <c r="K18" s="138" t="str">
        <f>INDEX(数据元说明!A:F,MATCH(I18,数据元说明!C:C,0),5)</f>
        <v>手机号码或者区号-固定电话号码。</v>
      </c>
      <c r="L18" s="136" t="str">
        <f>INDEX(数据元说明!A:F,MATCH(I18,数据元说明!C:C,0),6)</f>
        <v>C..30</v>
      </c>
      <c r="M18" s="138" t="s">
        <v>1558</v>
      </c>
      <c r="N18" s="143" t="s">
        <v>57</v>
      </c>
      <c r="O18" s="139"/>
      <c r="P18" s="139"/>
    </row>
    <row r="19" s="61" customFormat="1" ht="30" customHeight="1" outlineLevel="1" spans="1:16">
      <c r="A19" s="130"/>
      <c r="B19" s="36"/>
      <c r="C19" s="25"/>
      <c r="D19" s="25"/>
      <c r="E19" s="36"/>
      <c r="F19" s="131" t="s">
        <v>1559</v>
      </c>
      <c r="G19" s="31" t="s">
        <v>1560</v>
      </c>
      <c r="H19" s="132" t="s">
        <v>1561</v>
      </c>
      <c r="I19" s="131" t="s">
        <v>353</v>
      </c>
      <c r="J19" s="31" t="str">
        <f>INDEX(数据元说明!A:F,MATCH(I19,数据元说明!C:C,0),2)</f>
        <v>001017</v>
      </c>
      <c r="K19" s="133" t="str">
        <f>INDEX(数据元说明!A:F,MATCH(I19,数据元说明!C:C,0),5)</f>
        <v>姓名。</v>
      </c>
      <c r="L19" s="31" t="str">
        <f>INDEX(数据元说明!A:F,MATCH(I19,数据元说明!C:C,0),6)</f>
        <v>C..200</v>
      </c>
      <c r="M19" s="133" t="s">
        <v>1562</v>
      </c>
      <c r="N19" s="33"/>
      <c r="O19" s="33"/>
      <c r="P19" s="33"/>
    </row>
    <row r="20" s="61" customFormat="1" ht="30" customHeight="1" outlineLevel="1" spans="1:16">
      <c r="A20" s="130"/>
      <c r="B20" s="36"/>
      <c r="C20" s="25"/>
      <c r="D20" s="25"/>
      <c r="E20" s="36"/>
      <c r="F20" s="131" t="s">
        <v>1563</v>
      </c>
      <c r="G20" s="31" t="s">
        <v>1564</v>
      </c>
      <c r="H20" s="132" t="s">
        <v>1565</v>
      </c>
      <c r="I20" s="131" t="s">
        <v>362</v>
      </c>
      <c r="J20" s="31" t="str">
        <f>INDEX(数据元说明!A:F,MATCH(I20,数据元说明!C:C,0),2)</f>
        <v>001019</v>
      </c>
      <c r="K20" s="133" t="str">
        <f>INDEX(数据元说明!A:F,MATCH(I20,数据元说明!C:C,0),5)</f>
        <v>中文字典或中文描述，银行自定义。</v>
      </c>
      <c r="L20" s="31" t="str">
        <f>INDEX(数据元说明!A:F,MATCH(I20,数据元说明!C:C,0),6)</f>
        <v>C..200</v>
      </c>
      <c r="M20" s="133" t="s">
        <v>1566</v>
      </c>
      <c r="N20" s="33"/>
      <c r="O20" s="33"/>
      <c r="P20" s="33"/>
    </row>
    <row r="21" s="81" customFormat="1" ht="30" customHeight="1" outlineLevel="1" spans="1:16">
      <c r="A21" s="134"/>
      <c r="B21" s="47"/>
      <c r="C21" s="39"/>
      <c r="D21" s="39"/>
      <c r="E21" s="47"/>
      <c r="F21" s="135" t="s">
        <v>1567</v>
      </c>
      <c r="G21" s="136" t="s">
        <v>1568</v>
      </c>
      <c r="H21" s="137" t="s">
        <v>1569</v>
      </c>
      <c r="I21" s="135" t="s">
        <v>320</v>
      </c>
      <c r="J21" s="136" t="str">
        <f>INDEX(数据元说明!A:F,MATCH(I21,数据元说明!C:C,0),2)</f>
        <v>001009</v>
      </c>
      <c r="K21" s="138" t="str">
        <f>INDEX(数据元说明!A:F,MATCH(I21,数据元说明!C:C,0),5)</f>
        <v>手机号码或者区号-固定电话号码。</v>
      </c>
      <c r="L21" s="136" t="str">
        <f>INDEX(数据元说明!A:F,MATCH(I21,数据元说明!C:C,0),6)</f>
        <v>C..30</v>
      </c>
      <c r="M21" s="138" t="s">
        <v>1570</v>
      </c>
      <c r="N21" s="129" t="s">
        <v>25</v>
      </c>
      <c r="O21" s="129" t="s">
        <v>449</v>
      </c>
      <c r="P21" s="139"/>
    </row>
    <row r="22" s="82" customFormat="1" ht="71" outlineLevel="1" spans="1:16">
      <c r="A22" s="144"/>
      <c r="B22" s="145"/>
      <c r="C22" s="146"/>
      <c r="D22" s="146"/>
      <c r="E22" s="145"/>
      <c r="F22" s="147" t="s">
        <v>449</v>
      </c>
      <c r="G22" s="148" t="s">
        <v>1571</v>
      </c>
      <c r="H22" s="148" t="s">
        <v>1572</v>
      </c>
      <c r="I22" s="147" t="s">
        <v>449</v>
      </c>
      <c r="J22" s="148" t="str">
        <f>INDEX(数据元说明!A:F,MATCH(I22,数据元说明!C:C,0),2)</f>
        <v>001040</v>
      </c>
      <c r="K22" s="149" t="str">
        <f>INDEX(数据元说明!A:F,MATCH(I22,数据元说明!C:C,0),5)</f>
        <v>银行自定义。</v>
      </c>
      <c r="L22" s="148" t="str">
        <f>INDEX(数据元说明!A:F,MATCH(I22,数据元说明!C:C,0),6)</f>
        <v>C..600</v>
      </c>
      <c r="M22" s="149" t="s">
        <v>1573</v>
      </c>
      <c r="N22" s="150" t="s">
        <v>57</v>
      </c>
      <c r="O22" s="151"/>
      <c r="P22" s="151"/>
    </row>
    <row r="23" s="61" customFormat="1" ht="30" customHeight="1" outlineLevel="1" spans="1:16">
      <c r="A23" s="130"/>
      <c r="B23" s="36"/>
      <c r="C23" s="25"/>
      <c r="D23" s="25"/>
      <c r="E23" s="36"/>
      <c r="F23" s="131" t="s">
        <v>1574</v>
      </c>
      <c r="G23" s="31" t="s">
        <v>1575</v>
      </c>
      <c r="H23" s="132" t="s">
        <v>1576</v>
      </c>
      <c r="I23" s="131" t="s">
        <v>302</v>
      </c>
      <c r="J23" s="31" t="str">
        <f>INDEX(数据元说明!A:F,MATCH(I23,数据元说明!C:C,0),2)</f>
        <v>001005</v>
      </c>
      <c r="K23" s="133" t="str">
        <f>INDEX(数据元说明!A:F,MATCH(I23,数据元说明!C:C,0),5)</f>
        <v>YYYYMMDD，默认值99991231。</v>
      </c>
      <c r="L23" s="31" t="str">
        <f>INDEX(数据元说明!A:F,MATCH(I23,数据元说明!C:C,0),6)</f>
        <v>C8</v>
      </c>
      <c r="M23" s="133" t="s">
        <v>1577</v>
      </c>
      <c r="N23" s="99"/>
      <c r="O23" s="99"/>
      <c r="P23" s="99"/>
    </row>
    <row r="24" s="61" customFormat="1" ht="30" customHeight="1" spans="1:16">
      <c r="A24" s="125"/>
      <c r="B24" s="34"/>
      <c r="C24" s="19" t="s">
        <v>26</v>
      </c>
      <c r="D24" s="24" t="s">
        <v>27</v>
      </c>
      <c r="E24" s="126">
        <v>102</v>
      </c>
      <c r="F24" s="127"/>
      <c r="G24" s="126"/>
      <c r="H24" s="126"/>
      <c r="I24" s="127"/>
      <c r="J24" s="126"/>
      <c r="K24" s="152"/>
      <c r="L24" s="126"/>
      <c r="M24" s="128" t="str">
        <f>INDEX(表结构总览!E:H,MATCH(D24,表结构总览!E:E,0),4)</f>
        <v>在职类正式/非正式员工需每月报送，非正式员工包括合同制、劳务派遣员工。员工状态转为离职、退休、开除、死亡、调出等的，在报送该员工最后状态的次月可不再报送。子公司员工不用报送，调动至子公司的员工按离职报送。董事、监事不用报送。</v>
      </c>
      <c r="N24" s="129" t="s">
        <v>25</v>
      </c>
      <c r="O24" s="129" t="s">
        <v>449</v>
      </c>
      <c r="P24" s="139"/>
    </row>
    <row r="25" ht="30" customHeight="1" outlineLevel="1" spans="1:16">
      <c r="E25" s="94"/>
      <c r="F25" s="97" t="s">
        <v>325</v>
      </c>
      <c r="G25" s="29" t="s">
        <v>1520</v>
      </c>
      <c r="H25" s="96" t="s">
        <v>1578</v>
      </c>
      <c r="I25" s="97" t="s">
        <v>325</v>
      </c>
      <c r="J25" s="29" t="str">
        <f>INDEX(数据元说明!A:F,MATCH(I25,数据元说明!C:C,0),2)</f>
        <v>001010</v>
      </c>
      <c r="K25" s="98" t="str">
        <f>INDEX(数据元说明!A:F,MATCH(I25,数据元说明!C:C,0),5)</f>
        <v>12位人行支付行号或SWIFT行号。</v>
      </c>
      <c r="L25" s="29" t="str">
        <f>INDEX(数据元说明!A:F,MATCH(I25,数据元说明!C:C,0),6)</f>
        <v>C..30</v>
      </c>
      <c r="M25" s="98" t="s">
        <v>1579</v>
      </c>
      <c r="P25" s="99"/>
    </row>
    <row r="26" s="81" customFormat="1" ht="30" customHeight="1" outlineLevel="1" spans="1:16">
      <c r="A26" s="134"/>
      <c r="B26" s="47"/>
      <c r="C26" s="39"/>
      <c r="D26" s="39"/>
      <c r="E26" s="47"/>
      <c r="F26" s="135" t="s">
        <v>329</v>
      </c>
      <c r="G26" s="136" t="s">
        <v>1526</v>
      </c>
      <c r="H26" s="153" t="s">
        <v>1580</v>
      </c>
      <c r="I26" s="135" t="s">
        <v>329</v>
      </c>
      <c r="J26" s="136" t="str">
        <f>INDEX(数据元说明!A:F,MATCH(I26,数据元说明!C:C,0),2)</f>
        <v>001011</v>
      </c>
      <c r="K26" s="138" t="str">
        <f>INDEX(数据元说明!A:F,MATCH(I26,数据元说明!C:C,0),5)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6" s="136" t="str">
        <f>INDEX(数据元说明!A:F,MATCH(I26,数据元说明!C:C,0),6)</f>
        <v>C..30</v>
      </c>
      <c r="M26" s="138" t="s">
        <v>1528</v>
      </c>
      <c r="N26" s="129" t="s">
        <v>25</v>
      </c>
      <c r="O26" s="129" t="s">
        <v>449</v>
      </c>
      <c r="P26" s="139"/>
    </row>
    <row r="27" s="81" customFormat="1" ht="30" customHeight="1" outlineLevel="1" spans="1:16">
      <c r="A27" s="154"/>
      <c r="B27" s="155"/>
      <c r="C27" s="156"/>
      <c r="D27" s="156"/>
      <c r="E27" s="155"/>
      <c r="F27" s="157" t="s">
        <v>333</v>
      </c>
      <c r="G27" s="43" t="s">
        <v>1523</v>
      </c>
      <c r="H27" s="153" t="s">
        <v>1581</v>
      </c>
      <c r="I27" s="157" t="s">
        <v>333</v>
      </c>
      <c r="J27" s="43" t="str">
        <f>INDEX(数据元说明!A:F,MATCH(I27,数据元说明!C:C,0),2)</f>
        <v>001012</v>
      </c>
      <c r="K27" s="158" t="str">
        <f>INDEX(数据元说明!A:F,MATCH(I27,数据元说明!C:C,0),5)</f>
        <v>银行内部机构号。应具有标识机构的唯一性。</v>
      </c>
      <c r="L27" s="43" t="str">
        <f>INDEX(数据元说明!A:F,MATCH(I27,数据元说明!C:C,0),6)</f>
        <v>C..30</v>
      </c>
      <c r="M27" s="158" t="s">
        <v>1582</v>
      </c>
      <c r="N27" s="139" t="s">
        <v>25</v>
      </c>
      <c r="O27" s="139" t="s">
        <v>449</v>
      </c>
      <c r="P27" s="140"/>
    </row>
    <row r="28" s="81" customFormat="1" ht="30" customHeight="1" outlineLevel="1" spans="1:16">
      <c r="A28" s="154"/>
      <c r="B28" s="155"/>
      <c r="C28" s="156"/>
      <c r="D28" s="156"/>
      <c r="E28" s="155"/>
      <c r="F28" s="157" t="s">
        <v>1532</v>
      </c>
      <c r="G28" s="43" t="s">
        <v>1533</v>
      </c>
      <c r="H28" s="153" t="s">
        <v>1583</v>
      </c>
      <c r="I28" s="157" t="s">
        <v>282</v>
      </c>
      <c r="J28" s="43" t="str">
        <f>INDEX(数据元说明!A:F,MATCH(I28,数据元说明!C:C,0),2)</f>
        <v>001001</v>
      </c>
      <c r="K28" s="158" t="str">
        <f>INDEX(数据元说明!A:F,MATCH(I28,数据元说明!C:C,0),5)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8" s="43" t="str">
        <f>INDEX(数据元说明!A:F,MATCH(I28,数据元说明!C:C,0),6)</f>
        <v>C..400</v>
      </c>
      <c r="M28" s="158" t="s">
        <v>1584</v>
      </c>
      <c r="N28" s="139" t="s">
        <v>25</v>
      </c>
      <c r="O28" s="139" t="s">
        <v>280</v>
      </c>
      <c r="P28" s="140"/>
    </row>
    <row r="29" s="61" customFormat="1" ht="30" customHeight="1" outlineLevel="1" spans="1:16">
      <c r="A29" s="93"/>
      <c r="B29" s="94"/>
      <c r="C29" s="95"/>
      <c r="D29" s="95"/>
      <c r="E29" s="94"/>
      <c r="F29" s="97" t="s">
        <v>349</v>
      </c>
      <c r="G29" s="29" t="s">
        <v>1585</v>
      </c>
      <c r="H29" s="96" t="s">
        <v>1586</v>
      </c>
      <c r="I29" s="97" t="s">
        <v>349</v>
      </c>
      <c r="J29" s="29" t="str">
        <f>INDEX(数据元说明!A:F,MATCH(I29,数据元说明!C:C,0),2)</f>
        <v>001016</v>
      </c>
      <c r="K29" s="98" t="str">
        <f>INDEX(数据元说明!A:F,MATCH(I29,数据元说明!C:C,0),5)</f>
        <v>工号，银行自定义。</v>
      </c>
      <c r="L29" s="29" t="str">
        <f>INDEX(数据元说明!A:F,MATCH(I29,数据元说明!C:C,0),6)</f>
        <v>C..30</v>
      </c>
      <c r="M29" s="98" t="s">
        <v>1587</v>
      </c>
      <c r="N29" s="33" t="s">
        <v>25</v>
      </c>
      <c r="O29" s="99"/>
      <c r="P29" s="33" t="s">
        <v>1588</v>
      </c>
    </row>
    <row r="30" s="81" customFormat="1" ht="30" customHeight="1" outlineLevel="1" spans="1:16">
      <c r="A30" s="154"/>
      <c r="B30" s="155"/>
      <c r="C30" s="156"/>
      <c r="D30" s="156"/>
      <c r="E30" s="155"/>
      <c r="F30" s="157" t="s">
        <v>353</v>
      </c>
      <c r="G30" s="43" t="s">
        <v>1589</v>
      </c>
      <c r="H30" s="153" t="s">
        <v>1590</v>
      </c>
      <c r="I30" s="157" t="s">
        <v>353</v>
      </c>
      <c r="J30" s="43" t="str">
        <f>INDEX(数据元说明!A:F,MATCH(I30,数据元说明!C:C,0),2)</f>
        <v>001017</v>
      </c>
      <c r="K30" s="158" t="str">
        <f>INDEX(数据元说明!A:F,MATCH(I30,数据元说明!C:C,0),5)</f>
        <v>姓名。</v>
      </c>
      <c r="L30" s="43" t="str">
        <f>INDEX(数据元说明!A:F,MATCH(I30,数据元说明!C:C,0),6)</f>
        <v>C..200</v>
      </c>
      <c r="M30" s="158" t="s">
        <v>1591</v>
      </c>
      <c r="N30" s="129" t="s">
        <v>25</v>
      </c>
      <c r="O30" s="129" t="s">
        <v>449</v>
      </c>
      <c r="P30" s="140"/>
    </row>
    <row r="31" s="61" customFormat="1" ht="30" customHeight="1" outlineLevel="1" spans="1:16">
      <c r="A31" s="159"/>
      <c r="B31" s="160"/>
      <c r="C31" s="161"/>
      <c r="D31" s="161"/>
      <c r="E31" s="94"/>
      <c r="F31" s="97" t="s">
        <v>457</v>
      </c>
      <c r="G31" s="29" t="s">
        <v>1592</v>
      </c>
      <c r="H31" s="96" t="s">
        <v>1593</v>
      </c>
      <c r="I31" s="97" t="s">
        <v>457</v>
      </c>
      <c r="J31" s="29" t="str">
        <f>INDEX(数据元说明!A:F,MATCH(I31,数据元说明!C:C,0),2)</f>
        <v>002002</v>
      </c>
      <c r="K31" s="98" t="str">
        <f>INDEX(数据元说明!A:F,MATCH(I31,数据元说明!C:C,0),5)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31" s="29" t="str">
        <f>INDEX(数据元说明!A:F,MATCH(I31,数据元说明!C:C,0),6)</f>
        <v>C..60</v>
      </c>
      <c r="M31" s="98"/>
      <c r="N31" s="99"/>
      <c r="O31" s="99"/>
      <c r="P31" s="99"/>
    </row>
    <row r="32" s="81" customFormat="1" ht="30" customHeight="1" outlineLevel="1" spans="1:16">
      <c r="A32" s="154"/>
      <c r="B32" s="155"/>
      <c r="C32" s="156"/>
      <c r="D32" s="156"/>
      <c r="E32" s="155"/>
      <c r="F32" s="157" t="s">
        <v>461</v>
      </c>
      <c r="G32" s="43" t="s">
        <v>1594</v>
      </c>
      <c r="H32" s="153" t="s">
        <v>1595</v>
      </c>
      <c r="I32" s="157" t="s">
        <v>461</v>
      </c>
      <c r="J32" s="43" t="str">
        <f>INDEX(数据元说明!A:F,MATCH(I32,数据元说明!C:C,0),2)</f>
        <v>002003</v>
      </c>
      <c r="K32" s="158" t="str">
        <f>INDEX(数据元说明!A:F,MATCH(I32,数据元说明!C:C,0),5)</f>
        <v>与证件类别对应的证件号码。涉及个人身份证件时需按照本规范给定规则进行脱敏处理。</v>
      </c>
      <c r="L32" s="43" t="str">
        <f>INDEX(数据元说明!A:F,MATCH(I32,数据元说明!C:C,0),6)</f>
        <v>C..70</v>
      </c>
      <c r="M32" s="158" t="s">
        <v>1596</v>
      </c>
      <c r="N32" s="129" t="s">
        <v>25</v>
      </c>
      <c r="O32" s="129" t="s">
        <v>1514</v>
      </c>
      <c r="P32" s="140" t="s">
        <v>1588</v>
      </c>
    </row>
    <row r="33" s="81" customFormat="1" ht="30" customHeight="1" outlineLevel="1" spans="1:16">
      <c r="A33" s="154"/>
      <c r="B33" s="155"/>
      <c r="C33" s="156"/>
      <c r="D33" s="156"/>
      <c r="E33" s="155"/>
      <c r="F33" s="157" t="s">
        <v>1597</v>
      </c>
      <c r="G33" s="43" t="s">
        <v>1598</v>
      </c>
      <c r="H33" s="153" t="s">
        <v>1599</v>
      </c>
      <c r="I33" s="157" t="s">
        <v>320</v>
      </c>
      <c r="J33" s="43" t="str">
        <f>INDEX(数据元说明!A:F,MATCH(I33,数据元说明!C:C,0),2)</f>
        <v>001009</v>
      </c>
      <c r="K33" s="158" t="str">
        <f>INDEX(数据元说明!A:F,MATCH(I33,数据元说明!C:C,0),5)</f>
        <v>手机号码或者区号-固定电话号码。</v>
      </c>
      <c r="L33" s="43" t="str">
        <f>INDEX(数据元说明!A:F,MATCH(I33,数据元说明!C:C,0),6)</f>
        <v>C..30</v>
      </c>
      <c r="M33" s="162" t="s">
        <v>1600</v>
      </c>
      <c r="N33" s="129" t="s">
        <v>25</v>
      </c>
      <c r="O33" s="129" t="s">
        <v>449</v>
      </c>
      <c r="P33" s="140"/>
    </row>
    <row r="34" ht="30" customHeight="1" outlineLevel="1" spans="1:16">
      <c r="E34" s="94"/>
      <c r="F34" s="97" t="s">
        <v>358</v>
      </c>
      <c r="G34" s="29" t="s">
        <v>1601</v>
      </c>
      <c r="H34" s="96" t="s">
        <v>1602</v>
      </c>
      <c r="I34" s="97" t="s">
        <v>358</v>
      </c>
      <c r="J34" s="29" t="str">
        <f>INDEX(数据元说明!A:F,MATCH(I34,数据元说明!C:C,0),2)</f>
        <v>001018</v>
      </c>
      <c r="K34" s="98" t="str">
        <f>INDEX(数据元说明!A:F,MATCH(I34,数据元说明!C:C,0),5)</f>
        <v>中文字典或中文描述，银行自定义。</v>
      </c>
      <c r="L34" s="29" t="str">
        <f>INDEX(数据元说明!A:F,MATCH(I34,数据元说明!C:C,0),6)</f>
        <v>C..200</v>
      </c>
      <c r="P34" s="99"/>
    </row>
    <row r="35" s="81" customFormat="1" ht="30" customHeight="1" outlineLevel="1" spans="1:16">
      <c r="A35" s="154"/>
      <c r="B35" s="155"/>
      <c r="C35" s="156"/>
      <c r="D35" s="156"/>
      <c r="E35" s="155"/>
      <c r="F35" s="157" t="s">
        <v>383</v>
      </c>
      <c r="G35" s="43" t="s">
        <v>1603</v>
      </c>
      <c r="H35" s="153" t="s">
        <v>1604</v>
      </c>
      <c r="I35" s="157" t="s">
        <v>383</v>
      </c>
      <c r="J35" s="43" t="str">
        <f>INDEX(数据元说明!A:F,MATCH(I35,数据元说明!C:C,0),2)</f>
        <v>001025</v>
      </c>
      <c r="K35" s="158" t="str">
        <f>INDEX(数据元说明!A:F,MATCH(I35,数据元说明!C:C,0),5)</f>
        <v>银行自定义。</v>
      </c>
      <c r="L35" s="43" t="str">
        <f>INDEX(数据元说明!A:F,MATCH(I35,数据元说明!C:C,0),6)</f>
        <v>C..60</v>
      </c>
      <c r="M35" s="158" t="s">
        <v>1605</v>
      </c>
      <c r="N35" s="140" t="s">
        <v>25</v>
      </c>
      <c r="O35" s="140" t="s">
        <v>449</v>
      </c>
      <c r="P35" s="140" t="s">
        <v>1606</v>
      </c>
    </row>
    <row r="36" s="81" customFormat="1" ht="30" customHeight="1" outlineLevel="1" spans="1:16">
      <c r="A36" s="154"/>
      <c r="B36" s="155"/>
      <c r="C36" s="156"/>
      <c r="D36" s="156"/>
      <c r="E36" s="155"/>
      <c r="F36" s="157" t="s">
        <v>391</v>
      </c>
      <c r="G36" s="43" t="s">
        <v>1607</v>
      </c>
      <c r="H36" s="153" t="s">
        <v>1608</v>
      </c>
      <c r="I36" s="157" t="s">
        <v>391</v>
      </c>
      <c r="J36" s="43" t="str">
        <f>INDEX(数据元说明!A:F,MATCH(I36,数据元说明!C:C,0),2)</f>
        <v>001027</v>
      </c>
      <c r="K36" s="158" t="str">
        <f>INDEX(数据元说明!A:F,MATCH(I36,数据元说明!C:C,0),5)</f>
        <v>岗位名称，中文字典或中文描述，银行自定义。</v>
      </c>
      <c r="L36" s="43" t="str">
        <f>INDEX(数据元说明!A:F,MATCH(I36,数据元说明!C:C,0),6)</f>
        <v>C..200</v>
      </c>
      <c r="M36" s="158" t="s">
        <v>1609</v>
      </c>
      <c r="N36" s="143" t="s">
        <v>57</v>
      </c>
      <c r="O36" s="140"/>
      <c r="P36" s="140"/>
    </row>
    <row r="37" s="81" customFormat="1" ht="77" customHeight="1" outlineLevel="1" spans="1:16">
      <c r="A37" s="154"/>
      <c r="B37" s="155"/>
      <c r="C37" s="156"/>
      <c r="D37" s="156"/>
      <c r="E37" s="155"/>
      <c r="F37" s="157" t="s">
        <v>436</v>
      </c>
      <c r="G37" s="43" t="s">
        <v>1610</v>
      </c>
      <c r="H37" s="153" t="s">
        <v>1611</v>
      </c>
      <c r="I37" s="157" t="s">
        <v>436</v>
      </c>
      <c r="J37" s="43" t="str">
        <f>INDEX(数据元说明!A:F,MATCH(I37,数据元说明!C:C,0),2)</f>
        <v>001037</v>
      </c>
      <c r="K37" s="158" t="str">
        <f>INDEX(数据元说明!A:F,MATCH(I37,数据元说明!C:C,0),5)</f>
        <v>正式员工离职，正式员工在职，非正式员工离职，非正式员工在职，内退，退休，开除，死亡，调出，其他-银行自定义。无法以枚举类型填报的，以“其他-XX”填报，其中“XX”为银行自定义类型。</v>
      </c>
      <c r="L37" s="43" t="str">
        <f>INDEX(数据元说明!A:F,MATCH(I37,数据元说明!C:C,0),6)</f>
        <v>C..30</v>
      </c>
      <c r="M37" s="158" t="s">
        <v>1612</v>
      </c>
      <c r="N37" s="140" t="s">
        <v>25</v>
      </c>
      <c r="O37" s="139" t="s">
        <v>1613</v>
      </c>
      <c r="P37" s="139" t="s">
        <v>1606</v>
      </c>
    </row>
    <row r="38" s="82" customFormat="1" ht="71" outlineLevel="1" spans="1:16">
      <c r="A38" s="144"/>
      <c r="B38" s="145"/>
      <c r="C38" s="146"/>
      <c r="D38" s="146"/>
      <c r="E38" s="145"/>
      <c r="F38" s="147" t="s">
        <v>449</v>
      </c>
      <c r="G38" s="148" t="s">
        <v>1571</v>
      </c>
      <c r="H38" s="148" t="s">
        <v>1614</v>
      </c>
      <c r="I38" s="147" t="s">
        <v>449</v>
      </c>
      <c r="J38" s="148" t="str">
        <f>INDEX(数据元说明!A:F,MATCH(I38,数据元说明!C:C,0),2)</f>
        <v>001040</v>
      </c>
      <c r="K38" s="149" t="str">
        <f>INDEX(数据元说明!A:F,MATCH(I38,数据元说明!C:C,0),5)</f>
        <v>银行自定义。</v>
      </c>
      <c r="L38" s="148" t="str">
        <f>INDEX(数据元说明!A:F,MATCH(I38,数据元说明!C:C,0),6)</f>
        <v>C..600</v>
      </c>
      <c r="M38" s="149" t="s">
        <v>1573</v>
      </c>
      <c r="N38" s="150" t="s">
        <v>57</v>
      </c>
      <c r="O38" s="151"/>
      <c r="P38" s="151"/>
    </row>
    <row r="39" ht="30" customHeight="1" outlineLevel="1" spans="1:16">
      <c r="E39" s="94"/>
      <c r="F39" s="97" t="s">
        <v>1574</v>
      </c>
      <c r="G39" s="29" t="s">
        <v>1575</v>
      </c>
      <c r="H39" s="96" t="s">
        <v>1615</v>
      </c>
      <c r="I39" s="97" t="s">
        <v>302</v>
      </c>
      <c r="J39" s="29" t="str">
        <f>INDEX(数据元说明!A:F,MATCH(I39,数据元说明!C:C,0),2)</f>
        <v>001005</v>
      </c>
      <c r="K39" s="98" t="str">
        <f>INDEX(数据元说明!A:F,MATCH(I39,数据元说明!C:C,0),5)</f>
        <v>YYYYMMDD，默认值99991231。</v>
      </c>
      <c r="L39" s="29" t="str">
        <f>INDEX(数据元说明!A:F,MATCH(I39,数据元说明!C:C,0),6)</f>
        <v>C8</v>
      </c>
      <c r="M39" s="98" t="s">
        <v>1577</v>
      </c>
      <c r="P39" s="99"/>
    </row>
    <row r="40" s="61" customFormat="1" ht="30" customHeight="1" spans="1:16">
      <c r="A40" s="125"/>
      <c r="B40" s="34"/>
      <c r="C40" s="19" t="s">
        <v>29</v>
      </c>
      <c r="D40" s="24" t="s">
        <v>30</v>
      </c>
      <c r="E40" s="126">
        <v>103</v>
      </c>
      <c r="F40" s="127"/>
      <c r="G40" s="126"/>
      <c r="H40" s="126"/>
      <c r="I40" s="127"/>
      <c r="J40" s="126"/>
      <c r="K40" s="152"/>
      <c r="L40" s="126"/>
      <c r="M40" s="128" t="str">
        <f>INDEX(表结构总览!E:H,MATCH(D40,表结构总览!E:E,0),4)</f>
        <v>包含实体柜员和虚拟柜员。为虚拟柜员时，工号、银行机构代码等字段依业务实际填列或留为缺失值，如报送虚拟柜员，则通过“柜员类型”字段进行区分；柜员状态转为注销、无效等时，可在报送该条数据最终状态的次月不再报送。</v>
      </c>
      <c r="N40" s="129" t="s">
        <v>25</v>
      </c>
      <c r="O40" s="129" t="s">
        <v>449</v>
      </c>
      <c r="P40" s="140" t="s">
        <v>1606</v>
      </c>
    </row>
    <row r="41" s="61" customFormat="1" ht="30" customHeight="1" outlineLevel="1" spans="1:16">
      <c r="A41" s="130"/>
      <c r="B41" s="36"/>
      <c r="C41" s="25"/>
      <c r="D41" s="25"/>
      <c r="E41" s="36"/>
      <c r="F41" s="131" t="s">
        <v>325</v>
      </c>
      <c r="G41" s="31" t="s">
        <v>1520</v>
      </c>
      <c r="H41" s="132" t="s">
        <v>1616</v>
      </c>
      <c r="I41" s="131" t="s">
        <v>325</v>
      </c>
      <c r="J41" s="31" t="str">
        <f>INDEX(数据元说明!A:F,MATCH(I41,数据元说明!C:C,0),2)</f>
        <v>001010</v>
      </c>
      <c r="K41" s="133" t="str">
        <f>INDEX(数据元说明!A:F,MATCH(I41,数据元说明!C:C,0),5)</f>
        <v>12位人行支付行号或SWIFT行号。</v>
      </c>
      <c r="L41" s="31" t="str">
        <f>INDEX(数据元说明!A:F,MATCH(I41,数据元说明!C:C,0),6)</f>
        <v>C..30</v>
      </c>
      <c r="M41" s="133" t="s">
        <v>1579</v>
      </c>
      <c r="N41" s="99"/>
      <c r="O41" s="99"/>
      <c r="P41" s="99"/>
    </row>
    <row r="42" s="81" customFormat="1" ht="30" customHeight="1" outlineLevel="1" spans="1:16">
      <c r="A42" s="134"/>
      <c r="B42" s="47"/>
      <c r="C42" s="39"/>
      <c r="D42" s="39"/>
      <c r="E42" s="47"/>
      <c r="F42" s="135" t="s">
        <v>329</v>
      </c>
      <c r="G42" s="136" t="s">
        <v>1526</v>
      </c>
      <c r="H42" s="137" t="s">
        <v>1617</v>
      </c>
      <c r="I42" s="135" t="s">
        <v>329</v>
      </c>
      <c r="J42" s="136" t="str">
        <f>INDEX(数据元说明!A:F,MATCH(I42,数据元说明!C:C,0),2)</f>
        <v>001011</v>
      </c>
      <c r="K42" s="138" t="str">
        <f>INDEX(数据元说明!A:F,MATCH(I42,数据元说明!C:C,0),5)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2" s="136" t="str">
        <f>INDEX(数据元说明!A:F,MATCH(I42,数据元说明!C:C,0),6)</f>
        <v>C..30</v>
      </c>
      <c r="M42" s="138" t="s">
        <v>1528</v>
      </c>
      <c r="N42" s="129" t="s">
        <v>25</v>
      </c>
      <c r="O42" s="129" t="s">
        <v>449</v>
      </c>
      <c r="P42" s="139"/>
    </row>
    <row r="43" s="61" customFormat="1" ht="30" customHeight="1" outlineLevel="1" spans="1:16">
      <c r="A43" s="130"/>
      <c r="B43" s="36"/>
      <c r="C43" s="25"/>
      <c r="D43" s="25"/>
      <c r="E43" s="36"/>
      <c r="F43" s="131" t="s">
        <v>333</v>
      </c>
      <c r="G43" s="31" t="s">
        <v>1523</v>
      </c>
      <c r="H43" s="132" t="s">
        <v>1618</v>
      </c>
      <c r="I43" s="131" t="s">
        <v>333</v>
      </c>
      <c r="J43" s="31" t="str">
        <f>INDEX(数据元说明!A:F,MATCH(I43,数据元说明!C:C,0),2)</f>
        <v>001012</v>
      </c>
      <c r="K43" s="133" t="str">
        <f>INDEX(数据元说明!A:F,MATCH(I43,数据元说明!C:C,0),5)</f>
        <v>银行内部机构号。应具有标识机构的唯一性。</v>
      </c>
      <c r="L43" s="31" t="str">
        <f>INDEX(数据元说明!A:F,MATCH(I43,数据元说明!C:C,0),6)</f>
        <v>C..30</v>
      </c>
      <c r="M43" s="133" t="s">
        <v>1619</v>
      </c>
      <c r="N43" s="99"/>
      <c r="O43" s="99"/>
      <c r="P43" s="99"/>
    </row>
    <row r="44" s="61" customFormat="1" ht="30" customHeight="1" outlineLevel="1" spans="1:16">
      <c r="A44" s="130"/>
      <c r="B44" s="36"/>
      <c r="C44" s="25"/>
      <c r="D44" s="25"/>
      <c r="E44" s="36"/>
      <c r="F44" s="135" t="s">
        <v>1532</v>
      </c>
      <c r="G44" s="136" t="s">
        <v>1533</v>
      </c>
      <c r="H44" s="137" t="s">
        <v>1620</v>
      </c>
      <c r="I44" s="135" t="s">
        <v>282</v>
      </c>
      <c r="J44" s="136" t="str">
        <f>INDEX(数据元说明!A:F,MATCH(I44,数据元说明!C:C,0),2)</f>
        <v>001001</v>
      </c>
      <c r="K44" s="138" t="str">
        <f>INDEX(数据元说明!A:F,MATCH(I44,数据元说明!C:C,0),5)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44" s="136" t="str">
        <f>INDEX(数据元说明!A:F,MATCH(I44,数据元说明!C:C,0),6)</f>
        <v>C..400</v>
      </c>
      <c r="M44" s="138" t="s">
        <v>1584</v>
      </c>
      <c r="N44" s="139" t="s">
        <v>25</v>
      </c>
      <c r="O44" s="139" t="s">
        <v>280</v>
      </c>
      <c r="P44" s="140"/>
    </row>
    <row r="45" s="61" customFormat="1" ht="30" customHeight="1" outlineLevel="1" spans="1:16">
      <c r="A45" s="130"/>
      <c r="B45" s="36"/>
      <c r="C45" s="25"/>
      <c r="D45" s="25"/>
      <c r="E45" s="36"/>
      <c r="F45" s="131" t="s">
        <v>368</v>
      </c>
      <c r="G45" s="31" t="s">
        <v>1621</v>
      </c>
      <c r="H45" s="132" t="s">
        <v>1622</v>
      </c>
      <c r="I45" s="131" t="s">
        <v>368</v>
      </c>
      <c r="J45" s="31" t="str">
        <f>INDEX(数据元说明!A:F,MATCH(I45,数据元说明!C:C,0),2)</f>
        <v>001021</v>
      </c>
      <c r="K45" s="133" t="str">
        <f>INDEX(数据元说明!A:F,MATCH(I45,数据元说明!C:C,0),5)</f>
        <v>柜员编号，银行自定义。</v>
      </c>
      <c r="L45" s="31" t="str">
        <f>INDEX(数据元说明!A:F,MATCH(I45,数据元说明!C:C,0),6)</f>
        <v>C..30</v>
      </c>
      <c r="M45" s="133" t="s">
        <v>1623</v>
      </c>
      <c r="N45" s="33" t="s">
        <v>25</v>
      </c>
      <c r="O45" s="33"/>
      <c r="P45" s="33" t="s">
        <v>1588</v>
      </c>
    </row>
    <row r="46" s="81" customFormat="1" ht="30" customHeight="1" outlineLevel="1" spans="1:16">
      <c r="A46" s="134"/>
      <c r="B46" s="47"/>
      <c r="C46" s="39"/>
      <c r="D46" s="39"/>
      <c r="E46" s="47"/>
      <c r="F46" s="135" t="s">
        <v>349</v>
      </c>
      <c r="G46" s="136" t="s">
        <v>1585</v>
      </c>
      <c r="H46" s="137" t="s">
        <v>1624</v>
      </c>
      <c r="I46" s="135" t="s">
        <v>349</v>
      </c>
      <c r="J46" s="136" t="str">
        <f>INDEX(数据元说明!A:F,MATCH(I46,数据元说明!C:C,0),2)</f>
        <v>001016</v>
      </c>
      <c r="K46" s="138" t="str">
        <f>INDEX(数据元说明!A:F,MATCH(I46,数据元说明!C:C,0),5)</f>
        <v>工号，银行自定义。</v>
      </c>
      <c r="L46" s="136" t="str">
        <f>INDEX(数据元说明!A:F,MATCH(I46,数据元说明!C:C,0),6)</f>
        <v>C..30</v>
      </c>
      <c r="M46" s="138" t="s">
        <v>1625</v>
      </c>
      <c r="N46" s="139" t="s">
        <v>25</v>
      </c>
      <c r="O46" s="140"/>
      <c r="P46" s="139" t="s">
        <v>1588</v>
      </c>
    </row>
    <row r="47" s="61" customFormat="1" ht="30" customHeight="1" outlineLevel="1" spans="1:16">
      <c r="A47" s="130"/>
      <c r="B47" s="36"/>
      <c r="C47" s="25"/>
      <c r="D47" s="25"/>
      <c r="E47" s="36"/>
      <c r="F47" s="131" t="s">
        <v>372</v>
      </c>
      <c r="G47" s="31" t="s">
        <v>1626</v>
      </c>
      <c r="H47" s="132" t="s">
        <v>1627</v>
      </c>
      <c r="I47" s="131" t="s">
        <v>372</v>
      </c>
      <c r="J47" s="31" t="str">
        <f>INDEX(数据元说明!A:F,MATCH(I47,数据元说明!C:C,0),2)</f>
        <v>001022</v>
      </c>
      <c r="K47" s="133" t="str">
        <f>INDEX(数据元说明!A:F,MATCH(I47,数据元说明!C:C,0),5)</f>
        <v>中文字典或中文描述，银行自定义。</v>
      </c>
      <c r="L47" s="31" t="str">
        <f>INDEX(数据元说明!A:F,MATCH(I47,数据元说明!C:C,0),6)</f>
        <v>C..30</v>
      </c>
      <c r="M47" s="133" t="s">
        <v>1628</v>
      </c>
      <c r="N47" s="33"/>
      <c r="O47" s="33"/>
      <c r="P47" s="33"/>
    </row>
    <row r="48" s="61" customFormat="1" ht="30" customHeight="1" outlineLevel="1" spans="1:16">
      <c r="A48" s="130"/>
      <c r="B48" s="36"/>
      <c r="C48" s="25"/>
      <c r="D48" s="25"/>
      <c r="E48" s="36"/>
      <c r="F48" s="131" t="s">
        <v>1629</v>
      </c>
      <c r="G48" s="31" t="s">
        <v>1630</v>
      </c>
      <c r="H48" s="132" t="s">
        <v>1631</v>
      </c>
      <c r="I48" s="131" t="s">
        <v>287</v>
      </c>
      <c r="J48" s="31" t="str">
        <f>INDEX(数据元说明!A:F,MATCH(I48,数据元说明!C:C,0),2)</f>
        <v>001002</v>
      </c>
      <c r="K48" s="133" t="str">
        <f>INDEX(数据元说明!A:F,MATCH(I48,数据元说明!C:C,0),5)</f>
        <v>是，否。</v>
      </c>
      <c r="L48" s="31" t="str">
        <f>INDEX(数据元说明!A:F,MATCH(I48,数据元说明!C:C,0),6)</f>
        <v>C3</v>
      </c>
      <c r="M48" s="133" t="s">
        <v>1632</v>
      </c>
      <c r="N48" s="33"/>
      <c r="O48" s="33"/>
      <c r="P48" s="33"/>
    </row>
    <row r="49" s="61" customFormat="1" ht="30" customHeight="1" outlineLevel="1" spans="1:16">
      <c r="A49" s="130"/>
      <c r="B49" s="36"/>
      <c r="C49" s="25"/>
      <c r="D49" s="25"/>
      <c r="E49" s="36"/>
      <c r="F49" s="131" t="s">
        <v>1633</v>
      </c>
      <c r="G49" s="31" t="s">
        <v>1634</v>
      </c>
      <c r="H49" s="132" t="s">
        <v>1635</v>
      </c>
      <c r="I49" s="131" t="s">
        <v>287</v>
      </c>
      <c r="J49" s="31" t="str">
        <f>INDEX(数据元说明!A:F,MATCH(I49,数据元说明!C:C,0),2)</f>
        <v>001002</v>
      </c>
      <c r="K49" s="133" t="str">
        <f>INDEX(数据元说明!A:F,MATCH(I49,数据元说明!C:C,0),5)</f>
        <v>是，否。</v>
      </c>
      <c r="L49" s="31" t="str">
        <f>INDEX(数据元说明!A:F,MATCH(I49,数据元说明!C:C,0),6)</f>
        <v>C3</v>
      </c>
      <c r="M49" s="163" t="s">
        <v>1636</v>
      </c>
      <c r="N49" s="33"/>
      <c r="O49" s="33"/>
      <c r="P49" s="33"/>
    </row>
    <row r="50" s="61" customFormat="1" ht="30" customHeight="1" outlineLevel="1" spans="1:16">
      <c r="A50" s="130"/>
      <c r="B50" s="36"/>
      <c r="C50" s="25"/>
      <c r="D50" s="25"/>
      <c r="E50" s="36"/>
      <c r="F50" s="131" t="s">
        <v>1637</v>
      </c>
      <c r="G50" s="31" t="s">
        <v>1638</v>
      </c>
      <c r="H50" s="132" t="s">
        <v>1639</v>
      </c>
      <c r="I50" s="131" t="s">
        <v>287</v>
      </c>
      <c r="J50" s="31" t="str">
        <f>INDEX(数据元说明!A:F,MATCH(I50,数据元说明!C:C,0),2)</f>
        <v>001002</v>
      </c>
      <c r="K50" s="133" t="str">
        <f>INDEX(数据元说明!A:F,MATCH(I50,数据元说明!C:C,0),5)</f>
        <v>是，否。</v>
      </c>
      <c r="L50" s="31" t="str">
        <f>INDEX(数据元说明!A:F,MATCH(I50,数据元说明!C:C,0),6)</f>
        <v>C3</v>
      </c>
      <c r="M50" s="163" t="s">
        <v>1636</v>
      </c>
      <c r="N50" s="33"/>
      <c r="O50" s="33"/>
      <c r="P50" s="33"/>
    </row>
    <row r="51" s="61" customFormat="1" ht="30" customHeight="1" outlineLevel="1" spans="1:16">
      <c r="A51" s="130"/>
      <c r="B51" s="36"/>
      <c r="C51" s="25"/>
      <c r="D51" s="25"/>
      <c r="E51" s="36"/>
      <c r="F51" s="131" t="s">
        <v>383</v>
      </c>
      <c r="G51" s="31" t="s">
        <v>1603</v>
      </c>
      <c r="H51" s="132" t="s">
        <v>1640</v>
      </c>
      <c r="I51" s="131" t="s">
        <v>383</v>
      </c>
      <c r="J51" s="31" t="str">
        <f>INDEX(数据元说明!A:F,MATCH(I51,数据元说明!C:C,0),2)</f>
        <v>001025</v>
      </c>
      <c r="K51" s="133" t="str">
        <f>INDEX(数据元说明!A:F,MATCH(I51,数据元说明!C:C,0),5)</f>
        <v>银行自定义。</v>
      </c>
      <c r="L51" s="31" t="str">
        <f>INDEX(数据元说明!A:F,MATCH(I51,数据元说明!C:C,0),6)</f>
        <v>C..60</v>
      </c>
      <c r="M51" s="133" t="s">
        <v>1641</v>
      </c>
      <c r="N51" s="99"/>
      <c r="O51" s="99"/>
      <c r="P51" s="99"/>
    </row>
    <row r="52" s="61" customFormat="1" ht="30" customHeight="1" outlineLevel="1" spans="1:16">
      <c r="A52" s="130"/>
      <c r="B52" s="36"/>
      <c r="C52" s="25"/>
      <c r="D52" s="25"/>
      <c r="E52" s="36"/>
      <c r="F52" s="131" t="s">
        <v>379</v>
      </c>
      <c r="G52" s="31" t="s">
        <v>1642</v>
      </c>
      <c r="H52" s="132" t="s">
        <v>1643</v>
      </c>
      <c r="I52" s="131" t="s">
        <v>379</v>
      </c>
      <c r="J52" s="31" t="str">
        <f>INDEX(数据元说明!A:F,MATCH(I52,数据元说明!C:C,0),2)</f>
        <v>001024</v>
      </c>
      <c r="K52" s="133" t="str">
        <f>INDEX(数据元说明!A:F,MATCH(I52,数据元说明!C:C,0),5)</f>
        <v>柜员权限级别，银行自定义。</v>
      </c>
      <c r="L52" s="31" t="str">
        <f>INDEX(数据元说明!A:F,MATCH(I52,数据元说明!C:C,0),6)</f>
        <v>C..30</v>
      </c>
      <c r="M52" s="133"/>
      <c r="N52" s="99"/>
      <c r="O52" s="99"/>
      <c r="P52" s="99"/>
    </row>
    <row r="53" s="61" customFormat="1" ht="30" customHeight="1" outlineLevel="1" spans="1:16">
      <c r="A53" s="130"/>
      <c r="B53" s="36"/>
      <c r="C53" s="25"/>
      <c r="D53" s="25"/>
      <c r="E53" s="36"/>
      <c r="F53" s="131" t="s">
        <v>1644</v>
      </c>
      <c r="G53" s="31" t="s">
        <v>1645</v>
      </c>
      <c r="H53" s="132" t="s">
        <v>1646</v>
      </c>
      <c r="I53" s="131" t="s">
        <v>302</v>
      </c>
      <c r="J53" s="31" t="str">
        <f>INDEX(数据元说明!A:F,MATCH(I53,数据元说明!C:C,0),2)</f>
        <v>001005</v>
      </c>
      <c r="K53" s="133" t="str">
        <f>INDEX(数据元说明!A:F,MATCH(I53,数据元说明!C:C,0),5)</f>
        <v>YYYYMMDD，默认值99991231。</v>
      </c>
      <c r="L53" s="31" t="str">
        <f>INDEX(数据元说明!A:F,MATCH(I53,数据元说明!C:C,0),6)</f>
        <v>C8</v>
      </c>
      <c r="M53" s="133"/>
      <c r="N53" s="99"/>
      <c r="O53" s="99"/>
      <c r="P53" s="99"/>
    </row>
    <row r="54" s="81" customFormat="1" ht="30" customHeight="1" outlineLevel="1" spans="1:16">
      <c r="A54" s="134"/>
      <c r="B54" s="47"/>
      <c r="C54" s="39"/>
      <c r="D54" s="39"/>
      <c r="E54" s="47"/>
      <c r="F54" s="135" t="s">
        <v>1647</v>
      </c>
      <c r="G54" s="136" t="s">
        <v>1648</v>
      </c>
      <c r="H54" s="137" t="s">
        <v>1649</v>
      </c>
      <c r="I54" s="135" t="s">
        <v>436</v>
      </c>
      <c r="J54" s="136" t="str">
        <f>INDEX(数据元说明!A:F,MATCH(I54,数据元说明!C:C,0),2)</f>
        <v>001037</v>
      </c>
      <c r="K54" s="138" t="str">
        <f>INDEX(数据元说明!A:F,MATCH(I54,数据元说明!C:C,0),5)</f>
        <v>正式员工离职，正式员工在职，非正式员工离职，非正式员工在职，内退，退休，开除，死亡，调出，其他-银行自定义。无法以枚举类型填报的，以“其他-XX”填报，其中“XX”为银行自定义类型。</v>
      </c>
      <c r="L54" s="136" t="str">
        <f>INDEX(数据元说明!A:F,MATCH(I54,数据元说明!C:C,0),6)</f>
        <v>C..30</v>
      </c>
      <c r="M54" s="138"/>
      <c r="N54" s="129" t="s">
        <v>25</v>
      </c>
      <c r="O54" s="139" t="s">
        <v>1516</v>
      </c>
      <c r="P54" s="140"/>
    </row>
    <row r="55" s="82" customFormat="1" ht="71" outlineLevel="1" spans="1:16">
      <c r="A55" s="144"/>
      <c r="B55" s="145"/>
      <c r="C55" s="146"/>
      <c r="D55" s="146"/>
      <c r="E55" s="145"/>
      <c r="F55" s="147" t="s">
        <v>449</v>
      </c>
      <c r="G55" s="148" t="s">
        <v>1571</v>
      </c>
      <c r="H55" s="148" t="s">
        <v>1650</v>
      </c>
      <c r="I55" s="147" t="s">
        <v>449</v>
      </c>
      <c r="J55" s="148" t="str">
        <f>INDEX(数据元说明!A:F,MATCH(I55,数据元说明!C:C,0),2)</f>
        <v>001040</v>
      </c>
      <c r="K55" s="149" t="str">
        <f>INDEX(数据元说明!A:F,MATCH(I55,数据元说明!C:C,0),5)</f>
        <v>银行自定义。</v>
      </c>
      <c r="L55" s="148" t="str">
        <f>INDEX(数据元说明!A:F,MATCH(I55,数据元说明!C:C,0),6)</f>
        <v>C..600</v>
      </c>
      <c r="M55" s="149" t="s">
        <v>1573</v>
      </c>
      <c r="N55" s="150" t="s">
        <v>57</v>
      </c>
      <c r="O55" s="151"/>
      <c r="P55" s="151"/>
    </row>
    <row r="56" s="61" customFormat="1" ht="30" customHeight="1" outlineLevel="1" spans="1:16">
      <c r="A56" s="130"/>
      <c r="B56" s="36"/>
      <c r="C56" s="25"/>
      <c r="D56" s="25"/>
      <c r="E56" s="36"/>
      <c r="F56" s="131" t="s">
        <v>1574</v>
      </c>
      <c r="G56" s="31" t="s">
        <v>1575</v>
      </c>
      <c r="H56" s="132" t="s">
        <v>1651</v>
      </c>
      <c r="I56" s="131" t="s">
        <v>302</v>
      </c>
      <c r="J56" s="31" t="str">
        <f>INDEX(数据元说明!A:F,MATCH(I56,数据元说明!C:C,0),2)</f>
        <v>001005</v>
      </c>
      <c r="K56" s="133" t="str">
        <f>INDEX(数据元说明!A:F,MATCH(I56,数据元说明!C:C,0),5)</f>
        <v>YYYYMMDD，默认值99991231。</v>
      </c>
      <c r="L56" s="31" t="str">
        <f>INDEX(数据元说明!A:F,MATCH(I56,数据元说明!C:C,0),6)</f>
        <v>C8</v>
      </c>
      <c r="M56" s="133" t="s">
        <v>1577</v>
      </c>
      <c r="N56" s="99"/>
      <c r="O56" s="99"/>
      <c r="P56" s="99"/>
    </row>
    <row r="57" s="61" customFormat="1" ht="48.75" customHeight="1" spans="1:16">
      <c r="A57" s="125"/>
      <c r="B57" s="34"/>
      <c r="C57" s="19" t="s">
        <v>32</v>
      </c>
      <c r="D57" s="24" t="s">
        <v>33</v>
      </c>
      <c r="E57" s="126">
        <v>104</v>
      </c>
      <c r="F57" s="127"/>
      <c r="G57" s="126"/>
      <c r="H57" s="126"/>
      <c r="I57" s="127"/>
      <c r="J57" s="126"/>
      <c r="K57" s="152"/>
      <c r="L57" s="126"/>
      <c r="M57" s="128" t="str">
        <f>INDEX(表结构总览!E:H,MATCH(D57,表结构总览!E:E,0),4)</f>
        <v>银行机构内设立的所有岗位的相关信息，至少应包括核心和人力资源系统中的所有岗位信息。撤销的岗位于次月不再报送。</v>
      </c>
      <c r="N57" s="139" t="s">
        <v>25</v>
      </c>
      <c r="O57" s="99"/>
      <c r="P57" s="99"/>
    </row>
    <row r="58" ht="30" customHeight="1" outlineLevel="1" spans="1:16">
      <c r="E58" s="95"/>
      <c r="F58" s="97" t="s">
        <v>325</v>
      </c>
      <c r="G58" s="29" t="s">
        <v>1520</v>
      </c>
      <c r="H58" s="29">
        <v>10401</v>
      </c>
      <c r="I58" s="97" t="s">
        <v>325</v>
      </c>
      <c r="J58" s="29" t="str">
        <f>INDEX(数据元说明!A:F,MATCH(I58,数据元说明!C:C,0),2)</f>
        <v>001010</v>
      </c>
      <c r="K58" s="98" t="str">
        <f>INDEX(数据元说明!A:F,MATCH(I58,数据元说明!C:C,0),5)</f>
        <v>12位人行支付行号或SWIFT行号。</v>
      </c>
      <c r="L58" s="29" t="str">
        <f>INDEX(数据元说明!A:F,MATCH(I58,数据元说明!C:C,0),6)</f>
        <v>C..30</v>
      </c>
      <c r="M58" s="98" t="s">
        <v>1579</v>
      </c>
      <c r="P58" s="99"/>
    </row>
    <row r="59" s="81" customFormat="1" ht="30" customHeight="1" outlineLevel="1" spans="1:16">
      <c r="A59" s="134"/>
      <c r="B59" s="47"/>
      <c r="C59" s="39"/>
      <c r="D59" s="39"/>
      <c r="E59" s="95"/>
      <c r="F59" s="135" t="s">
        <v>329</v>
      </c>
      <c r="G59" s="136" t="s">
        <v>1526</v>
      </c>
      <c r="H59" s="43">
        <v>10402</v>
      </c>
      <c r="I59" s="135" t="s">
        <v>329</v>
      </c>
      <c r="J59" s="136" t="str">
        <f>INDEX(数据元说明!A:F,MATCH(I59,数据元说明!C:C,0),2)</f>
        <v>001011</v>
      </c>
      <c r="K59" s="138" t="str">
        <f>INDEX(数据元说明!A:F,MATCH(I59,数据元说明!C:C,0),5)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9" s="136" t="str">
        <f>INDEX(数据元说明!A:F,MATCH(I59,数据元说明!C:C,0),6)</f>
        <v>C..30</v>
      </c>
      <c r="M59" s="138" t="s">
        <v>1528</v>
      </c>
      <c r="N59" s="129" t="s">
        <v>25</v>
      </c>
      <c r="O59" s="129" t="s">
        <v>449</v>
      </c>
      <c r="P59" s="139"/>
    </row>
    <row r="60" ht="30" customHeight="1" outlineLevel="1" spans="1:16">
      <c r="E60" s="95"/>
      <c r="F60" s="97" t="s">
        <v>333</v>
      </c>
      <c r="G60" s="29" t="s">
        <v>1523</v>
      </c>
      <c r="H60" s="29">
        <v>10403</v>
      </c>
      <c r="I60" s="97" t="s">
        <v>333</v>
      </c>
      <c r="J60" s="29" t="str">
        <f>INDEX(数据元说明!A:F,MATCH(I60,数据元说明!C:C,0),2)</f>
        <v>001012</v>
      </c>
      <c r="K60" s="98" t="str">
        <f>INDEX(数据元说明!A:F,MATCH(I60,数据元说明!C:C,0),5)</f>
        <v>银行内部机构号。应具有标识机构的唯一性。</v>
      </c>
      <c r="L60" s="29" t="str">
        <f>INDEX(数据元说明!A:F,MATCH(I60,数据元说明!C:C,0),6)</f>
        <v>C..30</v>
      </c>
      <c r="M60" s="98" t="s">
        <v>1619</v>
      </c>
      <c r="P60" s="99"/>
    </row>
    <row r="61" s="61" customFormat="1" ht="30" customHeight="1" outlineLevel="1" spans="1:16">
      <c r="A61" s="93"/>
      <c r="B61" s="94"/>
      <c r="C61" s="95"/>
      <c r="D61" s="95"/>
      <c r="E61" s="95"/>
      <c r="F61" s="97" t="s">
        <v>383</v>
      </c>
      <c r="G61" s="29" t="s">
        <v>1603</v>
      </c>
      <c r="H61" s="29">
        <v>10404</v>
      </c>
      <c r="I61" s="97" t="s">
        <v>383</v>
      </c>
      <c r="J61" s="29" t="str">
        <f>INDEX(数据元说明!A:F,MATCH(I61,数据元说明!C:C,0),2)</f>
        <v>001025</v>
      </c>
      <c r="K61" s="98" t="str">
        <f>INDEX(数据元说明!A:F,MATCH(I61,数据元说明!C:C,0),5)</f>
        <v>银行自定义。</v>
      </c>
      <c r="L61" s="29" t="str">
        <f>INDEX(数据元说明!A:F,MATCH(I61,数据元说明!C:C,0),6)</f>
        <v>C..60</v>
      </c>
      <c r="M61" s="98" t="s">
        <v>1587</v>
      </c>
      <c r="N61" s="33" t="s">
        <v>25</v>
      </c>
      <c r="O61" s="99"/>
      <c r="P61" s="33" t="s">
        <v>1588</v>
      </c>
    </row>
    <row r="62" ht="30" customHeight="1" outlineLevel="1" spans="1:16">
      <c r="E62" s="95"/>
      <c r="F62" s="97" t="s">
        <v>387</v>
      </c>
      <c r="G62" s="29" t="s">
        <v>1652</v>
      </c>
      <c r="H62" s="29">
        <v>10405</v>
      </c>
      <c r="I62" s="97" t="s">
        <v>387</v>
      </c>
      <c r="J62" s="29" t="str">
        <f>INDEX(数据元说明!A:F,MATCH(I62,数据元说明!C:C,0),2)</f>
        <v>001026</v>
      </c>
      <c r="K62" s="98" t="str">
        <f>INDEX(数据元说明!A:F,MATCH(I62,数据元说明!C:C,0),5)</f>
        <v>岗位种类，中文字典或中文描述，银行自定义。</v>
      </c>
      <c r="L62" s="29" t="str">
        <f>INDEX(数据元说明!A:F,MATCH(I62,数据元说明!C:C,0),6)</f>
        <v>C..60</v>
      </c>
      <c r="M62" s="98" t="s">
        <v>1653</v>
      </c>
      <c r="P62" s="99"/>
    </row>
    <row r="63" ht="30" customHeight="1" outlineLevel="1" spans="1:16">
      <c r="E63" s="94"/>
      <c r="F63" s="97" t="s">
        <v>391</v>
      </c>
      <c r="G63" s="29" t="s">
        <v>1607</v>
      </c>
      <c r="H63" s="29">
        <v>10406</v>
      </c>
      <c r="I63" s="97" t="s">
        <v>391</v>
      </c>
      <c r="J63" s="29" t="str">
        <f>INDEX(数据元说明!A:F,MATCH(I63,数据元说明!C:C,0),2)</f>
        <v>001027</v>
      </c>
      <c r="K63" s="98" t="str">
        <f>INDEX(数据元说明!A:F,MATCH(I63,数据元说明!C:C,0),5)</f>
        <v>岗位名称，中文字典或中文描述，银行自定义。</v>
      </c>
      <c r="L63" s="29" t="str">
        <f>INDEX(数据元说明!A:F,MATCH(I63,数据元说明!C:C,0),6)</f>
        <v>C..200</v>
      </c>
      <c r="M63" s="98" t="s">
        <v>1653</v>
      </c>
      <c r="P63" s="99"/>
    </row>
    <row r="64" ht="30" customHeight="1" outlineLevel="1" spans="1:16">
      <c r="E64" s="94"/>
      <c r="F64" s="97" t="s">
        <v>395</v>
      </c>
      <c r="G64" s="29" t="s">
        <v>1654</v>
      </c>
      <c r="H64" s="29">
        <v>10407</v>
      </c>
      <c r="I64" s="97" t="s">
        <v>395</v>
      </c>
      <c r="J64" s="29" t="str">
        <f>INDEX(数据元说明!A:F,MATCH(I64,数据元说明!C:C,0),2)</f>
        <v>001028</v>
      </c>
      <c r="K64" s="98" t="str">
        <f>INDEX(数据元说明!A:F,MATCH(I64,数据元说明!C:C,0),5)</f>
        <v>对岗位工作的中文描述，银行自定义。</v>
      </c>
      <c r="L64" s="29" t="str">
        <f>INDEX(数据元说明!A:F,MATCH(I64,数据元说明!C:C,0),6)</f>
        <v>C..400</v>
      </c>
      <c r="M64" s="98" t="s">
        <v>1653</v>
      </c>
      <c r="P64" s="99"/>
    </row>
    <row r="65" ht="30" customHeight="1" outlineLevel="1" spans="1:16">
      <c r="E65" s="94"/>
      <c r="F65" s="97" t="s">
        <v>1655</v>
      </c>
      <c r="G65" s="29" t="s">
        <v>1656</v>
      </c>
      <c r="H65" s="29">
        <v>10408</v>
      </c>
      <c r="I65" s="97" t="s">
        <v>365</v>
      </c>
      <c r="J65" s="29" t="str">
        <f>INDEX(数据元说明!A:F,MATCH(I65,数据元说明!C:C,0),2)</f>
        <v>001020</v>
      </c>
      <c r="K65" s="98" t="str">
        <f>INDEX(数据元说明!A:F,MATCH(I65,数据元说明!C:C,0),5)</f>
        <v>中文字典或中文描述，银行自定义。</v>
      </c>
      <c r="L65" s="29" t="str">
        <f>INDEX(数据元说明!A:F,MATCH(I65,数据元说明!C:C,0),6)</f>
        <v>C..30</v>
      </c>
      <c r="P65" s="99"/>
    </row>
    <row r="66" s="82" customFormat="1" ht="71" outlineLevel="1" spans="1:16">
      <c r="A66" s="144"/>
      <c r="B66" s="145"/>
      <c r="C66" s="146"/>
      <c r="D66" s="146"/>
      <c r="E66" s="145"/>
      <c r="F66" s="147" t="s">
        <v>449</v>
      </c>
      <c r="G66" s="148" t="s">
        <v>1571</v>
      </c>
      <c r="H66" s="148">
        <v>10409</v>
      </c>
      <c r="I66" s="147" t="s">
        <v>449</v>
      </c>
      <c r="J66" s="148" t="str">
        <f>INDEX(数据元说明!A:F,MATCH(I66,数据元说明!C:C,0),2)</f>
        <v>001040</v>
      </c>
      <c r="K66" s="149" t="str">
        <f>INDEX(数据元说明!A:F,MATCH(I66,数据元说明!C:C,0),5)</f>
        <v>银行自定义。</v>
      </c>
      <c r="L66" s="148" t="str">
        <f>INDEX(数据元说明!A:F,MATCH(I66,数据元说明!C:C,0),6)</f>
        <v>C..600</v>
      </c>
      <c r="M66" s="149" t="s">
        <v>1573</v>
      </c>
      <c r="N66" s="150" t="s">
        <v>57</v>
      </c>
      <c r="O66" s="151"/>
      <c r="P66" s="151"/>
    </row>
    <row r="67" ht="30" customHeight="1" outlineLevel="1" spans="1:16">
      <c r="E67" s="94"/>
      <c r="F67" s="97" t="s">
        <v>1574</v>
      </c>
      <c r="G67" s="29" t="s">
        <v>1575</v>
      </c>
      <c r="H67" s="29">
        <v>10410</v>
      </c>
      <c r="I67" s="97" t="s">
        <v>302</v>
      </c>
      <c r="J67" s="29" t="str">
        <f>INDEX(数据元说明!A:F,MATCH(I67,数据元说明!C:C,0),2)</f>
        <v>001005</v>
      </c>
      <c r="K67" s="98" t="str">
        <f>INDEX(数据元说明!A:F,MATCH(I67,数据元说明!C:C,0),5)</f>
        <v>YYYYMMDD，默认值99991231。</v>
      </c>
      <c r="L67" s="29" t="str">
        <f>INDEX(数据元说明!A:F,MATCH(I67,数据元说明!C:C,0),6)</f>
        <v>C8</v>
      </c>
      <c r="M67" s="98" t="s">
        <v>1577</v>
      </c>
      <c r="P67" s="99"/>
    </row>
    <row r="68" s="61" customFormat="1" ht="30" customHeight="1" spans="1:16">
      <c r="A68" s="125"/>
      <c r="B68" s="34"/>
      <c r="C68" s="19" t="s">
        <v>35</v>
      </c>
      <c r="D68" s="24" t="s">
        <v>36</v>
      </c>
      <c r="E68" s="126">
        <v>105</v>
      </c>
      <c r="F68" s="127"/>
      <c r="G68" s="126"/>
      <c r="H68" s="126"/>
      <c r="I68" s="127"/>
      <c r="J68" s="126"/>
      <c r="K68" s="152"/>
      <c r="L68" s="126"/>
      <c r="M68" s="128" t="str">
        <f>INDEX(表结构总览!E:H,MATCH(D68,表结构总览!E:E,0),4)</f>
        <v>机构关系表报送范围应包括所有进行账务处理的机构，至少应包括总行、分行、支行等实体机构和省级汇总、地市级汇总、法人汇总、分行汇总。会计全科目表中的机构在机构关系表中都需要报送，每次全量报送。</v>
      </c>
      <c r="N68" s="139" t="s">
        <v>25</v>
      </c>
      <c r="O68" s="33"/>
      <c r="P68" s="33"/>
    </row>
    <row r="69" s="81" customFormat="1" ht="30" customHeight="1" outlineLevel="1" spans="1:16">
      <c r="A69" s="154"/>
      <c r="B69" s="155"/>
      <c r="C69" s="156"/>
      <c r="D69" s="156"/>
      <c r="E69" s="155"/>
      <c r="F69" s="157" t="s">
        <v>325</v>
      </c>
      <c r="G69" s="43" t="s">
        <v>1520</v>
      </c>
      <c r="H69" s="153" t="s">
        <v>1657</v>
      </c>
      <c r="I69" s="157" t="s">
        <v>325</v>
      </c>
      <c r="J69" s="43" t="str">
        <f>INDEX(数据元说明!A:F,MATCH(I69,数据元说明!C:C,0),2)</f>
        <v>001010</v>
      </c>
      <c r="K69" s="158" t="str">
        <f>INDEX(数据元说明!A:F,MATCH(I69,数据元说明!C:C,0),5)</f>
        <v>12位人行支付行号或SWIFT行号。</v>
      </c>
      <c r="L69" s="43" t="str">
        <f>INDEX(数据元说明!A:F,MATCH(I69,数据元说明!C:C,0),6)</f>
        <v>C..30</v>
      </c>
      <c r="M69" s="138" t="s">
        <v>1579</v>
      </c>
      <c r="N69" s="140" t="s">
        <v>25</v>
      </c>
      <c r="O69" s="140"/>
      <c r="P69" s="140" t="s">
        <v>1606</v>
      </c>
    </row>
    <row r="70" s="81" customFormat="1" ht="30" customHeight="1" outlineLevel="1" spans="1:16">
      <c r="A70" s="134"/>
      <c r="B70" s="47"/>
      <c r="C70" s="39"/>
      <c r="D70" s="39"/>
      <c r="E70" s="47"/>
      <c r="F70" s="135" t="s">
        <v>329</v>
      </c>
      <c r="G70" s="136" t="s">
        <v>1526</v>
      </c>
      <c r="H70" s="153" t="s">
        <v>1658</v>
      </c>
      <c r="I70" s="135" t="s">
        <v>329</v>
      </c>
      <c r="J70" s="136" t="str">
        <f>INDEX(数据元说明!A:F,MATCH(I70,数据元说明!C:C,0),2)</f>
        <v>001011</v>
      </c>
      <c r="K70" s="138" t="str">
        <f>INDEX(数据元说明!A:F,MATCH(I70,数据元说明!C:C,0),5)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0" s="136" t="str">
        <f>INDEX(数据元说明!A:F,MATCH(I70,数据元说明!C:C,0),6)</f>
        <v>C..30</v>
      </c>
      <c r="M70" s="138" t="s">
        <v>1528</v>
      </c>
      <c r="N70" s="129" t="s">
        <v>25</v>
      </c>
      <c r="O70" s="129" t="s">
        <v>449</v>
      </c>
      <c r="P70" s="139"/>
    </row>
    <row r="71" ht="30" customHeight="1" outlineLevel="1" spans="1:16">
      <c r="E71" s="94"/>
      <c r="F71" s="97" t="s">
        <v>333</v>
      </c>
      <c r="G71" s="29" t="s">
        <v>1523</v>
      </c>
      <c r="H71" s="96" t="s">
        <v>1659</v>
      </c>
      <c r="I71" s="97" t="s">
        <v>333</v>
      </c>
      <c r="J71" s="29" t="str">
        <f>INDEX(数据元说明!A:F,MATCH(I71,数据元说明!C:C,0),2)</f>
        <v>001012</v>
      </c>
      <c r="K71" s="98" t="str">
        <f>INDEX(数据元说明!A:F,MATCH(I71,数据元说明!C:C,0),5)</f>
        <v>银行内部机构号。应具有标识机构的唯一性。</v>
      </c>
      <c r="L71" s="29" t="str">
        <f>INDEX(数据元说明!A:F,MATCH(I71,数据元说明!C:C,0),6)</f>
        <v>C..30</v>
      </c>
      <c r="M71" s="98" t="s">
        <v>1525</v>
      </c>
      <c r="P71" s="99"/>
    </row>
    <row r="72" s="81" customFormat="1" ht="30" customHeight="1" outlineLevel="1" spans="1:16">
      <c r="A72" s="154"/>
      <c r="B72" s="155"/>
      <c r="C72" s="156"/>
      <c r="D72" s="156"/>
      <c r="E72" s="155"/>
      <c r="F72" s="157" t="s">
        <v>1532</v>
      </c>
      <c r="G72" s="43" t="s">
        <v>1533</v>
      </c>
      <c r="H72" s="153" t="s">
        <v>1660</v>
      </c>
      <c r="I72" s="157" t="s">
        <v>282</v>
      </c>
      <c r="J72" s="43" t="str">
        <f>INDEX(数据元说明!A:F,MATCH(I72,数据元说明!C:C,0),2)</f>
        <v>001001</v>
      </c>
      <c r="K72" s="158" t="str">
        <f>INDEX(数据元说明!A:F,MATCH(I72,数据元说明!C:C,0),5)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72" s="43" t="str">
        <f>INDEX(数据元说明!A:F,MATCH(I72,数据元说明!C:C,0),6)</f>
        <v>C..400</v>
      </c>
      <c r="M72" s="138" t="s">
        <v>1584</v>
      </c>
      <c r="N72" s="139" t="s">
        <v>25</v>
      </c>
      <c r="O72" s="139" t="s">
        <v>280</v>
      </c>
      <c r="P72" s="139" t="s">
        <v>1606</v>
      </c>
    </row>
    <row r="73" s="81" customFormat="1" ht="30" customHeight="1" outlineLevel="1" spans="1:16">
      <c r="A73" s="154"/>
      <c r="B73" s="155"/>
      <c r="C73" s="156"/>
      <c r="D73" s="156"/>
      <c r="E73" s="155"/>
      <c r="F73" s="157" t="s">
        <v>1661</v>
      </c>
      <c r="G73" s="43" t="s">
        <v>1662</v>
      </c>
      <c r="H73" s="153" t="s">
        <v>1663</v>
      </c>
      <c r="I73" s="157" t="s">
        <v>325</v>
      </c>
      <c r="J73" s="43" t="str">
        <f>INDEX(数据元说明!A:F,MATCH(I73,数据元说明!C:C,0),2)</f>
        <v>001010</v>
      </c>
      <c r="K73" s="158" t="str">
        <f>INDEX(数据元说明!A:F,MATCH(I73,数据元说明!C:C,0),5)</f>
        <v>12位人行支付行号或SWIFT行号。</v>
      </c>
      <c r="L73" s="43" t="str">
        <f>INDEX(数据元说明!A:F,MATCH(I73,数据元说明!C:C,0),6)</f>
        <v>C..30</v>
      </c>
      <c r="M73" s="158" t="s">
        <v>1664</v>
      </c>
      <c r="N73" s="139" t="s">
        <v>25</v>
      </c>
      <c r="O73" s="139" t="s">
        <v>1516</v>
      </c>
      <c r="P73" s="140"/>
    </row>
    <row r="74" s="81" customFormat="1" ht="30" customHeight="1" outlineLevel="1" spans="1:16">
      <c r="A74" s="154"/>
      <c r="B74" s="155"/>
      <c r="C74" s="156"/>
      <c r="D74" s="156"/>
      <c r="E74" s="155"/>
      <c r="F74" s="157" t="s">
        <v>1665</v>
      </c>
      <c r="G74" s="43" t="s">
        <v>1666</v>
      </c>
      <c r="H74" s="153" t="s">
        <v>1667</v>
      </c>
      <c r="I74" s="157" t="s">
        <v>333</v>
      </c>
      <c r="J74" s="43" t="str">
        <f>INDEX(数据元说明!A:F,MATCH(I74,数据元说明!C:C,0),2)</f>
        <v>001012</v>
      </c>
      <c r="K74" s="158" t="str">
        <f>INDEX(数据元说明!A:F,MATCH(I74,数据元说明!C:C,0),5)</f>
        <v>银行内部机构号。应具有标识机构的唯一性。</v>
      </c>
      <c r="L74" s="43" t="str">
        <f>INDEX(数据元说明!A:F,MATCH(I74,数据元说明!C:C,0),6)</f>
        <v>C..30</v>
      </c>
      <c r="M74" s="158" t="s">
        <v>1668</v>
      </c>
      <c r="N74" s="164" t="s">
        <v>57</v>
      </c>
      <c r="O74" s="140"/>
      <c r="P74" s="140"/>
    </row>
    <row r="75" ht="30" customHeight="1" outlineLevel="1" spans="1:16">
      <c r="E75" s="94"/>
      <c r="F75" s="157" t="s">
        <v>1669</v>
      </c>
      <c r="G75" s="43" t="s">
        <v>1670</v>
      </c>
      <c r="H75" s="153" t="s">
        <v>1671</v>
      </c>
      <c r="I75" s="157" t="s">
        <v>282</v>
      </c>
      <c r="J75" s="43" t="str">
        <f>INDEX(数据元说明!A:F,MATCH(I75,数据元说明!C:C,0),2)</f>
        <v>001001</v>
      </c>
      <c r="K75" s="158" t="str">
        <f>INDEX(数据元说明!A:F,MATCH(I75,数据元说明!C:C,0),5)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75" s="43" t="str">
        <f>INDEX(数据元说明!A:F,MATCH(I75,数据元说明!C:C,0),6)</f>
        <v>C..400</v>
      </c>
      <c r="M75" s="158" t="s">
        <v>1672</v>
      </c>
      <c r="N75" s="139" t="s">
        <v>25</v>
      </c>
      <c r="O75" s="139" t="s">
        <v>1673</v>
      </c>
      <c r="P75" s="140"/>
    </row>
    <row r="76" s="82" customFormat="1" ht="71" outlineLevel="1" spans="1:16">
      <c r="A76" s="144"/>
      <c r="B76" s="145"/>
      <c r="C76" s="146"/>
      <c r="D76" s="146"/>
      <c r="E76" s="145"/>
      <c r="F76" s="147" t="s">
        <v>449</v>
      </c>
      <c r="G76" s="148" t="s">
        <v>1571</v>
      </c>
      <c r="H76" s="148" t="s">
        <v>1674</v>
      </c>
      <c r="I76" s="147" t="s">
        <v>449</v>
      </c>
      <c r="J76" s="148" t="str">
        <f>INDEX(数据元说明!A:F,MATCH(I76,数据元说明!C:C,0),2)</f>
        <v>001040</v>
      </c>
      <c r="K76" s="149" t="str">
        <f>INDEX(数据元说明!A:F,MATCH(I76,数据元说明!C:C,0),5)</f>
        <v>银行自定义。</v>
      </c>
      <c r="L76" s="148" t="str">
        <f>INDEX(数据元说明!A:F,MATCH(I76,数据元说明!C:C,0),6)</f>
        <v>C..600</v>
      </c>
      <c r="M76" s="149" t="s">
        <v>1573</v>
      </c>
      <c r="N76" s="150" t="s">
        <v>57</v>
      </c>
      <c r="O76" s="151"/>
      <c r="P76" s="151"/>
    </row>
    <row r="77" ht="30" customHeight="1" outlineLevel="1" spans="1:16">
      <c r="E77" s="94"/>
      <c r="F77" s="97" t="s">
        <v>1574</v>
      </c>
      <c r="G77" s="29" t="s">
        <v>1575</v>
      </c>
      <c r="H77" s="96" t="s">
        <v>1675</v>
      </c>
      <c r="I77" s="97" t="s">
        <v>302</v>
      </c>
      <c r="J77" s="29" t="str">
        <f>INDEX(数据元说明!A:F,MATCH(I77,数据元说明!C:C,0),2)</f>
        <v>001005</v>
      </c>
      <c r="K77" s="98" t="str">
        <f>INDEX(数据元说明!A:F,MATCH(I77,数据元说明!C:C,0),5)</f>
        <v>YYYYMMDD，默认值99991231。</v>
      </c>
      <c r="L77" s="29" t="str">
        <f>INDEX(数据元说明!A:F,MATCH(I77,数据元说明!C:C,0),6)</f>
        <v>C8</v>
      </c>
      <c r="M77" s="98" t="s">
        <v>1577</v>
      </c>
      <c r="P77" s="99"/>
    </row>
    <row r="78" s="61" customFormat="1" ht="30" customHeight="1" spans="1:16">
      <c r="A78" s="165"/>
      <c r="B78" s="166"/>
      <c r="C78" s="19" t="s">
        <v>38</v>
      </c>
      <c r="D78" s="24" t="s">
        <v>39</v>
      </c>
      <c r="E78" s="126">
        <v>106</v>
      </c>
      <c r="F78" s="127"/>
      <c r="G78" s="126"/>
      <c r="H78" s="126"/>
      <c r="I78" s="127"/>
      <c r="J78" s="126"/>
      <c r="K78" s="152"/>
      <c r="L78" s="126"/>
      <c r="M78" s="128" t="str">
        <f>INDEX(表结构总览!E:H,MATCH(D78,表结构总览!E:E,0),4)</f>
        <v>本表应填报银行自身的股东。对于已上市银行，需填报持有或控制1%以上股份或表决权，及虽不足1%但对商业银行经营管理有重大影响的股东。未上市银行机构应报送所有的对公、个人股东信息。</v>
      </c>
      <c r="N78" s="139" t="s">
        <v>25</v>
      </c>
      <c r="O78" s="33"/>
      <c r="P78" s="33"/>
    </row>
    <row r="79" ht="30" customHeight="1" outlineLevel="1" spans="1:16">
      <c r="A79" s="159"/>
      <c r="B79" s="160"/>
      <c r="E79" s="94"/>
      <c r="F79" s="97" t="s">
        <v>325</v>
      </c>
      <c r="G79" s="29" t="s">
        <v>1520</v>
      </c>
      <c r="H79" s="96" t="s">
        <v>1676</v>
      </c>
      <c r="I79" s="97" t="s">
        <v>325</v>
      </c>
      <c r="J79" s="29" t="str">
        <f>INDEX(数据元说明!A:F,MATCH(I79,数据元说明!C:C,0),2)</f>
        <v>001010</v>
      </c>
      <c r="K79" s="98" t="str">
        <f>INDEX(数据元说明!A:F,MATCH(I79,数据元说明!C:C,0),5)</f>
        <v>12位人行支付行号或SWIFT行号。</v>
      </c>
      <c r="L79" s="29" t="str">
        <f>INDEX(数据元说明!A:F,MATCH(I79,数据元说明!C:C,0),6)</f>
        <v>C..30</v>
      </c>
      <c r="M79" s="98" t="s">
        <v>1677</v>
      </c>
      <c r="P79" s="99"/>
    </row>
    <row r="80" s="81" customFormat="1" ht="30" customHeight="1" outlineLevel="1" spans="1:16">
      <c r="A80" s="154"/>
      <c r="B80" s="155"/>
      <c r="C80" s="156"/>
      <c r="D80" s="156"/>
      <c r="E80" s="155"/>
      <c r="F80" s="157" t="s">
        <v>1532</v>
      </c>
      <c r="G80" s="43" t="s">
        <v>1533</v>
      </c>
      <c r="H80" s="153" t="s">
        <v>1678</v>
      </c>
      <c r="I80" s="157" t="s">
        <v>282</v>
      </c>
      <c r="J80" s="43" t="str">
        <f>INDEX(数据元说明!A:F,MATCH(I80,数据元说明!C:C,0),2)</f>
        <v>001001</v>
      </c>
      <c r="K80" s="158" t="str">
        <f>INDEX(数据元说明!A:F,MATCH(I80,数据元说明!C:C,0),5)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0" s="43" t="str">
        <f>INDEX(数据元说明!A:F,MATCH(I80,数据元说明!C:C,0),6)</f>
        <v>C..400</v>
      </c>
      <c r="M80" s="138" t="s">
        <v>1679</v>
      </c>
      <c r="N80" s="139" t="s">
        <v>25</v>
      </c>
      <c r="O80" s="139" t="s">
        <v>280</v>
      </c>
      <c r="P80" s="139" t="s">
        <v>1606</v>
      </c>
    </row>
    <row r="81" s="61" customFormat="1" ht="30" customHeight="1" outlineLevel="1" spans="1:16">
      <c r="A81" s="159"/>
      <c r="B81" s="160"/>
      <c r="C81" s="161"/>
      <c r="D81" s="161"/>
      <c r="E81" s="160"/>
      <c r="F81" s="97" t="s">
        <v>453</v>
      </c>
      <c r="G81" s="29" t="s">
        <v>1680</v>
      </c>
      <c r="H81" s="96" t="s">
        <v>1681</v>
      </c>
      <c r="I81" s="97" t="s">
        <v>453</v>
      </c>
      <c r="J81" s="29" t="str">
        <f>INDEX(数据元说明!A:F,MATCH(I81,数据元说明!C:C,0),2)</f>
        <v>002001</v>
      </c>
      <c r="K81" s="98" t="str">
        <f>INDEX(数据元说明!A:F,MATCH(I81,数据元说明!C:C,0),5)</f>
        <v>银行自定义的唯一识别客户的标识。供应链融资的填写供应链融资编码。</v>
      </c>
      <c r="L81" s="29" t="str">
        <f>INDEX(数据元说明!A:F,MATCH(I81,数据元说明!C:C,0),6)</f>
        <v>C..60</v>
      </c>
      <c r="M81" s="98" t="s">
        <v>1682</v>
      </c>
      <c r="N81" s="33" t="s">
        <v>25</v>
      </c>
      <c r="O81" s="99"/>
      <c r="P81" s="33" t="s">
        <v>1588</v>
      </c>
    </row>
    <row r="82" ht="30" customHeight="1" outlineLevel="1" spans="1:16">
      <c r="A82" s="159"/>
      <c r="B82" s="160"/>
      <c r="E82" s="94"/>
      <c r="F82" s="157" t="s">
        <v>1683</v>
      </c>
      <c r="G82" s="43" t="s">
        <v>1684</v>
      </c>
      <c r="H82" s="153" t="s">
        <v>1685</v>
      </c>
      <c r="I82" s="157" t="s">
        <v>282</v>
      </c>
      <c r="J82" s="43" t="str">
        <f>INDEX(数据元说明!A:F,MATCH(I82,数据元说明!C:C,0),2)</f>
        <v>001001</v>
      </c>
      <c r="K82" s="158" t="str">
        <f>INDEX(数据元说明!A:F,MATCH(I82,数据元说明!C:C,0),5)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2" s="43" t="str">
        <f>INDEX(数据元说明!A:F,MATCH(I82,数据元说明!C:C,0),6)</f>
        <v>C..400</v>
      </c>
      <c r="M82" s="158" t="s">
        <v>1686</v>
      </c>
      <c r="N82" s="139" t="s">
        <v>25</v>
      </c>
      <c r="O82" s="139" t="s">
        <v>280</v>
      </c>
      <c r="P82" s="140"/>
    </row>
    <row r="83" ht="30" customHeight="1" outlineLevel="1" spans="1:16">
      <c r="A83" s="159"/>
      <c r="B83" s="160"/>
      <c r="E83" s="94"/>
      <c r="F83" s="157" t="s">
        <v>1687</v>
      </c>
      <c r="G83" s="43" t="s">
        <v>1688</v>
      </c>
      <c r="H83" s="153" t="s">
        <v>1689</v>
      </c>
      <c r="I83" s="157" t="s">
        <v>562</v>
      </c>
      <c r="J83" s="43" t="str">
        <f>INDEX(数据元说明!A:F,MATCH(I83,数据元说明!C:C,0),2)</f>
        <v>002027</v>
      </c>
      <c r="K83" s="158" t="str">
        <f>INDEX(数据元说明!A:F,MATCH(I83,数据元说明!C:C,0),5)</f>
        <v>自然人，纯国有企业，国有控股企业，国有参股企业，民营企业，政府机关，事业单位，社会团体，境外机构，其他-银行自定义。无法以枚举类型填报的，以“其他-XX”填报，其中“XX”为银行自定义类型。</v>
      </c>
      <c r="L83" s="43" t="str">
        <f>INDEX(数据元说明!A:F,MATCH(I83,数据元说明!C:C,0),6)</f>
        <v>C..60</v>
      </c>
      <c r="M83" s="158"/>
      <c r="N83" s="164" t="s">
        <v>57</v>
      </c>
      <c r="O83" s="139"/>
      <c r="P83" s="140"/>
    </row>
    <row r="84" s="81" customFormat="1" ht="30" customHeight="1" outlineLevel="1" spans="1:16">
      <c r="A84" s="167"/>
      <c r="B84" s="168"/>
      <c r="C84" s="156"/>
      <c r="D84" s="156"/>
      <c r="E84" s="155"/>
      <c r="F84" s="157" t="s">
        <v>1690</v>
      </c>
      <c r="G84" s="43" t="s">
        <v>1691</v>
      </c>
      <c r="H84" s="153" t="s">
        <v>1692</v>
      </c>
      <c r="I84" s="157" t="s">
        <v>457</v>
      </c>
      <c r="J84" s="43" t="str">
        <f>INDEX(数据元说明!A:F,MATCH(I84,数据元说明!C:C,0),2)</f>
        <v>002002</v>
      </c>
      <c r="K84" s="158" t="str">
        <f>INDEX(数据元说明!A:F,MATCH(I84,数据元说明!C:C,0),5)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84" s="43" t="str">
        <f>INDEX(数据元说明!A:F,MATCH(I84,数据元说明!C:C,0),6)</f>
        <v>C..60</v>
      </c>
      <c r="M84" s="158" t="s">
        <v>1693</v>
      </c>
      <c r="N84" s="139" t="s">
        <v>25</v>
      </c>
      <c r="O84" s="139" t="s">
        <v>275</v>
      </c>
      <c r="P84" s="140"/>
    </row>
    <row r="85" s="81" customFormat="1" ht="30" customHeight="1" outlineLevel="1" spans="1:16">
      <c r="A85" s="167"/>
      <c r="B85" s="168"/>
      <c r="C85" s="156"/>
      <c r="D85" s="156"/>
      <c r="E85" s="155"/>
      <c r="F85" s="157" t="s">
        <v>1694</v>
      </c>
      <c r="G85" s="43" t="s">
        <v>1695</v>
      </c>
      <c r="H85" s="153" t="s">
        <v>1696</v>
      </c>
      <c r="I85" s="157" t="s">
        <v>461</v>
      </c>
      <c r="J85" s="43" t="str">
        <f>INDEX(数据元说明!A:F,MATCH(I85,数据元说明!C:C,0),2)</f>
        <v>002003</v>
      </c>
      <c r="K85" s="158" t="str">
        <f>INDEX(数据元说明!A:F,MATCH(I85,数据元说明!C:C,0),5)</f>
        <v>与证件类别对应的证件号码。涉及个人身份证件时需按照本规范给定规则进行脱敏处理。</v>
      </c>
      <c r="L85" s="43" t="str">
        <f>INDEX(数据元说明!A:F,MATCH(I85,数据元说明!C:C,0),6)</f>
        <v>C..70</v>
      </c>
      <c r="M85" s="158" t="s">
        <v>1697</v>
      </c>
      <c r="N85" s="139" t="s">
        <v>25</v>
      </c>
      <c r="O85" s="139" t="s">
        <v>280</v>
      </c>
      <c r="P85" s="140"/>
    </row>
    <row r="86" s="81" customFormat="1" ht="30" customHeight="1" outlineLevel="1" spans="1:16">
      <c r="A86" s="167"/>
      <c r="B86" s="168"/>
      <c r="C86" s="156"/>
      <c r="D86" s="156"/>
      <c r="E86" s="155"/>
      <c r="F86" s="157" t="s">
        <v>1698</v>
      </c>
      <c r="G86" s="43" t="s">
        <v>1699</v>
      </c>
      <c r="H86" s="153" t="s">
        <v>1700</v>
      </c>
      <c r="I86" s="157" t="s">
        <v>412</v>
      </c>
      <c r="J86" s="43" t="str">
        <f>INDEX(数据元说明!A:F,MATCH(I86,数据元说明!C:C,0),2)</f>
        <v>001032</v>
      </c>
      <c r="K86" s="158" t="str">
        <f>INDEX(数据元说明!A:F,MATCH(I86,数据元说明!C:C,0),5)</f>
        <v>数量。</v>
      </c>
      <c r="L86" s="43" t="str">
        <f>INDEX(数据元说明!A:F,MATCH(I86,数据元说明!C:C,0),6)</f>
        <v>D20</v>
      </c>
      <c r="M86" s="158" t="s">
        <v>1701</v>
      </c>
      <c r="N86" s="164" t="s">
        <v>57</v>
      </c>
      <c r="O86" s="140"/>
      <c r="P86" s="140"/>
    </row>
    <row r="87" s="81" customFormat="1" ht="30" customHeight="1" outlineLevel="1" spans="1:16">
      <c r="A87" s="167"/>
      <c r="B87" s="168"/>
      <c r="C87" s="156"/>
      <c r="D87" s="156"/>
      <c r="E87" s="155"/>
      <c r="F87" s="157" t="s">
        <v>1702</v>
      </c>
      <c r="G87" s="43" t="s">
        <v>1703</v>
      </c>
      <c r="H87" s="153" t="s">
        <v>1704</v>
      </c>
      <c r="I87" s="157" t="s">
        <v>297</v>
      </c>
      <c r="J87" s="43" t="str">
        <f>INDEX(数据元说明!A:F,MATCH(I87,数据元说明!C:C,0),2)</f>
        <v>001004</v>
      </c>
      <c r="K87" s="158" t="str">
        <f>INDEX(数据元说明!A:F,MATCH(I87,数据元说明!C:C,0),5)</f>
        <v>百分比为单位，即1/100，保留六位小数。4.123456%则填报为4.123456。</v>
      </c>
      <c r="L87" s="43" t="str">
        <f>INDEX(数据元说明!A:F,MATCH(I87,数据元说明!C:C,0),6)</f>
        <v>D20.6</v>
      </c>
      <c r="M87" s="158" t="s">
        <v>1587</v>
      </c>
      <c r="N87" s="140" t="s">
        <v>25</v>
      </c>
      <c r="O87" s="140" t="s">
        <v>1516</v>
      </c>
      <c r="P87" s="140"/>
    </row>
    <row r="88" s="81" customFormat="1" ht="30" customHeight="1" outlineLevel="1" spans="1:16">
      <c r="A88" s="167"/>
      <c r="B88" s="168"/>
      <c r="C88" s="156"/>
      <c r="D88" s="156"/>
      <c r="E88" s="155"/>
      <c r="F88" s="157" t="s">
        <v>1705</v>
      </c>
      <c r="G88" s="43" t="s">
        <v>1706</v>
      </c>
      <c r="H88" s="153" t="s">
        <v>1707</v>
      </c>
      <c r="I88" s="157" t="s">
        <v>302</v>
      </c>
      <c r="J88" s="43" t="str">
        <f>INDEX(数据元说明!A:F,MATCH(I88,数据元说明!C:C,0),2)</f>
        <v>001005</v>
      </c>
      <c r="K88" s="158" t="str">
        <f>INDEX(数据元说明!A:F,MATCH(I88,数据元说明!C:C,0),5)</f>
        <v>YYYYMMDD，默认值99991231。</v>
      </c>
      <c r="L88" s="43" t="str">
        <f>INDEX(数据元说明!A:F,MATCH(I88,数据元说明!C:C,0),6)</f>
        <v>C8</v>
      </c>
      <c r="M88" s="158" t="s">
        <v>1708</v>
      </c>
      <c r="N88" s="140" t="s">
        <v>25</v>
      </c>
      <c r="O88" s="140" t="s">
        <v>1550</v>
      </c>
      <c r="P88" s="140"/>
    </row>
    <row r="89" s="81" customFormat="1" ht="30" customHeight="1" outlineLevel="1" spans="1:16">
      <c r="A89" s="167"/>
      <c r="B89" s="168"/>
      <c r="C89" s="156"/>
      <c r="D89" s="156"/>
      <c r="E89" s="155"/>
      <c r="F89" s="157" t="s">
        <v>1709</v>
      </c>
      <c r="G89" s="43" t="s">
        <v>1710</v>
      </c>
      <c r="H89" s="153" t="s">
        <v>1711</v>
      </c>
      <c r="I89" s="157" t="s">
        <v>297</v>
      </c>
      <c r="J89" s="43" t="str">
        <f>INDEX(数据元说明!A:F,MATCH(I89,数据元说明!C:C,0),2)</f>
        <v>001004</v>
      </c>
      <c r="K89" s="158" t="str">
        <f>INDEX(数据元说明!A:F,MATCH(I89,数据元说明!C:C,0),5)</f>
        <v>百分比为单位，即1/100，保留六位小数。4.123456%则填报为4.123456。</v>
      </c>
      <c r="L89" s="43" t="str">
        <f>INDEX(数据元说明!A:F,MATCH(I89,数据元说明!C:C,0),6)</f>
        <v>D20.6</v>
      </c>
      <c r="M89" s="158" t="s">
        <v>1712</v>
      </c>
      <c r="N89" s="164" t="s">
        <v>57</v>
      </c>
      <c r="O89" s="140"/>
      <c r="P89" s="140"/>
    </row>
    <row r="90" s="81" customFormat="1" ht="30" customHeight="1" outlineLevel="1" spans="1:16">
      <c r="A90" s="167"/>
      <c r="B90" s="168"/>
      <c r="C90" s="156"/>
      <c r="D90" s="156"/>
      <c r="E90" s="155"/>
      <c r="F90" s="157" t="s">
        <v>1713</v>
      </c>
      <c r="G90" s="43" t="s">
        <v>1714</v>
      </c>
      <c r="H90" s="153" t="s">
        <v>1715</v>
      </c>
      <c r="I90" s="157" t="s">
        <v>287</v>
      </c>
      <c r="J90" s="43" t="str">
        <f>INDEX(数据元说明!A:F,MATCH(I90,数据元说明!C:C,0),2)</f>
        <v>001002</v>
      </c>
      <c r="K90" s="158" t="str">
        <f>INDEX(数据元说明!A:F,MATCH(I90,数据元说明!C:C,0),5)</f>
        <v>是，否。</v>
      </c>
      <c r="L90" s="43" t="str">
        <f>INDEX(数据元说明!A:F,MATCH(I90,数据元说明!C:C,0),6)</f>
        <v>C3</v>
      </c>
      <c r="M90" s="157" t="s">
        <v>1716</v>
      </c>
      <c r="N90" s="164" t="s">
        <v>57</v>
      </c>
      <c r="O90" s="140"/>
      <c r="P90" s="140"/>
    </row>
    <row r="91" s="81" customFormat="1" ht="30" customHeight="1" outlineLevel="1" spans="1:16">
      <c r="A91" s="167"/>
      <c r="B91" s="168"/>
      <c r="C91" s="156"/>
      <c r="D91" s="156"/>
      <c r="E91" s="155"/>
      <c r="F91" s="157" t="s">
        <v>1717</v>
      </c>
      <c r="G91" s="43" t="s">
        <v>1718</v>
      </c>
      <c r="H91" s="153" t="s">
        <v>1719</v>
      </c>
      <c r="I91" s="157" t="s">
        <v>1031</v>
      </c>
      <c r="J91" s="43" t="str">
        <f>INDEX(数据元说明!A:F,MATCH(I91,数据元说明!C:C,0),2)</f>
        <v>007005</v>
      </c>
      <c r="K91" s="158" t="str">
        <f>INDEX(数据元说明!A:F,MATCH(I91,数据元说明!C:C,0),5)</f>
        <v>有效，无效。</v>
      </c>
      <c r="L91" s="43" t="str">
        <f>INDEX(数据元说明!A:F,MATCH(I91,数据元说明!C:C,0),6)</f>
        <v>C6</v>
      </c>
      <c r="M91" s="158" t="s">
        <v>1720</v>
      </c>
      <c r="N91" s="140" t="s">
        <v>25</v>
      </c>
      <c r="O91" s="140" t="s">
        <v>275</v>
      </c>
      <c r="P91" s="140"/>
    </row>
    <row r="92" s="81" customFormat="1" ht="30" customHeight="1" outlineLevel="1" spans="1:16">
      <c r="A92" s="167"/>
      <c r="B92" s="168"/>
      <c r="C92" s="156"/>
      <c r="D92" s="156"/>
      <c r="E92" s="155"/>
      <c r="F92" s="157" t="s">
        <v>1721</v>
      </c>
      <c r="G92" s="43" t="s">
        <v>1722</v>
      </c>
      <c r="H92" s="153" t="s">
        <v>1723</v>
      </c>
      <c r="I92" s="157" t="s">
        <v>302</v>
      </c>
      <c r="J92" s="43" t="str">
        <f>INDEX(数据元说明!A:F,MATCH(I92,数据元说明!C:C,0),2)</f>
        <v>001005</v>
      </c>
      <c r="K92" s="158" t="str">
        <f>INDEX(数据元说明!A:F,MATCH(I92,数据元说明!C:C,0),5)</f>
        <v>YYYYMMDD，默认值99991231。</v>
      </c>
      <c r="L92" s="43" t="str">
        <f>INDEX(数据元说明!A:F,MATCH(I92,数据元说明!C:C,0),6)</f>
        <v>C8</v>
      </c>
      <c r="M92" s="158" t="s">
        <v>1724</v>
      </c>
      <c r="N92" s="164" t="s">
        <v>57</v>
      </c>
      <c r="O92" s="140"/>
      <c r="P92" s="140"/>
    </row>
    <row r="93" s="81" customFormat="1" ht="30" customHeight="1" outlineLevel="1" spans="1:16">
      <c r="A93" s="134"/>
      <c r="B93" s="47"/>
      <c r="C93" s="39"/>
      <c r="D93" s="39"/>
      <c r="E93" s="47"/>
      <c r="F93" s="169" t="s">
        <v>449</v>
      </c>
      <c r="G93" s="148" t="s">
        <v>1571</v>
      </c>
      <c r="H93" s="148" t="s">
        <v>1725</v>
      </c>
      <c r="I93" s="169" t="s">
        <v>449</v>
      </c>
      <c r="J93" s="170" t="str">
        <f>INDEX(数据元说明!A:F,MATCH(I93,数据元说明!C:C,0),2)</f>
        <v>001040</v>
      </c>
      <c r="K93" s="171" t="str">
        <f>INDEX(数据元说明!A:F,MATCH(I93,数据元说明!C:C,0),5)</f>
        <v>银行自定义。</v>
      </c>
      <c r="L93" s="170" t="str">
        <f>INDEX(数据元说明!A:F,MATCH(I93,数据元说明!C:C,0),6)</f>
        <v>C..600</v>
      </c>
      <c r="M93" s="149" t="s">
        <v>1573</v>
      </c>
      <c r="N93" s="172" t="s">
        <v>57</v>
      </c>
      <c r="O93" s="173"/>
      <c r="P93" s="173"/>
    </row>
    <row r="94" ht="30" customHeight="1" outlineLevel="1" spans="1:16">
      <c r="E94" s="94"/>
      <c r="F94" s="97" t="s">
        <v>1574</v>
      </c>
      <c r="G94" s="29" t="s">
        <v>1575</v>
      </c>
      <c r="H94" s="96" t="s">
        <v>1726</v>
      </c>
      <c r="I94" s="97" t="s">
        <v>302</v>
      </c>
      <c r="J94" s="29" t="str">
        <f>INDEX(数据元说明!A:F,MATCH(I94,数据元说明!C:C,0),2)</f>
        <v>001005</v>
      </c>
      <c r="K94" s="98" t="str">
        <f>INDEX(数据元说明!A:F,MATCH(I94,数据元说明!C:C,0),5)</f>
        <v>YYYYMMDD，默认值99991231。</v>
      </c>
      <c r="L94" s="29" t="str">
        <f>INDEX(数据元说明!A:F,MATCH(I94,数据元说明!C:C,0),6)</f>
        <v>C8</v>
      </c>
      <c r="M94" s="98" t="s">
        <v>1577</v>
      </c>
      <c r="P94" s="99"/>
    </row>
    <row r="95" s="61" customFormat="1" ht="30" customHeight="1" spans="1:16">
      <c r="A95" s="119" t="s">
        <v>42</v>
      </c>
      <c r="B95" s="120" t="s">
        <v>43</v>
      </c>
      <c r="C95" s="121"/>
      <c r="D95" s="121"/>
      <c r="E95" s="120"/>
      <c r="F95" s="122"/>
      <c r="G95" s="123"/>
      <c r="H95" s="174"/>
      <c r="I95" s="122"/>
      <c r="J95" s="123"/>
      <c r="K95" s="124"/>
      <c r="L95" s="123"/>
      <c r="M95" s="175"/>
      <c r="N95" s="99"/>
      <c r="O95" s="99"/>
      <c r="P95" s="99"/>
    </row>
    <row r="96" s="61" customFormat="1" ht="30" customHeight="1" spans="1:16">
      <c r="A96" s="125"/>
      <c r="B96" s="34"/>
      <c r="C96" s="19" t="s">
        <v>44</v>
      </c>
      <c r="D96" s="24" t="s">
        <v>45</v>
      </c>
      <c r="E96" s="126">
        <v>201</v>
      </c>
      <c r="F96" s="127"/>
      <c r="G96" s="126"/>
      <c r="H96" s="126"/>
      <c r="I96" s="127"/>
      <c r="J96" s="126"/>
      <c r="K96" s="152"/>
      <c r="L96" s="126"/>
      <c r="M96" s="128" t="str">
        <f>INDEX(表结构总览!E:H,MATCH(D96,表结构总览!E:E,0),4)</f>
        <v>个人基础信息，包括本行客户及本行客户的担保、配偶、亲属关系所涉及到的个人客户信息。不再列为银行客户的数据不报送，存续业务中的所有个人信息都报送。。</v>
      </c>
      <c r="N96" s="129" t="s">
        <v>25</v>
      </c>
      <c r="O96" s="139" t="s">
        <v>449</v>
      </c>
      <c r="P96" s="99"/>
    </row>
    <row r="97" ht="30" customHeight="1" outlineLevel="1" spans="1:16">
      <c r="E97" s="94"/>
      <c r="F97" s="97" t="s">
        <v>325</v>
      </c>
      <c r="G97" s="29" t="s">
        <v>1520</v>
      </c>
      <c r="H97" s="96" t="s">
        <v>1727</v>
      </c>
      <c r="I97" s="97" t="s">
        <v>325</v>
      </c>
      <c r="J97" s="29" t="str">
        <f>INDEX(数据元说明!A:F,MATCH(I97,数据元说明!C:C,0),2)</f>
        <v>001010</v>
      </c>
      <c r="K97" s="98" t="str">
        <f>INDEX(数据元说明!A:F,MATCH(I97,数据元说明!C:C,0),5)</f>
        <v>12位人行支付行号或SWIFT行号。</v>
      </c>
      <c r="L97" s="29" t="str">
        <f>INDEX(数据元说明!A:F,MATCH(I97,数据元说明!C:C,0),6)</f>
        <v>C..30</v>
      </c>
      <c r="M97" s="98" t="s">
        <v>1728</v>
      </c>
      <c r="P97" s="99"/>
    </row>
    <row r="98" s="81" customFormat="1" ht="30" customHeight="1" outlineLevel="1" spans="1:16">
      <c r="A98" s="134"/>
      <c r="B98" s="47"/>
      <c r="C98" s="39"/>
      <c r="D98" s="39"/>
      <c r="E98" s="47"/>
      <c r="F98" s="135" t="s">
        <v>329</v>
      </c>
      <c r="G98" s="136" t="s">
        <v>1526</v>
      </c>
      <c r="H98" s="153" t="s">
        <v>1729</v>
      </c>
      <c r="I98" s="135" t="s">
        <v>329</v>
      </c>
      <c r="J98" s="136" t="str">
        <f>INDEX(数据元说明!A:F,MATCH(I98,数据元说明!C:C,0),2)</f>
        <v>001011</v>
      </c>
      <c r="K98" s="138" t="str">
        <f>INDEX(数据元说明!A:F,MATCH(I98,数据元说明!C:C,0),5)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8" s="136" t="str">
        <f>INDEX(数据元说明!A:F,MATCH(I98,数据元说明!C:C,0),6)</f>
        <v>C..30</v>
      </c>
      <c r="M98" s="138" t="s">
        <v>1730</v>
      </c>
      <c r="N98" s="129" t="s">
        <v>25</v>
      </c>
      <c r="O98" s="129" t="s">
        <v>449</v>
      </c>
      <c r="P98" s="139"/>
    </row>
    <row r="99" ht="30" customHeight="1" outlineLevel="1" spans="1:16">
      <c r="E99" s="94"/>
      <c r="F99" s="97" t="s">
        <v>333</v>
      </c>
      <c r="G99" s="29" t="s">
        <v>1523</v>
      </c>
      <c r="H99" s="96" t="s">
        <v>1731</v>
      </c>
      <c r="I99" s="97" t="s">
        <v>333</v>
      </c>
      <c r="J99" s="29" t="str">
        <f>INDEX(数据元说明!A:F,MATCH(I99,数据元说明!C:C,0),2)</f>
        <v>001012</v>
      </c>
      <c r="K99" s="98" t="str">
        <f>INDEX(数据元说明!A:F,MATCH(I99,数据元说明!C:C,0),5)</f>
        <v>银行内部机构号。应具有标识机构的唯一性。</v>
      </c>
      <c r="L99" s="29" t="str">
        <f>INDEX(数据元说明!A:F,MATCH(I99,数据元说明!C:C,0),6)</f>
        <v>C..30</v>
      </c>
      <c r="M99" s="98" t="s">
        <v>1732</v>
      </c>
      <c r="P99" s="99"/>
    </row>
    <row r="100" s="81" customFormat="1" ht="30" customHeight="1" outlineLevel="1" spans="1:16">
      <c r="A100" s="154"/>
      <c r="B100" s="155"/>
      <c r="C100" s="156"/>
      <c r="D100" s="156"/>
      <c r="E100" s="155"/>
      <c r="F100" s="157" t="s">
        <v>1532</v>
      </c>
      <c r="G100" s="43" t="s">
        <v>1533</v>
      </c>
      <c r="H100" s="153" t="s">
        <v>1733</v>
      </c>
      <c r="I100" s="157" t="s">
        <v>282</v>
      </c>
      <c r="J100" s="43" t="str">
        <f>INDEX(数据元说明!A:F,MATCH(I100,数据元说明!C:C,0),2)</f>
        <v>001001</v>
      </c>
      <c r="K100" s="158" t="str">
        <f>INDEX(数据元说明!A:F,MATCH(I100,数据元说明!C:C,0),5)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0" s="43" t="str">
        <f>INDEX(数据元说明!A:F,MATCH(I100,数据元说明!C:C,0),6)</f>
        <v>C..400</v>
      </c>
      <c r="M100" s="158" t="s">
        <v>1734</v>
      </c>
      <c r="N100" s="143" t="s">
        <v>57</v>
      </c>
      <c r="O100" s="140"/>
      <c r="P100" s="140"/>
    </row>
    <row r="101" s="61" customFormat="1" ht="30" customHeight="1" outlineLevel="1" spans="1:16">
      <c r="A101" s="159"/>
      <c r="B101" s="160"/>
      <c r="C101" s="161"/>
      <c r="D101" s="161"/>
      <c r="E101" s="160"/>
      <c r="F101" s="97" t="s">
        <v>453</v>
      </c>
      <c r="G101" s="29" t="s">
        <v>1680</v>
      </c>
      <c r="H101" s="96" t="s">
        <v>1735</v>
      </c>
      <c r="I101" s="97" t="s">
        <v>453</v>
      </c>
      <c r="J101" s="29" t="str">
        <f>INDEX(数据元说明!A:F,MATCH(I101,数据元说明!C:C,0),2)</f>
        <v>002001</v>
      </c>
      <c r="K101" s="98" t="str">
        <f>INDEX(数据元说明!A:F,MATCH(I101,数据元说明!C:C,0),5)</f>
        <v>银行自定义的唯一识别客户的标识。供应链融资的填写供应链融资编码。</v>
      </c>
      <c r="L101" s="29" t="str">
        <f>INDEX(数据元说明!A:F,MATCH(I101,数据元说明!C:C,0),6)</f>
        <v>C..60</v>
      </c>
      <c r="M101" s="98" t="s">
        <v>1736</v>
      </c>
      <c r="N101" s="33" t="s">
        <v>25</v>
      </c>
      <c r="O101" s="99"/>
      <c r="P101" s="33" t="s">
        <v>1588</v>
      </c>
    </row>
    <row r="102" s="81" customFormat="1" ht="30" customHeight="1" outlineLevel="1" spans="1:16">
      <c r="A102" s="167"/>
      <c r="B102" s="168"/>
      <c r="C102" s="176"/>
      <c r="D102" s="176"/>
      <c r="E102" s="155"/>
      <c r="F102" s="157" t="s">
        <v>1737</v>
      </c>
      <c r="G102" s="43" t="s">
        <v>1738</v>
      </c>
      <c r="H102" s="153" t="s">
        <v>1739</v>
      </c>
      <c r="I102" s="157" t="s">
        <v>353</v>
      </c>
      <c r="J102" s="43" t="str">
        <f>INDEX(数据元说明!A:F,MATCH(I102,数据元说明!C:C,0),2)</f>
        <v>001017</v>
      </c>
      <c r="K102" s="158" t="str">
        <f>INDEX(数据元说明!A:F,MATCH(I102,数据元说明!C:C,0),5)</f>
        <v>姓名。</v>
      </c>
      <c r="L102" s="43" t="str">
        <f>INDEX(数据元说明!A:F,MATCH(I102,数据元说明!C:C,0),6)</f>
        <v>C..200</v>
      </c>
      <c r="M102" s="158" t="s">
        <v>1740</v>
      </c>
      <c r="N102" s="140" t="s">
        <v>25</v>
      </c>
      <c r="O102" s="140" t="s">
        <v>449</v>
      </c>
      <c r="P102" s="140"/>
    </row>
    <row r="103" ht="30" customHeight="1" outlineLevel="1" spans="1:16">
      <c r="A103" s="159"/>
      <c r="B103" s="160"/>
      <c r="C103" s="161"/>
      <c r="D103" s="161"/>
      <c r="E103" s="94"/>
      <c r="F103" s="97" t="s">
        <v>457</v>
      </c>
      <c r="G103" s="29" t="s">
        <v>1592</v>
      </c>
      <c r="H103" s="96" t="s">
        <v>1741</v>
      </c>
      <c r="I103" s="97" t="s">
        <v>457</v>
      </c>
      <c r="J103" s="29" t="str">
        <f>INDEX(数据元说明!A:F,MATCH(I103,数据元说明!C:C,0),2)</f>
        <v>002002</v>
      </c>
      <c r="K103" s="98" t="str">
        <f>INDEX(数据元说明!A:F,MATCH(I103,数据元说明!C:C,0),5)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03" s="29" t="str">
        <f>INDEX(数据元说明!A:F,MATCH(I103,数据元说明!C:C,0),6)</f>
        <v>C..60</v>
      </c>
      <c r="P103" s="99"/>
    </row>
    <row r="104" s="81" customFormat="1" ht="30" customHeight="1" outlineLevel="1" spans="1:16">
      <c r="A104" s="154"/>
      <c r="B104" s="155"/>
      <c r="C104" s="156"/>
      <c r="D104" s="156"/>
      <c r="E104" s="155"/>
      <c r="F104" s="157" t="s">
        <v>461</v>
      </c>
      <c r="G104" s="43" t="s">
        <v>1594</v>
      </c>
      <c r="H104" s="153" t="s">
        <v>1742</v>
      </c>
      <c r="I104" s="157" t="s">
        <v>461</v>
      </c>
      <c r="J104" s="43" t="str">
        <f>INDEX(数据元说明!A:F,MATCH(I104,数据元说明!C:C,0),2)</f>
        <v>002003</v>
      </c>
      <c r="K104" s="158" t="str">
        <f>INDEX(数据元说明!A:F,MATCH(I104,数据元说明!C:C,0),5)</f>
        <v>与证件类别对应的证件号码。涉及个人身份证件时需按照本规范给定规则进行脱敏处理。</v>
      </c>
      <c r="L104" s="43" t="str">
        <f>INDEX(数据元说明!A:F,MATCH(I104,数据元说明!C:C,0),6)</f>
        <v>C..70</v>
      </c>
      <c r="M104" s="158" t="s">
        <v>1596</v>
      </c>
      <c r="N104" s="139" t="s">
        <v>25</v>
      </c>
      <c r="O104" s="139" t="s">
        <v>280</v>
      </c>
      <c r="P104" s="140" t="s">
        <v>1588</v>
      </c>
    </row>
    <row r="105" s="81" customFormat="1" ht="30" customHeight="1" outlineLevel="1" spans="1:16">
      <c r="A105" s="167"/>
      <c r="B105" s="168"/>
      <c r="C105" s="176"/>
      <c r="D105" s="176"/>
      <c r="E105" s="155"/>
      <c r="F105" s="157" t="s">
        <v>1743</v>
      </c>
      <c r="G105" s="43" t="s">
        <v>1744</v>
      </c>
      <c r="H105" s="153" t="s">
        <v>1745</v>
      </c>
      <c r="I105" s="157" t="s">
        <v>546</v>
      </c>
      <c r="J105" s="43" t="str">
        <f>INDEX(数据元说明!A:F,MATCH(I105,数据元说明!C:C,0),2)</f>
        <v>002023</v>
      </c>
      <c r="K105" s="158" t="str">
        <f>INDEX(数据元说明!A:F,MATCH(I105,数据元说明!C:C,0),5)</f>
        <v>普通个人客户，个体工商户，小微企业主，境外客户，其他-银行自定义类型。无法以枚举类型填报的，以“其他-XX”填报，其中“XX”为银行自定义类型。</v>
      </c>
      <c r="L105" s="43" t="str">
        <f>INDEX(数据元说明!A:F,MATCH(I105,数据元说明!C:C,0),6)</f>
        <v>C..60</v>
      </c>
      <c r="M105" s="158" t="s">
        <v>1746</v>
      </c>
      <c r="N105" s="143" t="s">
        <v>57</v>
      </c>
      <c r="O105" s="140"/>
      <c r="P105" s="140"/>
    </row>
    <row r="106" ht="30" customHeight="1" outlineLevel="1" spans="1:16">
      <c r="A106" s="159"/>
      <c r="B106" s="160"/>
      <c r="C106" s="161"/>
      <c r="D106" s="161"/>
      <c r="E106" s="94"/>
      <c r="F106" s="97" t="s">
        <v>466</v>
      </c>
      <c r="G106" s="29" t="s">
        <v>1747</v>
      </c>
      <c r="H106" s="96" t="s">
        <v>1748</v>
      </c>
      <c r="I106" s="97" t="s">
        <v>466</v>
      </c>
      <c r="J106" s="29" t="str">
        <f>INDEX(数据元说明!A:F,MATCH(I106,数据元说明!C:C,0),2)</f>
        <v>002004</v>
      </c>
      <c r="K106" s="98" t="str">
        <f>INDEX(数据元说明!A:F,MATCH(I106,数据元说明!C:C,0),5)</f>
        <v>参照《GB/T 2659-2000 世界各国和地区名称》，填报中文名称。</v>
      </c>
      <c r="L106" s="29" t="str">
        <f>INDEX(数据元说明!A:F,MATCH(I106,数据元说明!C:C,0),6)</f>
        <v>C..60</v>
      </c>
      <c r="P106" s="99"/>
    </row>
    <row r="107" ht="30" customHeight="1" outlineLevel="1" spans="1:16">
      <c r="A107" s="159"/>
      <c r="B107" s="160"/>
      <c r="C107" s="161"/>
      <c r="D107" s="161"/>
      <c r="E107" s="94"/>
      <c r="F107" s="97" t="s">
        <v>470</v>
      </c>
      <c r="G107" s="29" t="s">
        <v>1749</v>
      </c>
      <c r="H107" s="96" t="s">
        <v>1750</v>
      </c>
      <c r="I107" s="97" t="s">
        <v>470</v>
      </c>
      <c r="J107" s="29" t="str">
        <f>INDEX(数据元说明!A:F,MATCH(I107,数据元说明!C:C,0),2)</f>
        <v>002005</v>
      </c>
      <c r="K107" s="98" t="str">
        <f>INDEX(数据元说明!A:F,MATCH(I107,数据元说明!C:C,0),5)</f>
        <v>国家认可的在公安户籍管理部门正式登记注册的客户所属民族的名称。</v>
      </c>
      <c r="L107" s="29" t="str">
        <f>INDEX(数据元说明!A:F,MATCH(I107,数据元说明!C:C,0),6)</f>
        <v>C..30</v>
      </c>
      <c r="M107" s="98" t="s">
        <v>1751</v>
      </c>
      <c r="P107" s="99"/>
    </row>
    <row r="108" ht="30" customHeight="1" outlineLevel="1" spans="1:16">
      <c r="A108" s="159"/>
      <c r="B108" s="160"/>
      <c r="C108" s="161"/>
      <c r="D108" s="161"/>
      <c r="E108" s="94"/>
      <c r="F108" s="97" t="s">
        <v>474</v>
      </c>
      <c r="G108" s="29" t="s">
        <v>1752</v>
      </c>
      <c r="H108" s="96" t="s">
        <v>1753</v>
      </c>
      <c r="I108" s="97" t="s">
        <v>474</v>
      </c>
      <c r="J108" s="29" t="str">
        <f>INDEX(数据元说明!A:F,MATCH(I108,数据元说明!C:C,0),2)</f>
        <v>002006</v>
      </c>
      <c r="K108" s="98" t="str">
        <f>INDEX(数据元说明!A:F,MATCH(I108,数据元说明!C:C,0),5)</f>
        <v>男，女。</v>
      </c>
      <c r="L108" s="29" t="str">
        <f>INDEX(数据元说明!A:F,MATCH(I108,数据元说明!C:C,0),6)</f>
        <v>C3</v>
      </c>
      <c r="M108" s="98" t="s">
        <v>1754</v>
      </c>
      <c r="P108" s="99"/>
    </row>
    <row r="109" ht="30" customHeight="1" outlineLevel="1" spans="1:16">
      <c r="A109" s="159"/>
      <c r="B109" s="160"/>
      <c r="C109" s="161"/>
      <c r="D109" s="161"/>
      <c r="E109" s="94"/>
      <c r="F109" s="97" t="s">
        <v>478</v>
      </c>
      <c r="G109" s="29" t="s">
        <v>1755</v>
      </c>
      <c r="H109" s="96" t="s">
        <v>1756</v>
      </c>
      <c r="I109" s="97" t="s">
        <v>478</v>
      </c>
      <c r="J109" s="29" t="str">
        <f>INDEX(数据元说明!A:F,MATCH(I109,数据元说明!C:C,0),2)</f>
        <v>002007</v>
      </c>
      <c r="K109" s="98" t="str">
        <f>INDEX(数据元说明!A:F,MATCH(I109,数据元说明!C:C,0),5)</f>
        <v>参照《GB/T 4658-2006 学历代码》填写中文描述或中文字典。</v>
      </c>
      <c r="L109" s="29" t="str">
        <f>INDEX(数据元说明!A:F,MATCH(I109,数据元说明!C:C,0),6)</f>
        <v>C..30</v>
      </c>
      <c r="M109" s="98" t="s">
        <v>1757</v>
      </c>
      <c r="P109" s="99"/>
    </row>
    <row r="110" s="81" customFormat="1" ht="36" outlineLevel="1" spans="1:16">
      <c r="A110" s="167"/>
      <c r="B110" s="168"/>
      <c r="C110" s="176"/>
      <c r="D110" s="176"/>
      <c r="E110" s="155"/>
      <c r="F110" s="157" t="s">
        <v>1758</v>
      </c>
      <c r="G110" s="43" t="s">
        <v>1759</v>
      </c>
      <c r="H110" s="153" t="s">
        <v>1760</v>
      </c>
      <c r="I110" s="157" t="s">
        <v>307</v>
      </c>
      <c r="J110" s="43" t="str">
        <f>INDEX(数据元说明!A:F,MATCH(I110,数据元说明!C:C,0),2)</f>
        <v>001006</v>
      </c>
      <c r="K110" s="158" t="str">
        <f>INDEX(数据元说明!A:F,MATCH(I110,数据元说明!C:C,0),5)</f>
        <v>YYYYMM，默认值999912。</v>
      </c>
      <c r="L110" s="43" t="str">
        <f>INDEX(数据元说明!A:F,MATCH(I110,数据元说明!C:C,0),6)</f>
        <v>C6</v>
      </c>
      <c r="M110" s="158" t="s">
        <v>1761</v>
      </c>
      <c r="N110" s="129" t="s">
        <v>25</v>
      </c>
      <c r="O110" s="139" t="s">
        <v>1762</v>
      </c>
      <c r="P110" s="140"/>
    </row>
    <row r="111" outlineLevel="1" spans="1:16">
      <c r="A111" s="159"/>
      <c r="B111" s="160"/>
      <c r="C111" s="161"/>
      <c r="D111" s="161"/>
      <c r="E111" s="94"/>
      <c r="F111" s="97" t="s">
        <v>487</v>
      </c>
      <c r="G111" s="29" t="s">
        <v>1763</v>
      </c>
      <c r="H111" s="96" t="s">
        <v>1764</v>
      </c>
      <c r="I111" s="97" t="s">
        <v>487</v>
      </c>
      <c r="J111" s="29" t="str">
        <f>INDEX(数据元说明!A:F,MATCH(I111,数据元说明!C:C,0),2)</f>
        <v>002009</v>
      </c>
      <c r="K111" s="98" t="str">
        <f>INDEX(数据元说明!A:F,MATCH(I111,数据元说明!C:C,0),5)</f>
        <v>未婚，已婚，初婚，再婚，复婚，丧偶，离异。</v>
      </c>
      <c r="L111" s="29" t="str">
        <f>INDEX(数据元说明!A:F,MATCH(I111,数据元说明!C:C,0),6)</f>
        <v>C..6</v>
      </c>
      <c r="M111" s="98" t="s">
        <v>1757</v>
      </c>
      <c r="N111" s="139" t="s">
        <v>25</v>
      </c>
      <c r="O111" s="139" t="s">
        <v>449</v>
      </c>
      <c r="P111" s="99"/>
    </row>
    <row r="112" s="81" customFormat="1" ht="45" customHeight="1" outlineLevel="1" spans="1:16">
      <c r="A112" s="167"/>
      <c r="B112" s="168"/>
      <c r="C112" s="176"/>
      <c r="D112" s="176"/>
      <c r="E112" s="155"/>
      <c r="F112" s="157" t="s">
        <v>1765</v>
      </c>
      <c r="G112" s="43" t="s">
        <v>1766</v>
      </c>
      <c r="H112" s="153" t="s">
        <v>1767</v>
      </c>
      <c r="I112" s="157" t="s">
        <v>282</v>
      </c>
      <c r="J112" s="43" t="str">
        <f>INDEX(数据元说明!A:F,MATCH(I112,数据元说明!C:C,0),2)</f>
        <v>001001</v>
      </c>
      <c r="K112" s="158" t="str">
        <f>INDEX(数据元说明!A:F,MATCH(I112,数据元说明!C:C,0),5)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12" s="43" t="str">
        <f>INDEX(数据元说明!A:F,MATCH(I112,数据元说明!C:C,0),6)</f>
        <v>C..400</v>
      </c>
      <c r="M112" s="158" t="s">
        <v>1768</v>
      </c>
      <c r="N112" s="140" t="s">
        <v>25</v>
      </c>
      <c r="O112" s="139" t="s">
        <v>1516</v>
      </c>
      <c r="P112" s="140"/>
    </row>
    <row r="113" s="81" customFormat="1" ht="30" customHeight="1" outlineLevel="1" spans="1:16">
      <c r="A113" s="167"/>
      <c r="B113" s="168"/>
      <c r="C113" s="176"/>
      <c r="D113" s="176"/>
      <c r="E113" s="155"/>
      <c r="F113" s="157" t="s">
        <v>1769</v>
      </c>
      <c r="G113" s="43" t="s">
        <v>1770</v>
      </c>
      <c r="H113" s="153" t="s">
        <v>1771</v>
      </c>
      <c r="I113" s="157" t="s">
        <v>316</v>
      </c>
      <c r="J113" s="43" t="str">
        <f>INDEX(数据元说明!A:F,MATCH(I113,数据元说明!C:C,0),2)</f>
        <v>001008</v>
      </c>
      <c r="K113" s="158" t="str">
        <f>INDEX(数据元说明!A:F,MATCH(I113,数据元说明!C:C,0),5)</f>
        <v>中文描述。个人填报个人住址。机构填报有关部门批准的有效证件上登记的地址。参照《企业法人营业执照》中的注册地填报，要写明省（区、市）、地（区、市、州、盟）、县（区、市、旗）。境外机构及境内涉密机构不填报。</v>
      </c>
      <c r="L113" s="43" t="str">
        <f>INDEX(数据元说明!A:F,MATCH(I113,数据元说明!C:C,0),6)</f>
        <v>C..400</v>
      </c>
      <c r="M113" s="158" t="s">
        <v>1772</v>
      </c>
      <c r="N113" s="140" t="s">
        <v>25</v>
      </c>
      <c r="O113" s="139" t="s">
        <v>1516</v>
      </c>
      <c r="P113" s="140"/>
    </row>
    <row r="114" s="81" customFormat="1" ht="30" customHeight="1" outlineLevel="1" spans="1:16">
      <c r="A114" s="167"/>
      <c r="B114" s="168"/>
      <c r="C114" s="176"/>
      <c r="D114" s="176"/>
      <c r="E114" s="155"/>
      <c r="F114" s="157" t="s">
        <v>1773</v>
      </c>
      <c r="G114" s="43" t="s">
        <v>1774</v>
      </c>
      <c r="H114" s="153" t="s">
        <v>1775</v>
      </c>
      <c r="I114" s="157" t="s">
        <v>320</v>
      </c>
      <c r="J114" s="43" t="str">
        <f>INDEX(数据元说明!A:F,MATCH(I114,数据元说明!C:C,0),2)</f>
        <v>001009</v>
      </c>
      <c r="K114" s="158" t="str">
        <f>INDEX(数据元说明!A:F,MATCH(I114,数据元说明!C:C,0),5)</f>
        <v>手机号码或者区号-固定电话号码。</v>
      </c>
      <c r="L114" s="43" t="str">
        <f>INDEX(数据元说明!A:F,MATCH(I114,数据元说明!C:C,0),6)</f>
        <v>C..30</v>
      </c>
      <c r="M114" s="158" t="s">
        <v>1772</v>
      </c>
      <c r="N114" s="139" t="s">
        <v>25</v>
      </c>
      <c r="O114" s="139" t="s">
        <v>449</v>
      </c>
      <c r="P114" s="140"/>
    </row>
    <row r="115" s="81" customFormat="1" ht="30" customHeight="1" outlineLevel="1" spans="1:16">
      <c r="A115" s="167"/>
      <c r="B115" s="168"/>
      <c r="C115" s="176"/>
      <c r="D115" s="176"/>
      <c r="E115" s="155"/>
      <c r="F115" s="157" t="s">
        <v>494</v>
      </c>
      <c r="G115" s="43" t="s">
        <v>1776</v>
      </c>
      <c r="H115" s="153" t="s">
        <v>1777</v>
      </c>
      <c r="I115" s="157" t="s">
        <v>494</v>
      </c>
      <c r="J115" s="43" t="str">
        <f>INDEX(数据元说明!A:F,MATCH(I115,数据元说明!C:C,0),2)</f>
        <v>002011</v>
      </c>
      <c r="K115" s="158" t="str">
        <f>INDEX(数据元说明!A:F,MATCH(I115,数据元说明!C:C,0),5)</f>
        <v>国有企业、民营企业、政府机关、事业单位、社会团体、境外机构、其他-银行自定义。无法以枚举类型填报的，以“其他-XX”填报，其中“XX”为银行自定义类型。</v>
      </c>
      <c r="L115" s="43" t="str">
        <f>INDEX(数据元说明!A:F,MATCH(I115,数据元说明!C:C,0),6)</f>
        <v>C..60</v>
      </c>
      <c r="M115" s="158" t="s">
        <v>1778</v>
      </c>
      <c r="N115" s="140" t="s">
        <v>25</v>
      </c>
      <c r="O115" s="140" t="s">
        <v>275</v>
      </c>
      <c r="P115" s="140" t="s">
        <v>1588</v>
      </c>
    </row>
    <row r="116" ht="30" customHeight="1" outlineLevel="1" spans="1:16">
      <c r="A116" s="159"/>
      <c r="B116" s="160"/>
      <c r="C116" s="161"/>
      <c r="D116" s="161"/>
      <c r="E116" s="94"/>
      <c r="F116" s="97" t="s">
        <v>482</v>
      </c>
      <c r="G116" s="29" t="s">
        <v>1779</v>
      </c>
      <c r="H116" s="96" t="s">
        <v>1780</v>
      </c>
      <c r="I116" s="97" t="s">
        <v>482</v>
      </c>
      <c r="J116" s="29" t="str">
        <f>INDEX(数据元说明!A:F,MATCH(I116,数据元说明!C:C,0),2)</f>
        <v>002008</v>
      </c>
      <c r="K116" s="98" t="str">
        <f>INDEX(数据元说明!A:F,MATCH(I116,数据元说明!C:C,0),5)</f>
        <v>中文描述或中文字典，银行自定义。</v>
      </c>
      <c r="L116" s="29" t="str">
        <f>INDEX(数据元说明!A:F,MATCH(I116,数据元说明!C:C,0),6)</f>
        <v>C..80</v>
      </c>
      <c r="M116" s="98" t="s">
        <v>1757</v>
      </c>
      <c r="P116" s="99"/>
    </row>
    <row r="117" s="81" customFormat="1" ht="30" customHeight="1" outlineLevel="1" spans="1:16">
      <c r="A117" s="167"/>
      <c r="B117" s="168"/>
      <c r="C117" s="176"/>
      <c r="D117" s="176"/>
      <c r="E117" s="155"/>
      <c r="F117" s="157" t="s">
        <v>362</v>
      </c>
      <c r="G117" s="43" t="s">
        <v>1781</v>
      </c>
      <c r="H117" s="153" t="s">
        <v>1782</v>
      </c>
      <c r="I117" s="157" t="s">
        <v>362</v>
      </c>
      <c r="J117" s="43" t="str">
        <f>INDEX(数据元说明!A:F,MATCH(I117,数据元说明!C:C,0),2)</f>
        <v>001019</v>
      </c>
      <c r="K117" s="158" t="str">
        <f>INDEX(数据元说明!A:F,MATCH(I117,数据元说明!C:C,0),5)</f>
        <v>中文字典或中文描述，银行自定义。</v>
      </c>
      <c r="L117" s="43" t="str">
        <f>INDEX(数据元说明!A:F,MATCH(I117,数据元说明!C:C,0),6)</f>
        <v>C..200</v>
      </c>
      <c r="M117" s="158" t="s">
        <v>1778</v>
      </c>
      <c r="N117" s="129" t="s">
        <v>25</v>
      </c>
      <c r="O117" s="140" t="s">
        <v>1783</v>
      </c>
      <c r="P117" s="139" t="s">
        <v>1588</v>
      </c>
    </row>
    <row r="118" s="81" customFormat="1" ht="30" customHeight="1" outlineLevel="1" spans="1:16">
      <c r="A118" s="167"/>
      <c r="B118" s="168"/>
      <c r="C118" s="176"/>
      <c r="D118" s="176"/>
      <c r="E118" s="155"/>
      <c r="F118" s="157" t="s">
        <v>1784</v>
      </c>
      <c r="G118" s="43" t="s">
        <v>1785</v>
      </c>
      <c r="H118" s="153" t="s">
        <v>1786</v>
      </c>
      <c r="I118" s="157" t="s">
        <v>609</v>
      </c>
      <c r="J118" s="43" t="str">
        <f>INDEX(数据元说明!A:F,MATCH(I118,数据元说明!C:C,0),2)</f>
        <v>003010</v>
      </c>
      <c r="K118" s="158" t="str">
        <f>INDEX(数据元说明!A:F,MATCH(I118,数据元说明!C:C,0),5)</f>
        <v>与币种相对应金额。</v>
      </c>
      <c r="L118" s="43" t="str">
        <f>INDEX(数据元说明!A:F,MATCH(I118,数据元说明!C:C,0),6)</f>
        <v>D20.2</v>
      </c>
      <c r="M118" s="158" t="s">
        <v>1787</v>
      </c>
      <c r="N118" s="140" t="s">
        <v>25</v>
      </c>
      <c r="O118" s="140"/>
      <c r="P118" s="140" t="s">
        <v>1606</v>
      </c>
    </row>
    <row r="119" s="81" customFormat="1" ht="30" customHeight="1" outlineLevel="1" spans="1:16">
      <c r="A119" s="167"/>
      <c r="B119" s="168"/>
      <c r="C119" s="176"/>
      <c r="D119" s="176"/>
      <c r="E119" s="155"/>
      <c r="F119" s="157" t="s">
        <v>1788</v>
      </c>
      <c r="G119" s="43" t="s">
        <v>1789</v>
      </c>
      <c r="H119" s="153" t="s">
        <v>1790</v>
      </c>
      <c r="I119" s="157" t="s">
        <v>316</v>
      </c>
      <c r="J119" s="43" t="str">
        <f>INDEX(数据元说明!A:F,MATCH(I119,数据元说明!C:C,0),2)</f>
        <v>001008</v>
      </c>
      <c r="K119" s="158" t="str">
        <f>INDEX(数据元说明!A:F,MATCH(I119,数据元说明!C:C,0),5)</f>
        <v>中文描述。个人填报个人住址。机构填报有关部门批准的有效证件上登记的地址。参照《企业法人营业执照》中的注册地填报，要写明省（区、市）、地（区、市、州、盟）、县（区、市、旗）。境外机构及境内涉密机构不填报。</v>
      </c>
      <c r="L119" s="43" t="str">
        <f>INDEX(数据元说明!A:F,MATCH(I119,数据元说明!C:C,0),6)</f>
        <v>C..400</v>
      </c>
      <c r="M119" s="158" t="s">
        <v>1791</v>
      </c>
      <c r="N119" s="140"/>
      <c r="O119" s="140"/>
      <c r="P119" s="140"/>
    </row>
    <row r="120" s="81" customFormat="1" ht="30" customHeight="1" outlineLevel="1" spans="1:16">
      <c r="A120" s="167"/>
      <c r="B120" s="168"/>
      <c r="C120" s="176"/>
      <c r="D120" s="176"/>
      <c r="E120" s="155"/>
      <c r="F120" s="157" t="s">
        <v>1597</v>
      </c>
      <c r="G120" s="43" t="s">
        <v>1598</v>
      </c>
      <c r="H120" s="153" t="s">
        <v>1792</v>
      </c>
      <c r="I120" s="157" t="s">
        <v>320</v>
      </c>
      <c r="J120" s="43" t="str">
        <f>INDEX(数据元说明!A:F,MATCH(I120,数据元说明!C:C,0),2)</f>
        <v>001009</v>
      </c>
      <c r="K120" s="158" t="str">
        <f>INDEX(数据元说明!A:F,MATCH(I120,数据元说明!C:C,0),5)</f>
        <v>手机号码或者区号-固定电话号码。</v>
      </c>
      <c r="L120" s="43" t="str">
        <f>INDEX(数据元说明!A:F,MATCH(I120,数据元说明!C:C,0),6)</f>
        <v>C..30</v>
      </c>
      <c r="M120" s="158" t="s">
        <v>1793</v>
      </c>
      <c r="N120" s="143" t="s">
        <v>57</v>
      </c>
      <c r="O120" s="139"/>
      <c r="P120" s="140"/>
    </row>
    <row r="121" s="81" customFormat="1" ht="30" customHeight="1" outlineLevel="1" spans="1:16">
      <c r="A121" s="141"/>
      <c r="B121" s="142"/>
      <c r="C121" s="177"/>
      <c r="D121" s="177"/>
      <c r="E121" s="142"/>
      <c r="F121" s="135" t="s">
        <v>1794</v>
      </c>
      <c r="G121" s="136" t="s">
        <v>1795</v>
      </c>
      <c r="H121" s="153" t="s">
        <v>1796</v>
      </c>
      <c r="I121" s="135" t="s">
        <v>287</v>
      </c>
      <c r="J121" s="136" t="str">
        <f>INDEX(数据元说明!A:F,MATCH(I121,数据元说明!C:C,0),2)</f>
        <v>001002</v>
      </c>
      <c r="K121" s="138" t="str">
        <f>INDEX(数据元说明!A:F,MATCH(I121,数据元说明!C:C,0),5)</f>
        <v>是，否。</v>
      </c>
      <c r="L121" s="136" t="str">
        <f>INDEX(数据元说明!A:F,MATCH(I121,数据元说明!C:C,0),6)</f>
        <v>C3</v>
      </c>
      <c r="M121" s="138" t="s">
        <v>1797</v>
      </c>
      <c r="N121" s="143" t="s">
        <v>57</v>
      </c>
      <c r="O121" s="140"/>
      <c r="P121" s="140"/>
    </row>
    <row r="122" s="81" customFormat="1" ht="30" customHeight="1" outlineLevel="1" spans="1:16">
      <c r="A122" s="141"/>
      <c r="B122" s="142"/>
      <c r="C122" s="39"/>
      <c r="D122" s="39"/>
      <c r="E122" s="47"/>
      <c r="F122" s="135" t="s">
        <v>1798</v>
      </c>
      <c r="G122" s="136" t="s">
        <v>1799</v>
      </c>
      <c r="H122" s="153" t="s">
        <v>1800</v>
      </c>
      <c r="I122" s="135" t="s">
        <v>307</v>
      </c>
      <c r="J122" s="136" t="str">
        <f>INDEX(数据元说明!A:F,MATCH(I122,数据元说明!C:C,0),2)</f>
        <v>001006</v>
      </c>
      <c r="K122" s="138" t="str">
        <f>INDEX(数据元说明!A:F,MATCH(I122,数据元说明!C:C,0),5)</f>
        <v>YYYYMM，默认值999912。</v>
      </c>
      <c r="L122" s="136" t="str">
        <f>INDEX(数据元说明!A:F,MATCH(I122,数据元说明!C:C,0),6)</f>
        <v>C6</v>
      </c>
      <c r="M122" s="138" t="s">
        <v>1801</v>
      </c>
      <c r="N122" s="143" t="s">
        <v>57</v>
      </c>
      <c r="O122" s="139"/>
      <c r="P122" s="139"/>
    </row>
    <row r="123" s="81" customFormat="1" ht="30" customHeight="1" outlineLevel="1" spans="1:16">
      <c r="A123" s="141"/>
      <c r="B123" s="142"/>
      <c r="C123" s="177"/>
      <c r="D123" s="177"/>
      <c r="E123" s="142"/>
      <c r="F123" s="135" t="s">
        <v>1802</v>
      </c>
      <c r="G123" s="136" t="s">
        <v>1803</v>
      </c>
      <c r="H123" s="153" t="s">
        <v>1804</v>
      </c>
      <c r="I123" s="135" t="s">
        <v>624</v>
      </c>
      <c r="J123" s="136" t="str">
        <f>INDEX(数据元说明!A:F,MATCH(I123,数据元说明!C:C,0),2)</f>
        <v>003014</v>
      </c>
      <c r="K123" s="138" t="str">
        <f>INDEX(数据元说明!A:F,MATCH(I123,数据元说明!C:C,0),5)</f>
        <v>遵循《GB/T 12406 表示货币和资金的代码》的字母代码，如CNY。上述文件所列币种无法涵盖的，允许银行自定义填报。多个币种合计折算为人民币（本外币合计）的，填报为BWB。</v>
      </c>
      <c r="L123" s="136" t="str">
        <f>INDEX(数据元说明!A:F,MATCH(I123,数据元说明!C:C,0),6)</f>
        <v>C3</v>
      </c>
      <c r="M123" s="138" t="s">
        <v>1805</v>
      </c>
      <c r="N123" s="143" t="s">
        <v>57</v>
      </c>
      <c r="O123" s="140"/>
      <c r="P123" s="140"/>
    </row>
    <row r="124" s="81" customFormat="1" ht="30" customHeight="1" outlineLevel="1" spans="1:16">
      <c r="A124" s="141"/>
      <c r="B124" s="142"/>
      <c r="C124" s="177"/>
      <c r="D124" s="177"/>
      <c r="E124" s="142"/>
      <c r="F124" s="135" t="s">
        <v>1806</v>
      </c>
      <c r="G124" s="136" t="s">
        <v>1807</v>
      </c>
      <c r="H124" s="153" t="s">
        <v>1808</v>
      </c>
      <c r="I124" s="135" t="s">
        <v>609</v>
      </c>
      <c r="J124" s="136" t="str">
        <f>INDEX(数据元说明!A:F,MATCH(I124,数据元说明!C:C,0),2)</f>
        <v>003010</v>
      </c>
      <c r="K124" s="138" t="str">
        <f>INDEX(数据元说明!A:F,MATCH(I124,数据元说明!C:C,0),5)</f>
        <v>与币种相对应金额。</v>
      </c>
      <c r="L124" s="136" t="str">
        <f>INDEX(数据元说明!A:F,MATCH(I124,数据元说明!C:C,0),6)</f>
        <v>D20.2</v>
      </c>
      <c r="M124" s="138" t="s">
        <v>1809</v>
      </c>
      <c r="N124" s="143" t="s">
        <v>57</v>
      </c>
      <c r="O124" s="139"/>
      <c r="P124" s="140"/>
    </row>
    <row r="125" s="81" customFormat="1" ht="30" customHeight="1" outlineLevel="1" spans="1:16">
      <c r="A125" s="141"/>
      <c r="B125" s="142"/>
      <c r="C125" s="177"/>
      <c r="D125" s="177"/>
      <c r="E125" s="142"/>
      <c r="F125" s="135" t="s">
        <v>1810</v>
      </c>
      <c r="G125" s="136" t="s">
        <v>1811</v>
      </c>
      <c r="H125" s="153" t="s">
        <v>1812</v>
      </c>
      <c r="I125" s="135" t="s">
        <v>609</v>
      </c>
      <c r="J125" s="136" t="str">
        <f>INDEX(数据元说明!A:F,MATCH(I125,数据元说明!C:C,0),2)</f>
        <v>003010</v>
      </c>
      <c r="K125" s="138" t="str">
        <f>INDEX(数据元说明!A:F,MATCH(I125,数据元说明!C:C,0),5)</f>
        <v>与币种相对应金额。</v>
      </c>
      <c r="L125" s="136" t="str">
        <f>INDEX(数据元说明!A:F,MATCH(I125,数据元说明!C:C,0),6)</f>
        <v>D20.2</v>
      </c>
      <c r="M125" s="138" t="s">
        <v>1813</v>
      </c>
      <c r="N125" s="164" t="s">
        <v>57</v>
      </c>
      <c r="O125" s="140"/>
      <c r="P125" s="140"/>
    </row>
    <row r="126" s="61" customFormat="1" ht="30" customHeight="1" outlineLevel="1" spans="1:16">
      <c r="A126" s="159"/>
      <c r="B126" s="160"/>
      <c r="C126" s="161"/>
      <c r="D126" s="161"/>
      <c r="E126" s="94"/>
      <c r="F126" s="97" t="s">
        <v>1814</v>
      </c>
      <c r="G126" s="29" t="s">
        <v>1815</v>
      </c>
      <c r="H126" s="96" t="s">
        <v>1816</v>
      </c>
      <c r="I126" s="97" t="s">
        <v>287</v>
      </c>
      <c r="J126" s="29" t="str">
        <f>INDEX(数据元说明!A:F,MATCH(I126,数据元说明!C:C,0),2)</f>
        <v>001002</v>
      </c>
      <c r="K126" s="98" t="str">
        <f>INDEX(数据元说明!A:F,MATCH(I126,数据元说明!C:C,0),5)</f>
        <v>是，否。</v>
      </c>
      <c r="L126" s="29" t="str">
        <f>INDEX(数据元说明!A:F,MATCH(I126,数据元说明!C:C,0),6)</f>
        <v>C3</v>
      </c>
      <c r="M126" s="98" t="s">
        <v>1817</v>
      </c>
      <c r="N126" s="33" t="s">
        <v>25</v>
      </c>
      <c r="O126" s="99"/>
      <c r="P126" s="33" t="s">
        <v>1588</v>
      </c>
    </row>
    <row r="127" ht="30" customHeight="1" outlineLevel="1" spans="1:16">
      <c r="A127" s="159"/>
      <c r="B127" s="160"/>
      <c r="C127" s="161"/>
      <c r="D127" s="161"/>
      <c r="E127" s="94"/>
      <c r="F127" s="97" t="s">
        <v>1818</v>
      </c>
      <c r="G127" s="29" t="s">
        <v>1819</v>
      </c>
      <c r="H127" s="96" t="s">
        <v>1820</v>
      </c>
      <c r="I127" s="97" t="s">
        <v>287</v>
      </c>
      <c r="J127" s="29" t="str">
        <f>INDEX(数据元说明!A:F,MATCH(I127,数据元说明!C:C,0),2)</f>
        <v>001002</v>
      </c>
      <c r="K127" s="98" t="str">
        <f>INDEX(数据元说明!A:F,MATCH(I127,数据元说明!C:C,0),5)</f>
        <v>是，否。</v>
      </c>
      <c r="L127" s="29" t="str">
        <f>INDEX(数据元说明!A:F,MATCH(I127,数据元说明!C:C,0),6)</f>
        <v>C3</v>
      </c>
      <c r="P127" s="99"/>
    </row>
    <row r="128" ht="30" customHeight="1" outlineLevel="1" spans="1:16">
      <c r="A128" s="159"/>
      <c r="B128" s="160"/>
      <c r="C128" s="161"/>
      <c r="D128" s="161"/>
      <c r="E128" s="94"/>
      <c r="F128" s="97" t="s">
        <v>1821</v>
      </c>
      <c r="G128" s="29" t="s">
        <v>1822</v>
      </c>
      <c r="H128" s="96" t="s">
        <v>1823</v>
      </c>
      <c r="I128" s="97" t="s">
        <v>287</v>
      </c>
      <c r="J128" s="29" t="str">
        <f>INDEX(数据元说明!A:F,MATCH(I128,数据元说明!C:C,0),2)</f>
        <v>001002</v>
      </c>
      <c r="K128" s="98" t="str">
        <f>INDEX(数据元说明!A:F,MATCH(I128,数据元说明!C:C,0),5)</f>
        <v>是，否。</v>
      </c>
      <c r="L128" s="29" t="str">
        <f>INDEX(数据元说明!A:F,MATCH(I128,数据元说明!C:C,0),6)</f>
        <v>C3</v>
      </c>
      <c r="M128" s="98" t="s">
        <v>1824</v>
      </c>
      <c r="P128" s="99"/>
    </row>
    <row r="129" ht="30" customHeight="1" outlineLevel="1" spans="1:16">
      <c r="A129" s="159"/>
      <c r="B129" s="160"/>
      <c r="C129" s="161"/>
      <c r="D129" s="161"/>
      <c r="E129" s="94"/>
      <c r="F129" s="97" t="s">
        <v>1825</v>
      </c>
      <c r="G129" s="29" t="s">
        <v>1826</v>
      </c>
      <c r="H129" s="96" t="s">
        <v>1827</v>
      </c>
      <c r="I129" s="97" t="s">
        <v>302</v>
      </c>
      <c r="J129" s="29" t="str">
        <f>INDEX(数据元说明!A:F,MATCH(I129,数据元说明!C:C,0),2)</f>
        <v>001005</v>
      </c>
      <c r="K129" s="98" t="str">
        <f>INDEX(数据元说明!A:F,MATCH(I129,数据元说明!C:C,0),5)</f>
        <v>YYYYMMDD，默认值99991231。</v>
      </c>
      <c r="L129" s="29" t="str">
        <f>INDEX(数据元说明!A:F,MATCH(I129,数据元说明!C:C,0),6)</f>
        <v>C8</v>
      </c>
      <c r="P129" s="99"/>
    </row>
    <row r="130" s="82" customFormat="1" ht="71" outlineLevel="1" spans="1:16">
      <c r="A130" s="144"/>
      <c r="B130" s="145"/>
      <c r="C130" s="146"/>
      <c r="D130" s="146"/>
      <c r="E130" s="145"/>
      <c r="F130" s="147" t="s">
        <v>449</v>
      </c>
      <c r="G130" s="148" t="s">
        <v>1571</v>
      </c>
      <c r="H130" s="148" t="s">
        <v>1828</v>
      </c>
      <c r="I130" s="147" t="s">
        <v>449</v>
      </c>
      <c r="J130" s="148" t="str">
        <f>INDEX(数据元说明!A:F,MATCH(I130,数据元说明!C:C,0),2)</f>
        <v>001040</v>
      </c>
      <c r="K130" s="149" t="str">
        <f>INDEX(数据元说明!A:F,MATCH(I130,数据元说明!C:C,0),5)</f>
        <v>银行自定义。</v>
      </c>
      <c r="L130" s="148" t="str">
        <f>INDEX(数据元说明!A:F,MATCH(I130,数据元说明!C:C,0),6)</f>
        <v>C..600</v>
      </c>
      <c r="M130" s="149" t="s">
        <v>1573</v>
      </c>
      <c r="N130" s="150" t="s">
        <v>57</v>
      </c>
      <c r="O130" s="151"/>
      <c r="P130" s="151"/>
    </row>
    <row r="131" ht="30" customHeight="1" outlineLevel="1" spans="1:16">
      <c r="E131" s="94"/>
      <c r="F131" s="97" t="s">
        <v>1574</v>
      </c>
      <c r="G131" s="29" t="s">
        <v>1575</v>
      </c>
      <c r="H131" s="96" t="s">
        <v>1829</v>
      </c>
      <c r="I131" s="97" t="s">
        <v>302</v>
      </c>
      <c r="J131" s="29" t="str">
        <f>INDEX(数据元说明!A:F,MATCH(I131,数据元说明!C:C,0),2)</f>
        <v>001005</v>
      </c>
      <c r="K131" s="98" t="str">
        <f>INDEX(数据元说明!A:F,MATCH(I131,数据元说明!C:C,0),5)</f>
        <v>YYYYMMDD，默认值99991231。</v>
      </c>
      <c r="L131" s="29" t="str">
        <f>INDEX(数据元说明!A:F,MATCH(I131,数据元说明!C:C,0),6)</f>
        <v>C8</v>
      </c>
      <c r="M131" s="98" t="s">
        <v>1577</v>
      </c>
      <c r="P131" s="99"/>
    </row>
    <row r="132" s="61" customFormat="1" ht="30" customHeight="1" spans="1:16">
      <c r="A132" s="165"/>
      <c r="B132" s="166"/>
      <c r="C132" s="19" t="s">
        <v>47</v>
      </c>
      <c r="D132" s="24" t="s">
        <v>48</v>
      </c>
      <c r="E132" s="126">
        <v>202</v>
      </c>
      <c r="F132" s="127"/>
      <c r="G132" s="126"/>
      <c r="H132" s="126"/>
      <c r="I132" s="127"/>
      <c r="J132" s="126"/>
      <c r="K132" s="152"/>
      <c r="L132" s="126"/>
      <c r="M132" s="128" t="str">
        <f>INDEX(表结构总览!E:H,MATCH(D132,表结构总览!E:E,0),4)</f>
        <v>个人客户关系信息。所有的个人对个人的关系，包括担保、亲属、配偶等。对公客户为个人客户担保的关系也需在本表报送。本人为本人担保的关系不报送。</v>
      </c>
      <c r="N132" s="129" t="s">
        <v>25</v>
      </c>
      <c r="O132" s="129" t="s">
        <v>1830</v>
      </c>
      <c r="P132" s="99"/>
    </row>
    <row r="133" ht="30" customHeight="1" outlineLevel="1" spans="1:16">
      <c r="A133" s="159"/>
      <c r="B133" s="160"/>
      <c r="E133" s="94"/>
      <c r="F133" s="97" t="s">
        <v>325</v>
      </c>
      <c r="G133" s="29" t="s">
        <v>1520</v>
      </c>
      <c r="H133" s="96" t="s">
        <v>1831</v>
      </c>
      <c r="I133" s="97" t="s">
        <v>325</v>
      </c>
      <c r="J133" s="29" t="str">
        <f>INDEX(数据元说明!A:F,MATCH(I133,数据元说明!C:C,0),2)</f>
        <v>001010</v>
      </c>
      <c r="K133" s="98" t="str">
        <f>INDEX(数据元说明!A:F,MATCH(I133,数据元说明!C:C,0),5)</f>
        <v>12位人行支付行号或SWIFT行号。</v>
      </c>
      <c r="L133" s="29" t="str">
        <f>INDEX(数据元说明!A:F,MATCH(I133,数据元说明!C:C,0),6)</f>
        <v>C..30</v>
      </c>
      <c r="M133" s="98" t="s">
        <v>1579</v>
      </c>
      <c r="P133" s="99"/>
    </row>
    <row r="134" s="81" customFormat="1" ht="30" customHeight="1" outlineLevel="1" spans="1:16">
      <c r="A134" s="134"/>
      <c r="B134" s="47"/>
      <c r="C134" s="39"/>
      <c r="D134" s="39"/>
      <c r="E134" s="47"/>
      <c r="F134" s="135" t="s">
        <v>329</v>
      </c>
      <c r="G134" s="136" t="s">
        <v>1526</v>
      </c>
      <c r="H134" s="153" t="s">
        <v>1832</v>
      </c>
      <c r="I134" s="135" t="s">
        <v>329</v>
      </c>
      <c r="J134" s="136" t="str">
        <f>INDEX(数据元说明!A:F,MATCH(I134,数据元说明!C:C,0),2)</f>
        <v>001011</v>
      </c>
      <c r="K134" s="138" t="str">
        <f>INDEX(数据元说明!A:F,MATCH(I134,数据元说明!C:C,0),5)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4" s="136" t="str">
        <f>INDEX(数据元说明!A:F,MATCH(I134,数据元说明!C:C,0),6)</f>
        <v>C..30</v>
      </c>
      <c r="M134" s="138" t="s">
        <v>1730</v>
      </c>
      <c r="N134" s="129" t="s">
        <v>25</v>
      </c>
      <c r="O134" s="129" t="s">
        <v>449</v>
      </c>
      <c r="P134" s="139"/>
    </row>
    <row r="135" ht="30" customHeight="1" outlineLevel="1" spans="1:16">
      <c r="A135" s="159"/>
      <c r="B135" s="160"/>
      <c r="E135" s="94"/>
      <c r="F135" s="97" t="s">
        <v>333</v>
      </c>
      <c r="G135" s="29" t="s">
        <v>1523</v>
      </c>
      <c r="H135" s="96" t="s">
        <v>1833</v>
      </c>
      <c r="I135" s="97" t="s">
        <v>333</v>
      </c>
      <c r="J135" s="29" t="str">
        <f>INDEX(数据元说明!A:F,MATCH(I135,数据元说明!C:C,0),2)</f>
        <v>001012</v>
      </c>
      <c r="K135" s="98" t="str">
        <f>INDEX(数据元说明!A:F,MATCH(I135,数据元说明!C:C,0),5)</f>
        <v>银行内部机构号。应具有标识机构的唯一性。</v>
      </c>
      <c r="L135" s="29" t="str">
        <f>INDEX(数据元说明!A:F,MATCH(I135,数据元说明!C:C,0),6)</f>
        <v>C..30</v>
      </c>
      <c r="M135" s="98" t="s">
        <v>1834</v>
      </c>
      <c r="P135" s="99"/>
    </row>
    <row r="136" s="61" customFormat="1" ht="30" customHeight="1" outlineLevel="1" spans="1:16">
      <c r="A136" s="159"/>
      <c r="B136" s="160"/>
      <c r="C136" s="161"/>
      <c r="D136" s="161"/>
      <c r="E136" s="160"/>
      <c r="F136" s="97" t="s">
        <v>453</v>
      </c>
      <c r="G136" s="29" t="s">
        <v>1680</v>
      </c>
      <c r="H136" s="96" t="s">
        <v>1835</v>
      </c>
      <c r="I136" s="97" t="s">
        <v>453</v>
      </c>
      <c r="J136" s="29" t="str">
        <f>INDEX(数据元说明!A:F,MATCH(I136,数据元说明!C:C,0),2)</f>
        <v>002001</v>
      </c>
      <c r="K136" s="98" t="str">
        <f>INDEX(数据元说明!A:F,MATCH(I136,数据元说明!C:C,0),5)</f>
        <v>银行自定义的唯一识别客户的标识。供应链融资的填写供应链融资编码。</v>
      </c>
      <c r="L136" s="29" t="str">
        <f>INDEX(数据元说明!A:F,MATCH(I136,数据元说明!C:C,0),6)</f>
        <v>C..60</v>
      </c>
      <c r="M136" s="98" t="s">
        <v>1836</v>
      </c>
      <c r="N136" s="33" t="s">
        <v>25</v>
      </c>
      <c r="O136" s="99"/>
      <c r="P136" s="33" t="s">
        <v>1588</v>
      </c>
    </row>
    <row r="137" s="81" customFormat="1" ht="30" customHeight="1" outlineLevel="1" spans="1:16">
      <c r="A137" s="167"/>
      <c r="B137" s="168"/>
      <c r="C137" s="176"/>
      <c r="D137" s="176"/>
      <c r="E137" s="155"/>
      <c r="F137" s="157" t="s">
        <v>1737</v>
      </c>
      <c r="G137" s="43" t="s">
        <v>1738</v>
      </c>
      <c r="H137" s="153" t="s">
        <v>1837</v>
      </c>
      <c r="I137" s="157" t="s">
        <v>353</v>
      </c>
      <c r="J137" s="43" t="str">
        <f>INDEX(数据元说明!A:F,MATCH(I137,数据元说明!C:C,0),2)</f>
        <v>001017</v>
      </c>
      <c r="K137" s="158" t="str">
        <f>INDEX(数据元说明!A:F,MATCH(I137,数据元说明!C:C,0),5)</f>
        <v>姓名。</v>
      </c>
      <c r="L137" s="43" t="str">
        <f>INDEX(数据元说明!A:F,MATCH(I137,数据元说明!C:C,0),6)</f>
        <v>C..200</v>
      </c>
      <c r="M137" s="158" t="s">
        <v>1740</v>
      </c>
      <c r="N137" s="164" t="s">
        <v>57</v>
      </c>
      <c r="O137" s="140"/>
      <c r="P137" s="140"/>
    </row>
    <row r="138" s="81" customFormat="1" ht="30" customHeight="1" outlineLevel="1" spans="1:16">
      <c r="A138" s="167"/>
      <c r="B138" s="168"/>
      <c r="C138" s="176"/>
      <c r="D138" s="176"/>
      <c r="E138" s="155"/>
      <c r="F138" s="157" t="s">
        <v>457</v>
      </c>
      <c r="G138" s="43" t="s">
        <v>1592</v>
      </c>
      <c r="H138" s="153" t="s">
        <v>1838</v>
      </c>
      <c r="I138" s="157" t="s">
        <v>457</v>
      </c>
      <c r="J138" s="43" t="str">
        <f>INDEX(数据元说明!A:F,MATCH(I138,数据元说明!C:C,0),2)</f>
        <v>002002</v>
      </c>
      <c r="K138" s="158" t="str">
        <f>INDEX(数据元说明!A:F,MATCH(I138,数据元说明!C:C,0),5)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38" s="43" t="str">
        <f>INDEX(数据元说明!A:F,MATCH(I138,数据元说明!C:C,0),6)</f>
        <v>C..60</v>
      </c>
      <c r="M138" s="158"/>
      <c r="N138" s="164" t="s">
        <v>57</v>
      </c>
      <c r="O138" s="140"/>
      <c r="P138" s="140"/>
    </row>
    <row r="139" s="81" customFormat="1" ht="30" customHeight="1" outlineLevel="1" spans="1:16">
      <c r="A139" s="154"/>
      <c r="B139" s="155"/>
      <c r="C139" s="156"/>
      <c r="D139" s="156"/>
      <c r="E139" s="155"/>
      <c r="F139" s="157" t="s">
        <v>461</v>
      </c>
      <c r="G139" s="43" t="s">
        <v>1594</v>
      </c>
      <c r="H139" s="153" t="s">
        <v>1839</v>
      </c>
      <c r="I139" s="157" t="s">
        <v>461</v>
      </c>
      <c r="J139" s="43" t="str">
        <f>INDEX(数据元说明!A:F,MATCH(I139,数据元说明!C:C,0),2)</f>
        <v>002003</v>
      </c>
      <c r="K139" s="158" t="str">
        <f>INDEX(数据元说明!A:F,MATCH(I139,数据元说明!C:C,0),5)</f>
        <v>与证件类别对应的证件号码。涉及个人身份证件时需按照本规范给定规则进行脱敏处理。</v>
      </c>
      <c r="L139" s="43" t="str">
        <f>INDEX(数据元说明!A:F,MATCH(I139,数据元说明!C:C,0),6)</f>
        <v>C..70</v>
      </c>
      <c r="M139" s="158" t="s">
        <v>1596</v>
      </c>
      <c r="N139" s="164" t="s">
        <v>57</v>
      </c>
      <c r="O139" s="139"/>
      <c r="P139" s="140"/>
    </row>
    <row r="140" s="81" customFormat="1" ht="30" customHeight="1" outlineLevel="1" spans="1:16">
      <c r="A140" s="167"/>
      <c r="B140" s="168"/>
      <c r="C140" s="156"/>
      <c r="D140" s="156"/>
      <c r="E140" s="155"/>
      <c r="F140" s="157" t="s">
        <v>537</v>
      </c>
      <c r="G140" s="43" t="s">
        <v>1840</v>
      </c>
      <c r="H140" s="153" t="s">
        <v>1841</v>
      </c>
      <c r="I140" s="157" t="s">
        <v>498</v>
      </c>
      <c r="J140" s="43" t="str">
        <f>INDEX(数据元说明!A:F,MATCH(I140,数据元说明!C:C,0),2)</f>
        <v>002012</v>
      </c>
      <c r="K140" s="158" t="str">
        <f>INDEX(数据元说明!A:F,MATCH(I140,数据元说明!C:C,0),5)</f>
        <v>配偶，父母，子女，亲属关系，朋友，同事，合作伙伴，离异原配偶，其他-银行自定义。无法以枚举类型填报的，以“其他-XX”填报，其中“XX”为银行自定义类型。</v>
      </c>
      <c r="L140" s="43" t="str">
        <f>INDEX(数据元说明!A:F,MATCH(I140,数据元说明!C:C,0),6)</f>
        <v>C..60</v>
      </c>
      <c r="M140" s="158" t="s">
        <v>1587</v>
      </c>
      <c r="N140" s="139" t="s">
        <v>25</v>
      </c>
      <c r="O140" s="139" t="s">
        <v>275</v>
      </c>
      <c r="P140" s="140"/>
    </row>
    <row r="141" s="81" customFormat="1" ht="30" customHeight="1" outlineLevel="1" spans="1:16">
      <c r="A141" s="167"/>
      <c r="B141" s="168"/>
      <c r="C141" s="156"/>
      <c r="D141" s="156"/>
      <c r="E141" s="155"/>
      <c r="F141" s="178" t="s">
        <v>1842</v>
      </c>
      <c r="G141" s="91" t="s">
        <v>1843</v>
      </c>
      <c r="H141" s="153" t="s">
        <v>1844</v>
      </c>
      <c r="I141" s="178" t="s">
        <v>453</v>
      </c>
      <c r="J141" s="43" t="str">
        <f>INDEX(数据元说明!A:F,MATCH(I141,数据元说明!C:C,0),2)</f>
        <v>002001</v>
      </c>
      <c r="K141" s="158" t="str">
        <f>INDEX(数据元说明!A:F,MATCH(I141,数据元说明!C:C,0),5)</f>
        <v>银行自定义的唯一识别客户的标识。供应链融资的填写供应链融资编码。</v>
      </c>
      <c r="L141" s="43" t="str">
        <f>INDEX(数据元说明!A:F,MATCH(I141,数据元说明!C:C,0),6)</f>
        <v>C..60</v>
      </c>
      <c r="M141" s="158" t="s">
        <v>1587</v>
      </c>
      <c r="N141" s="139" t="s">
        <v>25</v>
      </c>
      <c r="O141" s="139" t="s">
        <v>1513</v>
      </c>
      <c r="P141" s="140"/>
    </row>
    <row r="142" s="81" customFormat="1" ht="30" customHeight="1" outlineLevel="1" spans="1:16">
      <c r="A142" s="167"/>
      <c r="B142" s="168"/>
      <c r="C142" s="156"/>
      <c r="D142" s="156"/>
      <c r="E142" s="155"/>
      <c r="F142" s="157" t="s">
        <v>1845</v>
      </c>
      <c r="G142" s="43" t="s">
        <v>1846</v>
      </c>
      <c r="H142" s="153" t="s">
        <v>1847</v>
      </c>
      <c r="I142" s="157" t="s">
        <v>353</v>
      </c>
      <c r="J142" s="43" t="str">
        <f>INDEX(数据元说明!A:F,MATCH(I142,数据元说明!C:C,0),2)</f>
        <v>001017</v>
      </c>
      <c r="K142" s="158" t="str">
        <f>INDEX(数据元说明!A:F,MATCH(I142,数据元说明!C:C,0),5)</f>
        <v>姓名。</v>
      </c>
      <c r="L142" s="43" t="str">
        <f>INDEX(数据元说明!A:F,MATCH(I142,数据元说明!C:C,0),6)</f>
        <v>C..200</v>
      </c>
      <c r="M142" s="158" t="s">
        <v>1740</v>
      </c>
      <c r="N142" s="140" t="s">
        <v>25</v>
      </c>
      <c r="O142" s="140" t="s">
        <v>449</v>
      </c>
      <c r="P142" s="140"/>
    </row>
    <row r="143" s="81" customFormat="1" ht="30" customHeight="1" outlineLevel="1" spans="1:16">
      <c r="A143" s="167"/>
      <c r="B143" s="168"/>
      <c r="C143" s="156"/>
      <c r="D143" s="156"/>
      <c r="E143" s="155"/>
      <c r="F143" s="157" t="s">
        <v>1848</v>
      </c>
      <c r="G143" s="43" t="s">
        <v>1849</v>
      </c>
      <c r="H143" s="153" t="s">
        <v>1850</v>
      </c>
      <c r="I143" s="157" t="s">
        <v>457</v>
      </c>
      <c r="J143" s="43" t="str">
        <f>INDEX(数据元说明!A:F,MATCH(I143,数据元说明!C:C,0),2)</f>
        <v>002002</v>
      </c>
      <c r="K143" s="158" t="str">
        <f>INDEX(数据元说明!A:F,MATCH(I143,数据元说明!C:C,0),5)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43" s="43" t="str">
        <f>INDEX(数据元说明!A:F,MATCH(I143,数据元说明!C:C,0),6)</f>
        <v>C..60</v>
      </c>
      <c r="M143" s="158" t="s">
        <v>1851</v>
      </c>
      <c r="N143" s="143" t="s">
        <v>57</v>
      </c>
      <c r="O143" s="140"/>
      <c r="P143" s="140"/>
    </row>
    <row r="144" s="81" customFormat="1" ht="30" customHeight="1" outlineLevel="1" spans="1:16">
      <c r="A144" s="167"/>
      <c r="B144" s="168"/>
      <c r="C144" s="156"/>
      <c r="D144" s="156"/>
      <c r="E144" s="155"/>
      <c r="F144" s="157" t="s">
        <v>1852</v>
      </c>
      <c r="G144" s="43" t="s">
        <v>1853</v>
      </c>
      <c r="H144" s="153" t="s">
        <v>1854</v>
      </c>
      <c r="I144" s="157" t="s">
        <v>461</v>
      </c>
      <c r="J144" s="43" t="str">
        <f>INDEX(数据元说明!A:F,MATCH(I144,数据元说明!C:C,0),2)</f>
        <v>002003</v>
      </c>
      <c r="K144" s="158" t="str">
        <f>INDEX(数据元说明!A:F,MATCH(I144,数据元说明!C:C,0),5)</f>
        <v>与证件类别对应的证件号码。涉及个人身份证件时需按照本规范给定规则进行脱敏处理。</v>
      </c>
      <c r="L144" s="43" t="str">
        <f>INDEX(数据元说明!A:F,MATCH(I144,数据元说明!C:C,0),6)</f>
        <v>C..70</v>
      </c>
      <c r="M144" s="158"/>
      <c r="N144" s="143" t="s">
        <v>57</v>
      </c>
      <c r="O144" s="140"/>
      <c r="P144" s="140"/>
    </row>
    <row r="145" s="82" customFormat="1" ht="71" outlineLevel="1" spans="1:16">
      <c r="A145" s="144"/>
      <c r="B145" s="145"/>
      <c r="C145" s="146"/>
      <c r="D145" s="146"/>
      <c r="E145" s="145"/>
      <c r="F145" s="147" t="s">
        <v>449</v>
      </c>
      <c r="G145" s="148" t="s">
        <v>1571</v>
      </c>
      <c r="H145" s="148" t="s">
        <v>1855</v>
      </c>
      <c r="I145" s="147" t="s">
        <v>449</v>
      </c>
      <c r="J145" s="148" t="str">
        <f>INDEX(数据元说明!A:F,MATCH(I145,数据元说明!C:C,0),2)</f>
        <v>001040</v>
      </c>
      <c r="K145" s="149" t="str">
        <f>INDEX(数据元说明!A:F,MATCH(I145,数据元说明!C:C,0),5)</f>
        <v>银行自定义。</v>
      </c>
      <c r="L145" s="148" t="str">
        <f>INDEX(数据元说明!A:F,MATCH(I145,数据元说明!C:C,0),6)</f>
        <v>C..600</v>
      </c>
      <c r="M145" s="149" t="s">
        <v>1573</v>
      </c>
      <c r="N145" s="150" t="s">
        <v>57</v>
      </c>
      <c r="O145" s="151"/>
      <c r="P145" s="151"/>
    </row>
    <row r="146" ht="30" customHeight="1" outlineLevel="1" spans="1:16">
      <c r="E146" s="94"/>
      <c r="F146" s="97" t="s">
        <v>1574</v>
      </c>
      <c r="G146" s="29" t="s">
        <v>1575</v>
      </c>
      <c r="H146" s="96" t="s">
        <v>1856</v>
      </c>
      <c r="I146" s="97" t="s">
        <v>302</v>
      </c>
      <c r="J146" s="29" t="str">
        <f>INDEX(数据元说明!A:F,MATCH(I146,数据元说明!C:C,0),2)</f>
        <v>001005</v>
      </c>
      <c r="K146" s="98" t="str">
        <f>INDEX(数据元说明!A:F,MATCH(I146,数据元说明!C:C,0),5)</f>
        <v>YYYYMMDD，默认值99991231。</v>
      </c>
      <c r="L146" s="29" t="str">
        <f>INDEX(数据元说明!A:F,MATCH(I146,数据元说明!C:C,0),6)</f>
        <v>C8</v>
      </c>
      <c r="M146" s="98" t="s">
        <v>1577</v>
      </c>
      <c r="P146" s="99"/>
    </row>
    <row r="147" s="81" customFormat="1" ht="30" customHeight="1" spans="1:16">
      <c r="A147" s="179"/>
      <c r="B147" s="180"/>
      <c r="C147" s="37" t="s">
        <v>50</v>
      </c>
      <c r="D147" s="38" t="s">
        <v>51</v>
      </c>
      <c r="E147" s="181" t="s">
        <v>1857</v>
      </c>
      <c r="F147" s="182"/>
      <c r="G147" s="183"/>
      <c r="H147" s="181"/>
      <c r="I147" s="182"/>
      <c r="J147" s="183"/>
      <c r="K147" s="128"/>
      <c r="L147" s="183"/>
      <c r="M147" s="128" t="str">
        <f>INDEX(表结构总览!E:H,MATCH(D147,表结构总览!E:E,0),4)</f>
        <v>银行机构所有对公客户的基本信息。集团类的虚拟客户的客户信息要上报，在法人代表一栏填集团客户。银行对企业分公司等非法人机构授信的，视同单一法人客户报送。以机构名义登记客户资料的个体工商户、私营业主应纳入本表填报范围。对于同业客户、政府机关、境外客户，若无法获取相关信息无法填报的数据项，允许为空。对于不再列为银行客户的数据不报送。</v>
      </c>
      <c r="N147" s="140" t="s">
        <v>25</v>
      </c>
      <c r="O147" s="139" t="s">
        <v>1858</v>
      </c>
      <c r="P147" s="140"/>
    </row>
    <row r="148" s="61" customFormat="1" ht="30" customHeight="1" outlineLevel="1" spans="1:16">
      <c r="A148" s="184"/>
      <c r="B148" s="185"/>
      <c r="C148" s="25"/>
      <c r="D148" s="25"/>
      <c r="E148" s="36"/>
      <c r="F148" s="131" t="s">
        <v>325</v>
      </c>
      <c r="G148" s="31" t="s">
        <v>1520</v>
      </c>
      <c r="H148" s="132" t="s">
        <v>1859</v>
      </c>
      <c r="I148" s="131" t="s">
        <v>325</v>
      </c>
      <c r="J148" s="31" t="str">
        <f>INDEX(数据元说明!A:F,MATCH(I148,数据元说明!C:C,0),2)</f>
        <v>001010</v>
      </c>
      <c r="K148" s="133" t="str">
        <f>INDEX(数据元说明!A:F,MATCH(I148,数据元说明!C:C,0),5)</f>
        <v>12位人行支付行号或SWIFT行号。</v>
      </c>
      <c r="L148" s="31" t="str">
        <f>INDEX(数据元说明!A:F,MATCH(I148,数据元说明!C:C,0),6)</f>
        <v>C..30</v>
      </c>
      <c r="M148" s="133" t="s">
        <v>1728</v>
      </c>
      <c r="N148" s="99"/>
      <c r="O148" s="99"/>
      <c r="P148" s="99"/>
    </row>
    <row r="149" s="81" customFormat="1" ht="30" customHeight="1" outlineLevel="1" spans="1:16">
      <c r="A149" s="134"/>
      <c r="B149" s="47"/>
      <c r="C149" s="39"/>
      <c r="D149" s="39"/>
      <c r="E149" s="47"/>
      <c r="F149" s="135" t="s">
        <v>329</v>
      </c>
      <c r="G149" s="136" t="s">
        <v>1526</v>
      </c>
      <c r="H149" s="137" t="s">
        <v>1860</v>
      </c>
      <c r="I149" s="135" t="s">
        <v>329</v>
      </c>
      <c r="J149" s="136" t="str">
        <f>INDEX(数据元说明!A:F,MATCH(I149,数据元说明!C:C,0),2)</f>
        <v>001011</v>
      </c>
      <c r="K149" s="138" t="str">
        <f>INDEX(数据元说明!A:F,MATCH(I149,数据元说明!C:C,0),5)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9" s="136" t="str">
        <f>INDEX(数据元说明!A:F,MATCH(I149,数据元说明!C:C,0),6)</f>
        <v>C..30</v>
      </c>
      <c r="M149" s="138" t="s">
        <v>1730</v>
      </c>
      <c r="N149" s="129" t="s">
        <v>25</v>
      </c>
      <c r="O149" s="129" t="s">
        <v>449</v>
      </c>
      <c r="P149" s="139"/>
    </row>
    <row r="150" s="61" customFormat="1" ht="30" customHeight="1" outlineLevel="1" spans="1:16">
      <c r="A150" s="130"/>
      <c r="B150" s="36"/>
      <c r="C150" s="25"/>
      <c r="D150" s="25"/>
      <c r="E150" s="36"/>
      <c r="F150" s="131" t="s">
        <v>333</v>
      </c>
      <c r="G150" s="31" t="s">
        <v>1523</v>
      </c>
      <c r="H150" s="132" t="s">
        <v>1861</v>
      </c>
      <c r="I150" s="131" t="s">
        <v>333</v>
      </c>
      <c r="J150" s="31" t="str">
        <f>INDEX(数据元说明!A:F,MATCH(I150,数据元说明!C:C,0),2)</f>
        <v>001012</v>
      </c>
      <c r="K150" s="133" t="str">
        <f>INDEX(数据元说明!A:F,MATCH(I150,数据元说明!C:C,0),5)</f>
        <v>银行内部机构号。应具有标识机构的唯一性。</v>
      </c>
      <c r="L150" s="31" t="str">
        <f>INDEX(数据元说明!A:F,MATCH(I150,数据元说明!C:C,0),6)</f>
        <v>C..30</v>
      </c>
      <c r="M150" s="133" t="s">
        <v>1732</v>
      </c>
      <c r="N150" s="99"/>
      <c r="O150" s="99"/>
      <c r="P150" s="99"/>
    </row>
    <row r="151" s="81" customFormat="1" ht="30" customHeight="1" outlineLevel="1" spans="1:16">
      <c r="A151" s="154"/>
      <c r="B151" s="155"/>
      <c r="C151" s="156"/>
      <c r="D151" s="156"/>
      <c r="E151" s="155"/>
      <c r="F151" s="157" t="s">
        <v>1532</v>
      </c>
      <c r="G151" s="43" t="s">
        <v>1533</v>
      </c>
      <c r="H151" s="137" t="s">
        <v>1862</v>
      </c>
      <c r="I151" s="157" t="s">
        <v>282</v>
      </c>
      <c r="J151" s="43" t="str">
        <f>INDEX(数据元说明!A:F,MATCH(I151,数据元说明!C:C,0),2)</f>
        <v>001001</v>
      </c>
      <c r="K151" s="158" t="str">
        <f>INDEX(数据元说明!A:F,MATCH(I151,数据元说明!C:C,0),5)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1" s="43" t="str">
        <f>INDEX(数据元说明!A:F,MATCH(I151,数据元说明!C:C,0),6)</f>
        <v>C..400</v>
      </c>
      <c r="M151" s="158" t="s">
        <v>1734</v>
      </c>
      <c r="N151" s="143" t="s">
        <v>57</v>
      </c>
      <c r="O151" s="140"/>
      <c r="P151" s="140"/>
    </row>
    <row r="152" s="61" customFormat="1" ht="30" customHeight="1" outlineLevel="1" spans="1:16">
      <c r="A152" s="184"/>
      <c r="B152" s="185"/>
      <c r="C152" s="186"/>
      <c r="D152" s="186"/>
      <c r="E152" s="185"/>
      <c r="F152" s="131" t="s">
        <v>453</v>
      </c>
      <c r="G152" s="31" t="s">
        <v>1680</v>
      </c>
      <c r="H152" s="132" t="s">
        <v>1863</v>
      </c>
      <c r="I152" s="131" t="s">
        <v>453</v>
      </c>
      <c r="J152" s="31" t="str">
        <f>INDEX(数据元说明!A:F,MATCH(I152,数据元说明!C:C,0),2)</f>
        <v>002001</v>
      </c>
      <c r="K152" s="133" t="str">
        <f>INDEX(数据元说明!A:F,MATCH(I152,数据元说明!C:C,0),5)</f>
        <v>银行自定义的唯一识别客户的标识。供应链融资的填写供应链融资编码。</v>
      </c>
      <c r="L152" s="31" t="str">
        <f>INDEX(数据元说明!A:F,MATCH(I152,数据元说明!C:C,0),6)</f>
        <v>C..60</v>
      </c>
      <c r="M152" s="133" t="s">
        <v>1736</v>
      </c>
      <c r="N152" s="33" t="s">
        <v>25</v>
      </c>
      <c r="O152" s="99"/>
      <c r="P152" s="33" t="s">
        <v>1588</v>
      </c>
    </row>
    <row r="153" s="81" customFormat="1" ht="30" customHeight="1" outlineLevel="1" spans="1:16">
      <c r="A153" s="134"/>
      <c r="B153" s="47"/>
      <c r="C153" s="39"/>
      <c r="D153" s="39"/>
      <c r="E153" s="47"/>
      <c r="F153" s="135" t="s">
        <v>1864</v>
      </c>
      <c r="G153" s="136" t="s">
        <v>1865</v>
      </c>
      <c r="H153" s="137" t="s">
        <v>1866</v>
      </c>
      <c r="I153" s="135" t="s">
        <v>282</v>
      </c>
      <c r="J153" s="136" t="str">
        <f>INDEX(数据元说明!A:F,MATCH(I153,数据元说明!C:C,0),2)</f>
        <v>001001</v>
      </c>
      <c r="K153" s="138" t="str">
        <f>INDEX(数据元说明!A:F,MATCH(I153,数据元说明!C:C,0),5)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3" s="136" t="str">
        <f>INDEX(数据元说明!A:F,MATCH(I153,数据元说明!C:C,0),6)</f>
        <v>C..400</v>
      </c>
      <c r="M153" s="138" t="s">
        <v>1867</v>
      </c>
      <c r="N153" s="139" t="s">
        <v>25</v>
      </c>
      <c r="O153" s="139" t="s">
        <v>1673</v>
      </c>
      <c r="P153" s="140"/>
    </row>
    <row r="154" s="81" customFormat="1" ht="30" customHeight="1" outlineLevel="1" spans="1:16">
      <c r="A154" s="141"/>
      <c r="B154" s="142"/>
      <c r="C154" s="39"/>
      <c r="D154" s="39"/>
      <c r="E154" s="47"/>
      <c r="F154" s="135" t="s">
        <v>1743</v>
      </c>
      <c r="G154" s="136" t="s">
        <v>1868</v>
      </c>
      <c r="H154" s="137" t="s">
        <v>1869</v>
      </c>
      <c r="I154" s="135" t="s">
        <v>550</v>
      </c>
      <c r="J154" s="136" t="str">
        <f>INDEX(数据元说明!A:F,MATCH(I154,数据元说明!C:C,0),2)</f>
        <v>002024</v>
      </c>
      <c r="K154" s="138" t="str">
        <f>INDEX(数据元说明!A:F,MATCH(I154,数据元说明!C:C,0),5)</f>
        <v>集团客户，单一法人客户，同业客户，政府机关，事业单位，社会团体，境外机构，其他-银行自定义类型。无法以枚举类型填报的，以“其他-XX”填报，其中“XX”为银行自定义类型。</v>
      </c>
      <c r="L154" s="136" t="str">
        <f>INDEX(数据元说明!A:F,MATCH(I154,数据元说明!C:C,0),6)</f>
        <v>C..20</v>
      </c>
      <c r="M154" s="138" t="s">
        <v>1870</v>
      </c>
      <c r="N154" s="140" t="s">
        <v>25</v>
      </c>
      <c r="O154" s="139" t="s">
        <v>280</v>
      </c>
      <c r="P154" s="140"/>
    </row>
    <row r="155" s="81" customFormat="1" ht="30" customHeight="1" outlineLevel="1" spans="1:16">
      <c r="A155" s="141"/>
      <c r="B155" s="142"/>
      <c r="C155" s="39"/>
      <c r="D155" s="39"/>
      <c r="E155" s="47"/>
      <c r="F155" s="135" t="s">
        <v>457</v>
      </c>
      <c r="G155" s="136" t="s">
        <v>1592</v>
      </c>
      <c r="H155" s="137" t="s">
        <v>1871</v>
      </c>
      <c r="I155" s="135" t="s">
        <v>457</v>
      </c>
      <c r="J155" s="136" t="str">
        <f>INDEX(数据元说明!A:F,MATCH(I155,数据元说明!C:C,0),2)</f>
        <v>002002</v>
      </c>
      <c r="K155" s="138" t="str">
        <f>INDEX(数据元说明!A:F,MATCH(I155,数据元说明!C:C,0),5)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55" s="136" t="str">
        <f>INDEX(数据元说明!A:F,MATCH(I155,数据元说明!C:C,0),6)</f>
        <v>C..60</v>
      </c>
      <c r="M155" s="138" t="s">
        <v>1872</v>
      </c>
      <c r="N155" s="143" t="s">
        <v>57</v>
      </c>
      <c r="O155" s="140"/>
      <c r="P155" s="140"/>
    </row>
    <row r="156" s="81" customFormat="1" ht="30" customHeight="1" outlineLevel="1" spans="1:16">
      <c r="A156" s="141"/>
      <c r="B156" s="142"/>
      <c r="C156" s="39"/>
      <c r="D156" s="39"/>
      <c r="E156" s="47"/>
      <c r="F156" s="135" t="s">
        <v>461</v>
      </c>
      <c r="G156" s="136" t="s">
        <v>1594</v>
      </c>
      <c r="H156" s="137" t="s">
        <v>1873</v>
      </c>
      <c r="I156" s="135" t="s">
        <v>461</v>
      </c>
      <c r="J156" s="136" t="str">
        <f>INDEX(数据元说明!A:F,MATCH(I156,数据元说明!C:C,0),2)</f>
        <v>002003</v>
      </c>
      <c r="K156" s="138" t="str">
        <f>INDEX(数据元说明!A:F,MATCH(I156,数据元说明!C:C,0),5)</f>
        <v>与证件类别对应的证件号码。涉及个人身份证件时需按照本规范给定规则进行脱敏处理。</v>
      </c>
      <c r="L156" s="136" t="str">
        <f>INDEX(数据元说明!A:F,MATCH(I156,数据元说明!C:C,0),6)</f>
        <v>C..70</v>
      </c>
      <c r="M156" s="138" t="s">
        <v>1874</v>
      </c>
      <c r="N156" s="139" t="s">
        <v>25</v>
      </c>
      <c r="O156" s="139" t="s">
        <v>1514</v>
      </c>
      <c r="P156" s="140" t="s">
        <v>1588</v>
      </c>
    </row>
    <row r="157" s="61" customFormat="1" ht="30" customHeight="1" outlineLevel="1" spans="1:16">
      <c r="A157" s="130"/>
      <c r="B157" s="36"/>
      <c r="C157" s="25"/>
      <c r="D157" s="25"/>
      <c r="E157" s="36"/>
      <c r="F157" s="131" t="s">
        <v>502</v>
      </c>
      <c r="G157" s="31" t="s">
        <v>1875</v>
      </c>
      <c r="H157" s="132" t="s">
        <v>1876</v>
      </c>
      <c r="I157" s="131" t="s">
        <v>502</v>
      </c>
      <c r="J157" s="31" t="str">
        <f>INDEX(数据元说明!A:F,MATCH(I157,数据元说明!C:C,0),2)</f>
        <v>002013</v>
      </c>
      <c r="K157" s="133" t="str">
        <f>INDEX(数据元说明!A:F,MATCH(I157,数据元说明!C:C,0),5)</f>
        <v>该对公客户法人代表。依照法律或者法人组织章程规定，代表法人行使职权的负责人姓名。</v>
      </c>
      <c r="L157" s="31" t="str">
        <f>INDEX(数据元说明!A:F,MATCH(I157,数据元说明!C:C,0),6)</f>
        <v>C..30</v>
      </c>
      <c r="M157" s="133" t="s">
        <v>1877</v>
      </c>
      <c r="N157" s="99"/>
      <c r="O157" s="99"/>
      <c r="P157" s="99"/>
    </row>
    <row r="158" s="61" customFormat="1" ht="30" customHeight="1" outlineLevel="1" spans="1:16">
      <c r="A158" s="130"/>
      <c r="B158" s="36"/>
      <c r="C158" s="25"/>
      <c r="D158" s="25"/>
      <c r="E158" s="36"/>
      <c r="F158" s="131" t="s">
        <v>1878</v>
      </c>
      <c r="G158" s="31" t="s">
        <v>1879</v>
      </c>
      <c r="H158" s="132" t="s">
        <v>1880</v>
      </c>
      <c r="I158" s="131" t="s">
        <v>457</v>
      </c>
      <c r="J158" s="31" t="str">
        <f>INDEX(数据元说明!A:F,MATCH(I158,数据元说明!C:C,0),2)</f>
        <v>002002</v>
      </c>
      <c r="K158" s="133" t="str">
        <f>INDEX(数据元说明!A:F,MATCH(I158,数据元说明!C:C,0),5)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58" s="31" t="str">
        <f>INDEX(数据元说明!A:F,MATCH(I158,数据元说明!C:C,0),6)</f>
        <v>C..60</v>
      </c>
      <c r="M158" s="133" t="s">
        <v>1881</v>
      </c>
      <c r="N158" s="99"/>
      <c r="O158" s="99"/>
      <c r="P158" s="99"/>
    </row>
    <row r="159" s="81" customFormat="1" ht="30" customHeight="1" outlineLevel="1" spans="1:16">
      <c r="A159" s="134"/>
      <c r="B159" s="47"/>
      <c r="C159" s="39"/>
      <c r="D159" s="39"/>
      <c r="E159" s="47"/>
      <c r="F159" s="135" t="s">
        <v>1882</v>
      </c>
      <c r="G159" s="136" t="s">
        <v>1883</v>
      </c>
      <c r="H159" s="137" t="s">
        <v>1884</v>
      </c>
      <c r="I159" s="135" t="s">
        <v>461</v>
      </c>
      <c r="J159" s="136" t="str">
        <f>INDEX(数据元说明!A:F,MATCH(I159,数据元说明!C:C,0),2)</f>
        <v>002003</v>
      </c>
      <c r="K159" s="138" t="str">
        <f>INDEX(数据元说明!A:F,MATCH(I159,数据元说明!C:C,0),5)</f>
        <v>与证件类别对应的证件号码。涉及个人身份证件时需按照本规范给定规则进行脱敏处理。</v>
      </c>
      <c r="L159" s="136" t="str">
        <f>INDEX(数据元说明!A:F,MATCH(I159,数据元说明!C:C,0),6)</f>
        <v>C..70</v>
      </c>
      <c r="M159" s="138" t="s">
        <v>1885</v>
      </c>
      <c r="N159" s="139" t="s">
        <v>25</v>
      </c>
      <c r="O159" s="139" t="s">
        <v>280</v>
      </c>
      <c r="P159" s="140"/>
    </row>
    <row r="160" s="61" customFormat="1" ht="30" customHeight="1" outlineLevel="1" spans="1:16">
      <c r="A160" s="130"/>
      <c r="B160" s="36"/>
      <c r="C160" s="25"/>
      <c r="D160" s="25"/>
      <c r="E160" s="36"/>
      <c r="F160" s="131" t="s">
        <v>1886</v>
      </c>
      <c r="G160" s="31" t="s">
        <v>1887</v>
      </c>
      <c r="H160" s="132" t="s">
        <v>1888</v>
      </c>
      <c r="I160" s="131" t="s">
        <v>353</v>
      </c>
      <c r="J160" s="31" t="str">
        <f>INDEX(数据元说明!A:F,MATCH(I160,数据元说明!C:C,0),2)</f>
        <v>001017</v>
      </c>
      <c r="K160" s="133" t="str">
        <f>INDEX(数据元说明!A:F,MATCH(I160,数据元说明!C:C,0),5)</f>
        <v>姓名。</v>
      </c>
      <c r="L160" s="31" t="str">
        <f>INDEX(数据元说明!A:F,MATCH(I160,数据元说明!C:C,0),6)</f>
        <v>C..200</v>
      </c>
      <c r="M160" s="138" t="s">
        <v>1889</v>
      </c>
      <c r="N160" s="129" t="s">
        <v>25</v>
      </c>
      <c r="O160" s="139" t="s">
        <v>449</v>
      </c>
      <c r="P160" s="99"/>
    </row>
    <row r="161" s="61" customFormat="1" ht="30" customHeight="1" outlineLevel="1" spans="1:16">
      <c r="A161" s="130"/>
      <c r="B161" s="36"/>
      <c r="C161" s="25"/>
      <c r="D161" s="25"/>
      <c r="E161" s="36"/>
      <c r="F161" s="131" t="s">
        <v>1890</v>
      </c>
      <c r="G161" s="31" t="s">
        <v>1891</v>
      </c>
      <c r="H161" s="132" t="s">
        <v>1892</v>
      </c>
      <c r="I161" s="131" t="s">
        <v>457</v>
      </c>
      <c r="J161" s="31" t="str">
        <f>INDEX(数据元说明!A:F,MATCH(I161,数据元说明!C:C,0),2)</f>
        <v>002002</v>
      </c>
      <c r="K161" s="133" t="str">
        <f>INDEX(数据元说明!A:F,MATCH(I161,数据元说明!C:C,0),5)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61" s="31" t="str">
        <f>INDEX(数据元说明!A:F,MATCH(I161,数据元说明!C:C,0),6)</f>
        <v>C..60</v>
      </c>
      <c r="M161" s="133" t="s">
        <v>1893</v>
      </c>
      <c r="N161" s="99"/>
      <c r="O161" s="99"/>
      <c r="P161" s="99"/>
    </row>
    <row r="162" s="81" customFormat="1" ht="30" customHeight="1" outlineLevel="1" spans="1:16">
      <c r="A162" s="134"/>
      <c r="B162" s="47"/>
      <c r="C162" s="39"/>
      <c r="D162" s="39"/>
      <c r="E162" s="47"/>
      <c r="F162" s="135" t="s">
        <v>1894</v>
      </c>
      <c r="G162" s="136" t="s">
        <v>1895</v>
      </c>
      <c r="H162" s="137" t="s">
        <v>1896</v>
      </c>
      <c r="I162" s="135" t="s">
        <v>461</v>
      </c>
      <c r="J162" s="136" t="str">
        <f>INDEX(数据元说明!A:F,MATCH(I162,数据元说明!C:C,0),2)</f>
        <v>002003</v>
      </c>
      <c r="K162" s="138" t="str">
        <f>INDEX(数据元说明!A:F,MATCH(I162,数据元说明!C:C,0),5)</f>
        <v>与证件类别对应的证件号码。涉及个人身份证件时需按照本规范给定规则进行脱敏处理。</v>
      </c>
      <c r="L162" s="136" t="str">
        <f>INDEX(数据元说明!A:F,MATCH(I162,数据元说明!C:C,0),6)</f>
        <v>C..70</v>
      </c>
      <c r="M162" s="138" t="s">
        <v>1897</v>
      </c>
      <c r="N162" s="139" t="s">
        <v>25</v>
      </c>
      <c r="O162" s="139" t="s">
        <v>280</v>
      </c>
      <c r="P162" s="140"/>
    </row>
    <row r="163" s="61" customFormat="1" ht="30" customHeight="1" outlineLevel="1" spans="1:16">
      <c r="A163" s="130"/>
      <c r="B163" s="36"/>
      <c r="C163" s="25"/>
      <c r="D163" s="25"/>
      <c r="E163" s="36"/>
      <c r="F163" s="131" t="s">
        <v>1898</v>
      </c>
      <c r="G163" s="31" t="s">
        <v>1899</v>
      </c>
      <c r="H163" s="132" t="s">
        <v>1900</v>
      </c>
      <c r="I163" s="131" t="s">
        <v>570</v>
      </c>
      <c r="J163" s="31" t="str">
        <f>INDEX(数据元说明!A:F,MATCH(I163,数据元说明!C:C,0),2)</f>
        <v>003001</v>
      </c>
      <c r="K163" s="133" t="str">
        <f>INDEX(数据元说明!A:F,MATCH(I163,数据元说明!C:C,0),5)</f>
        <v>系统内最细一级的账号，无唯一性约束，不需要和序号、子序号等做拼接。</v>
      </c>
      <c r="L163" s="31" t="str">
        <f>INDEX(数据元说明!A:F,MATCH(I163,数据元说明!C:C,0),6)</f>
        <v>C..60</v>
      </c>
      <c r="M163" s="133" t="s">
        <v>1901</v>
      </c>
      <c r="N163" s="99"/>
      <c r="O163" s="99"/>
      <c r="P163" s="99"/>
    </row>
    <row r="164" s="81" customFormat="1" ht="30" customHeight="1" outlineLevel="1" spans="1:16">
      <c r="A164" s="134"/>
      <c r="B164" s="47"/>
      <c r="C164" s="39"/>
      <c r="D164" s="39"/>
      <c r="E164" s="47"/>
      <c r="F164" s="135" t="s">
        <v>1902</v>
      </c>
      <c r="G164" s="136" t="s">
        <v>1903</v>
      </c>
      <c r="H164" s="137" t="s">
        <v>1904</v>
      </c>
      <c r="I164" s="135" t="s">
        <v>325</v>
      </c>
      <c r="J164" s="136" t="str">
        <f>INDEX(数据元说明!A:F,MATCH(I164,数据元说明!C:C,0),2)</f>
        <v>001010</v>
      </c>
      <c r="K164" s="138" t="str">
        <f>INDEX(数据元说明!A:F,MATCH(I164,数据元说明!C:C,0),5)</f>
        <v>12位人行支付行号或SWIFT行号。</v>
      </c>
      <c r="L164" s="136" t="str">
        <f>INDEX(数据元说明!A:F,MATCH(I164,数据元说明!C:C,0),6)</f>
        <v>C..30</v>
      </c>
      <c r="M164" s="138" t="s">
        <v>1905</v>
      </c>
      <c r="N164" s="143" t="s">
        <v>57</v>
      </c>
      <c r="O164" s="140"/>
      <c r="P164" s="140"/>
    </row>
    <row r="165" s="61" customFormat="1" ht="30" customHeight="1" outlineLevel="1" spans="1:16">
      <c r="A165" s="130"/>
      <c r="B165" s="36"/>
      <c r="C165" s="25"/>
      <c r="D165" s="25"/>
      <c r="E165" s="36"/>
      <c r="F165" s="135" t="s">
        <v>1906</v>
      </c>
      <c r="G165" s="136" t="s">
        <v>1907</v>
      </c>
      <c r="H165" s="137" t="s">
        <v>1908</v>
      </c>
      <c r="I165" s="135" t="s">
        <v>282</v>
      </c>
      <c r="J165" s="136" t="str">
        <f>INDEX(数据元说明!A:F,MATCH(I165,数据元说明!C:C,0),2)</f>
        <v>001001</v>
      </c>
      <c r="K165" s="138" t="str">
        <f>INDEX(数据元说明!A:F,MATCH(I165,数据元说明!C:C,0),5)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5" s="136" t="str">
        <f>INDEX(数据元说明!A:F,MATCH(I165,数据元说明!C:C,0),6)</f>
        <v>C..400</v>
      </c>
      <c r="M165" s="138" t="s">
        <v>1909</v>
      </c>
      <c r="N165" s="139" t="s">
        <v>25</v>
      </c>
      <c r="O165" s="139" t="s">
        <v>280</v>
      </c>
      <c r="P165" s="140"/>
    </row>
    <row r="166" s="61" customFormat="1" ht="30" customHeight="1" outlineLevel="1" spans="1:16">
      <c r="A166" s="130"/>
      <c r="B166" s="36"/>
      <c r="C166" s="25"/>
      <c r="D166" s="25"/>
      <c r="E166" s="36"/>
      <c r="F166" s="131" t="s">
        <v>1910</v>
      </c>
      <c r="G166" s="31" t="s">
        <v>1911</v>
      </c>
      <c r="H166" s="132" t="s">
        <v>1912</v>
      </c>
      <c r="I166" s="131" t="s">
        <v>609</v>
      </c>
      <c r="J166" s="31" t="str">
        <f>INDEX(数据元说明!A:F,MATCH(I166,数据元说明!C:C,0),2)</f>
        <v>003010</v>
      </c>
      <c r="K166" s="133" t="str">
        <f>INDEX(数据元说明!A:F,MATCH(I166,数据元说明!C:C,0),5)</f>
        <v>与币种相对应金额。</v>
      </c>
      <c r="L166" s="31" t="str">
        <f>INDEX(数据元说明!A:F,MATCH(I166,数据元说明!C:C,0),6)</f>
        <v>D20.2</v>
      </c>
      <c r="M166" s="133" t="s">
        <v>1913</v>
      </c>
      <c r="N166" s="99"/>
      <c r="O166" s="99"/>
      <c r="P166" s="99"/>
    </row>
    <row r="167" s="61" customFormat="1" ht="30" customHeight="1" outlineLevel="1" spans="1:16">
      <c r="A167" s="184"/>
      <c r="B167" s="185"/>
      <c r="C167" s="186"/>
      <c r="D167" s="186"/>
      <c r="E167" s="185"/>
      <c r="F167" s="131" t="s">
        <v>1914</v>
      </c>
      <c r="G167" s="31" t="s">
        <v>1915</v>
      </c>
      <c r="H167" s="132" t="s">
        <v>1916</v>
      </c>
      <c r="I167" s="131" t="s">
        <v>624</v>
      </c>
      <c r="J167" s="31" t="str">
        <f>INDEX(数据元说明!A:F,MATCH(I167,数据元说明!C:C,0),2)</f>
        <v>003014</v>
      </c>
      <c r="K167" s="133" t="str">
        <f>INDEX(数据元说明!A:F,MATCH(I167,数据元说明!C:C,0),5)</f>
        <v>遵循《GB/T 12406 表示货币和资金的代码》的字母代码，如CNY。上述文件所列币种无法涵盖的，允许银行自定义填报。多个币种合计折算为人民币（本外币合计）的，填报为BWB。</v>
      </c>
      <c r="L167" s="31" t="str">
        <f>INDEX(数据元说明!A:F,MATCH(I167,数据元说明!C:C,0),6)</f>
        <v>C3</v>
      </c>
      <c r="M167" s="133" t="s">
        <v>1913</v>
      </c>
      <c r="N167" s="33" t="s">
        <v>25</v>
      </c>
      <c r="O167" s="99"/>
      <c r="P167" s="33" t="s">
        <v>1588</v>
      </c>
    </row>
    <row r="168" s="61" customFormat="1" ht="30" customHeight="1" outlineLevel="1" spans="1:16">
      <c r="A168" s="184"/>
      <c r="B168" s="185"/>
      <c r="C168" s="186"/>
      <c r="D168" s="186"/>
      <c r="E168" s="185"/>
      <c r="F168" s="131" t="s">
        <v>1917</v>
      </c>
      <c r="G168" s="31" t="s">
        <v>1918</v>
      </c>
      <c r="H168" s="132" t="s">
        <v>1919</v>
      </c>
      <c r="I168" s="131" t="s">
        <v>609</v>
      </c>
      <c r="J168" s="31" t="str">
        <f>INDEX(数据元说明!A:F,MATCH(I168,数据元说明!C:C,0),2)</f>
        <v>003010</v>
      </c>
      <c r="K168" s="133" t="str">
        <f>INDEX(数据元说明!A:F,MATCH(I168,数据元说明!C:C,0),5)</f>
        <v>与币种相对应金额。</v>
      </c>
      <c r="L168" s="31" t="str">
        <f>INDEX(数据元说明!A:F,MATCH(I168,数据元说明!C:C,0),6)</f>
        <v>D20.2</v>
      </c>
      <c r="M168" s="138" t="s">
        <v>1920</v>
      </c>
      <c r="N168" s="139" t="s">
        <v>25</v>
      </c>
      <c r="O168" s="99"/>
      <c r="P168" s="33" t="s">
        <v>1588</v>
      </c>
    </row>
    <row r="169" s="61" customFormat="1" ht="30" customHeight="1" outlineLevel="1" spans="1:16">
      <c r="A169" s="184"/>
      <c r="B169" s="185"/>
      <c r="C169" s="186"/>
      <c r="D169" s="186"/>
      <c r="E169" s="185"/>
      <c r="F169" s="131" t="s">
        <v>1921</v>
      </c>
      <c r="G169" s="31" t="s">
        <v>1922</v>
      </c>
      <c r="H169" s="132" t="s">
        <v>1923</v>
      </c>
      <c r="I169" s="131" t="s">
        <v>624</v>
      </c>
      <c r="J169" s="31" t="str">
        <f>INDEX(数据元说明!A:F,MATCH(I169,数据元说明!C:C,0),2)</f>
        <v>003014</v>
      </c>
      <c r="K169" s="133" t="str">
        <f>INDEX(数据元说明!A:F,MATCH(I169,数据元说明!C:C,0),5)</f>
        <v>遵循《GB/T 12406 表示货币和资金的代码》的字母代码，如CNY。上述文件所列币种无法涵盖的，允许银行自定义填报。多个币种合计折算为人民币（本外币合计）的，填报为BWB。</v>
      </c>
      <c r="L169" s="31" t="str">
        <f>INDEX(数据元说明!A:F,MATCH(I169,数据元说明!C:C,0),6)</f>
        <v>C3</v>
      </c>
      <c r="M169" s="133" t="s">
        <v>1913</v>
      </c>
      <c r="N169" s="33" t="s">
        <v>25</v>
      </c>
      <c r="O169" s="99"/>
      <c r="P169" s="33" t="s">
        <v>1588</v>
      </c>
    </row>
    <row r="170" s="61" customFormat="1" ht="30" customHeight="1" outlineLevel="1" spans="1:16">
      <c r="A170" s="130"/>
      <c r="B170" s="36"/>
      <c r="C170" s="25"/>
      <c r="D170" s="25"/>
      <c r="E170" s="36"/>
      <c r="F170" s="131" t="s">
        <v>1924</v>
      </c>
      <c r="G170" s="31" t="s">
        <v>1925</v>
      </c>
      <c r="H170" s="132" t="s">
        <v>1926</v>
      </c>
      <c r="I170" s="131" t="s">
        <v>316</v>
      </c>
      <c r="J170" s="31" t="str">
        <f>INDEX(数据元说明!A:F,MATCH(I170,数据元说明!C:C,0),2)</f>
        <v>001008</v>
      </c>
      <c r="K170" s="133" t="str">
        <f>INDEX(数据元说明!A:F,MATCH(I170,数据元说明!C:C,0),5)</f>
        <v>中文描述。个人填报个人住址。机构填报有关部门批准的有效证件上登记的地址。参照《企业法人营业执照》中的注册地填报，要写明省（区、市）、地（区、市、州、盟）、县（区、市、旗）。境外机构及境内涉密机构不填报。</v>
      </c>
      <c r="L170" s="31" t="str">
        <f>INDEX(数据元说明!A:F,MATCH(I170,数据元说明!C:C,0),6)</f>
        <v>C..400</v>
      </c>
      <c r="M170" s="133" t="s">
        <v>1927</v>
      </c>
      <c r="N170" s="99"/>
      <c r="O170" s="99"/>
      <c r="P170" s="99"/>
    </row>
    <row r="171" s="61" customFormat="1" ht="30" customHeight="1" outlineLevel="1" spans="1:16">
      <c r="A171" s="130"/>
      <c r="B171" s="36"/>
      <c r="C171" s="25"/>
      <c r="D171" s="25"/>
      <c r="E171" s="36"/>
      <c r="F171" s="131" t="s">
        <v>1597</v>
      </c>
      <c r="G171" s="31" t="s">
        <v>1598</v>
      </c>
      <c r="H171" s="132" t="s">
        <v>1928</v>
      </c>
      <c r="I171" s="131" t="s">
        <v>320</v>
      </c>
      <c r="J171" s="31" t="str">
        <f>INDEX(数据元说明!A:F,MATCH(I171,数据元说明!C:C,0),2)</f>
        <v>001009</v>
      </c>
      <c r="K171" s="133" t="str">
        <f>INDEX(数据元说明!A:F,MATCH(I171,数据元说明!C:C,0),5)</f>
        <v>手机号码或者区号-固定电话号码。</v>
      </c>
      <c r="L171" s="31" t="str">
        <f>INDEX(数据元说明!A:F,MATCH(I171,数据元说明!C:C,0),6)</f>
        <v>C..30</v>
      </c>
      <c r="M171" s="133" t="s">
        <v>1929</v>
      </c>
      <c r="N171" s="99"/>
      <c r="O171" s="99"/>
      <c r="P171" s="99"/>
    </row>
    <row r="172" s="81" customFormat="1" ht="30" customHeight="1" outlineLevel="1" spans="1:16">
      <c r="A172" s="134"/>
      <c r="B172" s="47"/>
      <c r="C172" s="39"/>
      <c r="D172" s="39"/>
      <c r="E172" s="47"/>
      <c r="F172" s="135" t="s">
        <v>510</v>
      </c>
      <c r="G172" s="136" t="s">
        <v>1930</v>
      </c>
      <c r="H172" s="137" t="s">
        <v>1931</v>
      </c>
      <c r="I172" s="135" t="s">
        <v>510</v>
      </c>
      <c r="J172" s="136" t="str">
        <f>INDEX(数据元说明!A:F,MATCH(I172,数据元说明!C:C,0),2)</f>
        <v>002015</v>
      </c>
      <c r="K172" s="138" t="str">
        <f>INDEX(数据元说明!A:F,MATCH(I172,数据元说明!C:C,0),5)</f>
        <v>客户经营范围的简述，银行自定义。</v>
      </c>
      <c r="L172" s="136" t="str">
        <f>INDEX(数据元说明!A:F,MATCH(I172,数据元说明!C:C,0),6)</f>
        <v>C..1500</v>
      </c>
      <c r="M172" s="138" t="s">
        <v>1932</v>
      </c>
      <c r="N172" s="140" t="s">
        <v>25</v>
      </c>
      <c r="O172" s="140" t="s">
        <v>280</v>
      </c>
      <c r="P172" s="140"/>
    </row>
    <row r="173" s="61" customFormat="1" ht="30" customHeight="1" outlineLevel="1" spans="1:16">
      <c r="A173" s="130"/>
      <c r="B173" s="36"/>
      <c r="C173" s="25"/>
      <c r="D173" s="25"/>
      <c r="E173" s="36"/>
      <c r="F173" s="131" t="s">
        <v>1547</v>
      </c>
      <c r="G173" s="31" t="s">
        <v>1548</v>
      </c>
      <c r="H173" s="132" t="s">
        <v>1933</v>
      </c>
      <c r="I173" s="131" t="s">
        <v>302</v>
      </c>
      <c r="J173" s="31" t="str">
        <f>INDEX(数据元说明!A:F,MATCH(I173,数据元说明!C:C,0),2)</f>
        <v>001005</v>
      </c>
      <c r="K173" s="133" t="str">
        <f>INDEX(数据元说明!A:F,MATCH(I173,数据元说明!C:C,0),5)</f>
        <v>YYYYMMDD，默认值99991231。</v>
      </c>
      <c r="L173" s="31" t="str">
        <f>INDEX(数据元说明!A:F,MATCH(I173,数据元说明!C:C,0),6)</f>
        <v>C8</v>
      </c>
      <c r="M173" s="138" t="s">
        <v>1934</v>
      </c>
      <c r="N173" s="129" t="s">
        <v>25</v>
      </c>
      <c r="O173" s="139" t="s">
        <v>449</v>
      </c>
      <c r="P173" s="99"/>
    </row>
    <row r="174" s="81" customFormat="1" ht="71" outlineLevel="1" spans="1:16">
      <c r="A174" s="134"/>
      <c r="B174" s="47"/>
      <c r="C174" s="39"/>
      <c r="D174" s="39"/>
      <c r="E174" s="47"/>
      <c r="F174" s="135" t="s">
        <v>515</v>
      </c>
      <c r="G174" s="136" t="s">
        <v>1935</v>
      </c>
      <c r="H174" s="137" t="s">
        <v>1936</v>
      </c>
      <c r="I174" s="135" t="s">
        <v>515</v>
      </c>
      <c r="J174" s="136" t="str">
        <f>INDEX(数据元说明!A:F,MATCH(I174,数据元说明!C:C,0),2)</f>
        <v>002016</v>
      </c>
      <c r="K174" s="138" t="str">
        <f>INDEX(数据元说明!A:F,MATCH(I174,数据元说明!C:C,0),5)</f>
        <v>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v>
      </c>
      <c r="L174" s="136" t="str">
        <f>INDEX(数据元说明!A:F,MATCH(I174,数据元说明!C:C,0),6)</f>
        <v>C..100</v>
      </c>
      <c r="M174" s="138" t="s">
        <v>1937</v>
      </c>
      <c r="N174" s="129" t="s">
        <v>25</v>
      </c>
      <c r="O174" s="139" t="s">
        <v>449</v>
      </c>
      <c r="P174" s="140"/>
    </row>
    <row r="175" s="81" customFormat="1" ht="106" outlineLevel="1" spans="1:16">
      <c r="A175" s="141"/>
      <c r="B175" s="142"/>
      <c r="C175" s="177"/>
      <c r="D175" s="177"/>
      <c r="E175" s="142"/>
      <c r="F175" s="135" t="s">
        <v>542</v>
      </c>
      <c r="G175" s="136" t="s">
        <v>1938</v>
      </c>
      <c r="H175" s="137" t="s">
        <v>1939</v>
      </c>
      <c r="I175" s="135" t="s">
        <v>542</v>
      </c>
      <c r="J175" s="136" t="str">
        <f>INDEX(数据元说明!A:F,MATCH(I175,数据元说明!C:C,0),2)</f>
        <v>002022</v>
      </c>
      <c r="K175" s="138" t="str">
        <f>INDEX(数据元说明!A:F,MATCH(I175,数据元说明!C:C,0),5)</f>
        <v>参照《中小企业划型标准规定》（工信部联企业[2011]300号）、《统计上大中小微型企业划分办法（2017）》（国统字〔2017〕213号）和《金融业企业划型标准规定》（银发〔2015〕309号）的划分标准进行填报。分为以下枚举类型：
大型企业，中型企业，小型企业，微型企业，政府机关，事业单位，社会团体，境外机构，其他组织机构。</v>
      </c>
      <c r="L175" s="136" t="str">
        <f>INDEX(数据元说明!A:F,MATCH(I175,数据元说明!C:C,0),6)</f>
        <v>C..30</v>
      </c>
      <c r="M175" s="138" t="s">
        <v>1940</v>
      </c>
      <c r="N175" s="143" t="s">
        <v>57</v>
      </c>
      <c r="O175" s="140"/>
      <c r="P175" s="140"/>
    </row>
    <row r="176" s="81" customFormat="1" ht="30" customHeight="1" outlineLevel="1" spans="1:16">
      <c r="A176" s="141"/>
      <c r="B176" s="142"/>
      <c r="C176" s="177"/>
      <c r="D176" s="177"/>
      <c r="E176" s="142"/>
      <c r="F176" s="135" t="s">
        <v>1794</v>
      </c>
      <c r="G176" s="136" t="s">
        <v>1795</v>
      </c>
      <c r="H176" s="137" t="s">
        <v>1941</v>
      </c>
      <c r="I176" s="135" t="s">
        <v>287</v>
      </c>
      <c r="J176" s="136" t="str">
        <f>INDEX(数据元说明!A:F,MATCH(I176,数据元说明!C:C,0),2)</f>
        <v>001002</v>
      </c>
      <c r="K176" s="138" t="str">
        <f>INDEX(数据元说明!A:F,MATCH(I176,数据元说明!C:C,0),5)</f>
        <v>是，否。</v>
      </c>
      <c r="L176" s="136" t="str">
        <f>INDEX(数据元说明!A:F,MATCH(I176,数据元说明!C:C,0),6)</f>
        <v>C3</v>
      </c>
      <c r="M176" s="138" t="s">
        <v>1797</v>
      </c>
      <c r="N176" s="143" t="s">
        <v>57</v>
      </c>
      <c r="O176" s="140"/>
      <c r="P176" s="140"/>
    </row>
    <row r="177" s="81" customFormat="1" ht="30" customHeight="1" outlineLevel="1" spans="1:16">
      <c r="A177" s="141"/>
      <c r="B177" s="142"/>
      <c r="C177" s="39"/>
      <c r="D177" s="39"/>
      <c r="E177" s="47"/>
      <c r="F177" s="135" t="s">
        <v>1798</v>
      </c>
      <c r="G177" s="136" t="s">
        <v>1799</v>
      </c>
      <c r="H177" s="137" t="s">
        <v>1942</v>
      </c>
      <c r="I177" s="135" t="s">
        <v>307</v>
      </c>
      <c r="J177" s="136" t="str">
        <f>INDEX(数据元说明!A:F,MATCH(I177,数据元说明!C:C,0),2)</f>
        <v>001006</v>
      </c>
      <c r="K177" s="138" t="str">
        <f>INDEX(数据元说明!A:F,MATCH(I177,数据元说明!C:C,0),5)</f>
        <v>YYYYMM，默认值999912。</v>
      </c>
      <c r="L177" s="136" t="str">
        <f>INDEX(数据元说明!A:F,MATCH(I177,数据元说明!C:C,0),6)</f>
        <v>C6</v>
      </c>
      <c r="M177" s="138" t="s">
        <v>1801</v>
      </c>
      <c r="N177" s="187" t="s">
        <v>25</v>
      </c>
      <c r="O177" s="139" t="s">
        <v>449</v>
      </c>
      <c r="P177" s="139"/>
    </row>
    <row r="178" s="81" customFormat="1" ht="30" customHeight="1" outlineLevel="1" spans="1:16">
      <c r="A178" s="141"/>
      <c r="B178" s="142"/>
      <c r="C178" s="177"/>
      <c r="D178" s="177"/>
      <c r="E178" s="142"/>
      <c r="F178" s="135" t="s">
        <v>1802</v>
      </c>
      <c r="G178" s="136" t="s">
        <v>1803</v>
      </c>
      <c r="H178" s="137" t="s">
        <v>1943</v>
      </c>
      <c r="I178" s="135" t="s">
        <v>624</v>
      </c>
      <c r="J178" s="136" t="str">
        <f>INDEX(数据元说明!A:F,MATCH(I178,数据元说明!C:C,0),2)</f>
        <v>003014</v>
      </c>
      <c r="K178" s="138" t="str">
        <f>INDEX(数据元说明!A:F,MATCH(I178,数据元说明!C:C,0),5)</f>
        <v>遵循《GB/T 12406 表示货币和资金的代码》的字母代码，如CNY。上述文件所列币种无法涵盖的，允许银行自定义填报。多个币种合计折算为人民币（本外币合计）的，填报为BWB。</v>
      </c>
      <c r="L178" s="136" t="str">
        <f>INDEX(数据元说明!A:F,MATCH(I178,数据元说明!C:C,0),6)</f>
        <v>C3</v>
      </c>
      <c r="M178" s="138" t="s">
        <v>1805</v>
      </c>
      <c r="N178" s="143" t="s">
        <v>57</v>
      </c>
      <c r="O178" s="140"/>
      <c r="P178" s="140"/>
    </row>
    <row r="179" s="81" customFormat="1" ht="30" customHeight="1" outlineLevel="1" spans="1:16">
      <c r="A179" s="141"/>
      <c r="B179" s="142"/>
      <c r="C179" s="177"/>
      <c r="D179" s="177"/>
      <c r="E179" s="142"/>
      <c r="F179" s="135" t="s">
        <v>1806</v>
      </c>
      <c r="G179" s="136" t="s">
        <v>1807</v>
      </c>
      <c r="H179" s="137" t="s">
        <v>1944</v>
      </c>
      <c r="I179" s="135" t="s">
        <v>609</v>
      </c>
      <c r="J179" s="136" t="str">
        <f>INDEX(数据元说明!A:F,MATCH(I179,数据元说明!C:C,0),2)</f>
        <v>003010</v>
      </c>
      <c r="K179" s="138" t="str">
        <f>INDEX(数据元说明!A:F,MATCH(I179,数据元说明!C:C,0),5)</f>
        <v>与币种相对应金额。</v>
      </c>
      <c r="L179" s="136" t="str">
        <f>INDEX(数据元说明!A:F,MATCH(I179,数据元说明!C:C,0),6)</f>
        <v>D20.2</v>
      </c>
      <c r="M179" s="138" t="s">
        <v>1945</v>
      </c>
      <c r="N179" s="129" t="s">
        <v>25</v>
      </c>
      <c r="O179" s="139" t="s">
        <v>449</v>
      </c>
      <c r="P179" s="140"/>
    </row>
    <row r="180" s="81" customFormat="1" ht="30" customHeight="1" outlineLevel="1" spans="1:16">
      <c r="A180" s="141"/>
      <c r="B180" s="142"/>
      <c r="C180" s="177"/>
      <c r="D180" s="177"/>
      <c r="E180" s="142"/>
      <c r="F180" s="135" t="s">
        <v>1810</v>
      </c>
      <c r="G180" s="136" t="s">
        <v>1811</v>
      </c>
      <c r="H180" s="137" t="s">
        <v>1946</v>
      </c>
      <c r="I180" s="135" t="s">
        <v>609</v>
      </c>
      <c r="J180" s="136" t="str">
        <f>INDEX(数据元说明!A:F,MATCH(I180,数据元说明!C:C,0),2)</f>
        <v>003010</v>
      </c>
      <c r="K180" s="138" t="str">
        <f>INDEX(数据元说明!A:F,MATCH(I180,数据元说明!C:C,0),5)</f>
        <v>与币种相对应金额。</v>
      </c>
      <c r="L180" s="136" t="str">
        <f>INDEX(数据元说明!A:F,MATCH(I180,数据元说明!C:C,0),6)</f>
        <v>D20.2</v>
      </c>
      <c r="M180" s="138" t="s">
        <v>1947</v>
      </c>
      <c r="N180" s="129" t="s">
        <v>25</v>
      </c>
      <c r="O180" s="139" t="s">
        <v>449</v>
      </c>
      <c r="P180" s="140"/>
    </row>
    <row r="181" s="61" customFormat="1" ht="30" customHeight="1" outlineLevel="1" spans="1:16">
      <c r="A181" s="184"/>
      <c r="B181" s="185"/>
      <c r="C181" s="186"/>
      <c r="D181" s="186"/>
      <c r="E181" s="185"/>
      <c r="F181" s="131" t="s">
        <v>1948</v>
      </c>
      <c r="G181" s="31" t="s">
        <v>1949</v>
      </c>
      <c r="H181" s="132" t="s">
        <v>1950</v>
      </c>
      <c r="I181" s="131" t="s">
        <v>287</v>
      </c>
      <c r="J181" s="31" t="str">
        <f>INDEX(数据元说明!A:F,MATCH(I181,数据元说明!C:C,0),2)</f>
        <v>001002</v>
      </c>
      <c r="K181" s="133" t="str">
        <f>INDEX(数据元说明!A:F,MATCH(I181,数据元说明!C:C,0),5)</f>
        <v>是，否。</v>
      </c>
      <c r="L181" s="31" t="str">
        <f>INDEX(数据元说明!A:F,MATCH(I181,数据元说明!C:C,0),6)</f>
        <v>C3</v>
      </c>
      <c r="M181" s="133"/>
      <c r="N181" s="99"/>
      <c r="O181" s="99"/>
      <c r="P181" s="99"/>
    </row>
    <row r="182" s="81" customFormat="1" ht="30" customHeight="1" outlineLevel="1" spans="1:16">
      <c r="A182" s="141"/>
      <c r="B182" s="142"/>
      <c r="C182" s="177"/>
      <c r="D182" s="177"/>
      <c r="E182" s="142"/>
      <c r="F182" s="135" t="s">
        <v>1133</v>
      </c>
      <c r="G182" s="136" t="s">
        <v>1951</v>
      </c>
      <c r="H182" s="137" t="s">
        <v>1952</v>
      </c>
      <c r="I182" s="135" t="s">
        <v>1133</v>
      </c>
      <c r="J182" s="406" t="str">
        <f>INDEX(数据元说明!A:F,MATCH(I182,数据元说明!C:C,0),2)</f>
        <v>010010</v>
      </c>
      <c r="K182" s="138" t="str">
        <f>INDEX(数据元说明!A:F,MATCH(I182,数据元说明!C:C,0),5)</f>
        <v>优先填报外部专业性的评级公司对融资人主体或资产的信用评级结果，如无，则由填报机构内部对融资人主体或资产的信用评级结果。</v>
      </c>
      <c r="L182" s="136" t="str">
        <f>INDEX(数据元说明!A:F,MATCH(I182,数据元说明!C:C,0),6)</f>
        <v>C..20</v>
      </c>
      <c r="M182" s="138" t="s">
        <v>1953</v>
      </c>
      <c r="N182" s="129" t="s">
        <v>25</v>
      </c>
      <c r="O182" s="129" t="s">
        <v>275</v>
      </c>
      <c r="P182" s="140"/>
    </row>
    <row r="183" s="81" customFormat="1" ht="30" customHeight="1" outlineLevel="1" spans="1:16">
      <c r="A183" s="141"/>
      <c r="B183" s="142"/>
      <c r="C183" s="39"/>
      <c r="D183" s="39"/>
      <c r="E183" s="47"/>
      <c r="F183" s="135" t="s">
        <v>1954</v>
      </c>
      <c r="G183" s="136" t="s">
        <v>1955</v>
      </c>
      <c r="H183" s="137" t="s">
        <v>1956</v>
      </c>
      <c r="I183" s="135" t="s">
        <v>524</v>
      </c>
      <c r="J183" s="136" t="str">
        <f>INDEX(数据元说明!A:F,MATCH(I183,数据元说明!C:C,0),2)</f>
        <v>002018</v>
      </c>
      <c r="K183" s="138" t="str">
        <f>INDEX(数据元说明!A:F,MATCH(I183,数据元说明!C:C,0),5)</f>
        <v>人。</v>
      </c>
      <c r="L183" s="136" t="str">
        <f>INDEX(数据元说明!A:F,MATCH(I183,数据元说明!C:C,0),6)</f>
        <v>I..10</v>
      </c>
      <c r="M183" s="138" t="s">
        <v>1957</v>
      </c>
      <c r="N183" s="187" t="s">
        <v>25</v>
      </c>
      <c r="O183" s="139" t="s">
        <v>449</v>
      </c>
      <c r="P183" s="140"/>
    </row>
    <row r="184" s="61" customFormat="1" ht="30" customHeight="1" outlineLevel="1" spans="1:16">
      <c r="A184" s="184"/>
      <c r="B184" s="185"/>
      <c r="C184" s="25"/>
      <c r="D184" s="25"/>
      <c r="E184" s="36"/>
      <c r="F184" s="131" t="s">
        <v>1540</v>
      </c>
      <c r="G184" s="31" t="s">
        <v>1541</v>
      </c>
      <c r="H184" s="132" t="s">
        <v>1958</v>
      </c>
      <c r="I184" s="131" t="s">
        <v>407</v>
      </c>
      <c r="J184" s="31" t="str">
        <f>INDEX(数据元说明!A:F,MATCH(I184,数据元说明!C:C,0),2)</f>
        <v>001031</v>
      </c>
      <c r="K184" s="133" t="str">
        <f>INDEX(数据元说明!A:F,MATCH(I184,数据元说明!C:C,0),5)</f>
        <v>境内地区参照《GB/T 2260-2020 中华人民共和国行政区划代码》填写国内行政区划代码，填写至二级分类，如110100。境外地区参照《GB/T 2659 世界各国和地区名称代码》定义的三字符代码，如USA。</v>
      </c>
      <c r="L184" s="31" t="str">
        <f>INDEX(数据元说明!A:F,MATCH(I184,数据元说明!C:C,0),6)</f>
        <v>C..6</v>
      </c>
      <c r="M184" s="133"/>
      <c r="N184" s="99"/>
      <c r="O184" s="99"/>
      <c r="P184" s="99"/>
    </row>
    <row r="185" s="81" customFormat="1" ht="30" customHeight="1" outlineLevel="1" spans="1:16">
      <c r="A185" s="141"/>
      <c r="B185" s="142"/>
      <c r="C185" s="39"/>
      <c r="D185" s="39"/>
      <c r="E185" s="47"/>
      <c r="F185" s="135" t="s">
        <v>1086</v>
      </c>
      <c r="G185" s="136" t="s">
        <v>1959</v>
      </c>
      <c r="H185" s="137" t="s">
        <v>1960</v>
      </c>
      <c r="I185" s="135" t="s">
        <v>1086</v>
      </c>
      <c r="J185" s="136" t="str">
        <f>INDEX(数据元说明!A:F,MATCH(I185,数据元说明!C:C,0),2)</f>
        <v>009002</v>
      </c>
      <c r="K185" s="138" t="str">
        <f>INDEX(数据元说明!A:F,MATCH(I185,数据元说明!C:C,0),5)</f>
        <v>根据客户类型，以银保监会客户风险统计报表的《集团风险预警代码及预警信号对照表》、《单一法人风险预警代码及预警信号对照表》对应的预警信号代码，填报至二级指标。同一客户涉及多项预警的，应将多个代码一并填报，中间分号隔开，如：A01；B02。</v>
      </c>
      <c r="L185" s="136" t="str">
        <f>INDEX(数据元说明!A:F,MATCH(I185,数据元说明!C:C,0),6)</f>
        <v>C..500</v>
      </c>
      <c r="M185" s="138" t="s">
        <v>1961</v>
      </c>
      <c r="N185" s="140" t="s">
        <v>25</v>
      </c>
      <c r="O185" s="140" t="s">
        <v>1962</v>
      </c>
      <c r="P185" s="140"/>
    </row>
    <row r="186" s="81" customFormat="1" ht="30" customHeight="1" outlineLevel="1" spans="1:16">
      <c r="A186" s="141"/>
      <c r="B186" s="142"/>
      <c r="C186" s="39"/>
      <c r="D186" s="39"/>
      <c r="E186" s="47"/>
      <c r="F186" s="135" t="s">
        <v>1091</v>
      </c>
      <c r="G186" s="136" t="s">
        <v>1963</v>
      </c>
      <c r="H186" s="137" t="s">
        <v>1964</v>
      </c>
      <c r="I186" s="135" t="s">
        <v>1091</v>
      </c>
      <c r="J186" s="136" t="str">
        <f>INDEX(数据元说明!A:F,MATCH(I186,数据元说明!C:C,0),2)</f>
        <v>009003</v>
      </c>
      <c r="K186" s="138" t="str">
        <f>INDEX(数据元说明!A:F,MATCH(I186,数据元说明!C:C,0),5)</f>
        <v>根据客户类型，以银保监会客户风险统计报表的《集团关注事件及代码对照表》、《单一法人关注事件及代码对照表》对应的预警信号代码，填报至二级指标。同一客户涉及多项关注事件的，应将多个代码一并填报，中间用分号隔开，如：A01；B02。</v>
      </c>
      <c r="L186" s="136" t="str">
        <f>INDEX(数据元说明!A:F,MATCH(I186,数据元说明!C:C,0),6)</f>
        <v>C..500</v>
      </c>
      <c r="M186" s="138" t="s">
        <v>1965</v>
      </c>
      <c r="N186" s="143" t="s">
        <v>57</v>
      </c>
      <c r="O186" s="140"/>
      <c r="P186" s="140"/>
    </row>
    <row r="187" s="81" customFormat="1" ht="30" customHeight="1" outlineLevel="1" spans="1:16">
      <c r="A187" s="134"/>
      <c r="B187" s="47"/>
      <c r="C187" s="39"/>
      <c r="D187" s="39"/>
      <c r="E187" s="47"/>
      <c r="F187" s="169" t="s">
        <v>449</v>
      </c>
      <c r="G187" s="148" t="s">
        <v>1571</v>
      </c>
      <c r="H187" s="148" t="s">
        <v>1966</v>
      </c>
      <c r="I187" s="169" t="s">
        <v>449</v>
      </c>
      <c r="J187" s="170" t="str">
        <f>INDEX(数据元说明!A:F,MATCH(I187,数据元说明!C:C,0),2)</f>
        <v>001040</v>
      </c>
      <c r="K187" s="171" t="str">
        <f>INDEX(数据元说明!A:F,MATCH(I187,数据元说明!C:C,0),5)</f>
        <v>银行自定义。</v>
      </c>
      <c r="L187" s="170" t="str">
        <f>INDEX(数据元说明!A:F,MATCH(I187,数据元说明!C:C,0),6)</f>
        <v>C..600</v>
      </c>
      <c r="M187" s="149" t="s">
        <v>1573</v>
      </c>
      <c r="N187" s="172" t="s">
        <v>57</v>
      </c>
      <c r="O187" s="173"/>
      <c r="P187" s="173"/>
    </row>
    <row r="188" s="61" customFormat="1" ht="30" customHeight="1" outlineLevel="1" spans="1:16">
      <c r="A188" s="130"/>
      <c r="B188" s="36"/>
      <c r="C188" s="25"/>
      <c r="D188" s="25"/>
      <c r="E188" s="36"/>
      <c r="F188" s="131" t="s">
        <v>1574</v>
      </c>
      <c r="G188" s="31" t="s">
        <v>1575</v>
      </c>
      <c r="H188" s="132" t="s">
        <v>1967</v>
      </c>
      <c r="I188" s="131" t="s">
        <v>302</v>
      </c>
      <c r="J188" s="31" t="str">
        <f>INDEX(数据元说明!A:F,MATCH(I188,数据元说明!C:C,0),2)</f>
        <v>001005</v>
      </c>
      <c r="K188" s="133" t="str">
        <f>INDEX(数据元说明!A:F,MATCH(I188,数据元说明!C:C,0),5)</f>
        <v>YYYYMMDD，默认值99991231。</v>
      </c>
      <c r="L188" s="31" t="str">
        <f>INDEX(数据元说明!A:F,MATCH(I188,数据元说明!C:C,0),6)</f>
        <v>C8</v>
      </c>
      <c r="M188" s="133" t="s">
        <v>1577</v>
      </c>
      <c r="N188" s="99"/>
      <c r="O188" s="99"/>
      <c r="P188" s="99"/>
    </row>
    <row r="189" s="83" customFormat="1" ht="30" customHeight="1" spans="1:16">
      <c r="A189" s="188"/>
      <c r="B189" s="189"/>
      <c r="C189" s="190" t="s">
        <v>53</v>
      </c>
      <c r="D189" s="191" t="s">
        <v>54</v>
      </c>
      <c r="E189" s="192" t="s">
        <v>1968</v>
      </c>
      <c r="F189" s="193"/>
      <c r="G189" s="194"/>
      <c r="H189" s="192"/>
      <c r="I189" s="193"/>
      <c r="J189" s="194"/>
      <c r="K189" s="195"/>
      <c r="L189" s="194"/>
      <c r="M189" s="193" t="str">
        <f>INDEX(表结构总览!E:H,MATCH(D189,表结构总览!E:E,0),4)</f>
        <v>报送本月源系统中新收集的对公客户财务信息。对于非授信客户、负债类客户、离岸对公客户、机关事业单位、未达到税务部门建账标准的个体工商户等无需报送。</v>
      </c>
      <c r="N189" s="143" t="s">
        <v>57</v>
      </c>
      <c r="O189" s="143"/>
      <c r="P189" s="143"/>
    </row>
    <row r="190" s="81" customFormat="1" ht="30" customHeight="1" outlineLevel="1" spans="1:16">
      <c r="A190" s="134"/>
      <c r="B190" s="47"/>
      <c r="C190" s="39"/>
      <c r="D190" s="39"/>
      <c r="E190" s="47"/>
      <c r="F190" s="135" t="s">
        <v>325</v>
      </c>
      <c r="G190" s="136" t="s">
        <v>1520</v>
      </c>
      <c r="H190" s="137" t="s">
        <v>1969</v>
      </c>
      <c r="I190" s="135" t="s">
        <v>325</v>
      </c>
      <c r="J190" s="136" t="str">
        <f>INDEX(数据元说明!A:F,MATCH(I190,数据元说明!C:C,0),2)</f>
        <v>001010</v>
      </c>
      <c r="K190" s="138" t="str">
        <f>INDEX(数据元说明!A:F,MATCH(I190,数据元说明!C:C,0),5)</f>
        <v>12位人行支付行号或SWIFT行号。</v>
      </c>
      <c r="L190" s="136" t="str">
        <f>INDEX(数据元说明!A:F,MATCH(I190,数据元说明!C:C,0),6)</f>
        <v>C..30</v>
      </c>
      <c r="M190" s="135" t="s">
        <v>1728</v>
      </c>
      <c r="N190" s="143" t="s">
        <v>57</v>
      </c>
      <c r="O190" s="140"/>
      <c r="P190" s="140"/>
    </row>
    <row r="191" s="81" customFormat="1" ht="30" customHeight="1" outlineLevel="1" spans="1:16">
      <c r="A191" s="134"/>
      <c r="B191" s="47"/>
      <c r="C191" s="39"/>
      <c r="D191" s="39"/>
      <c r="E191" s="47"/>
      <c r="F191" s="135" t="s">
        <v>329</v>
      </c>
      <c r="G191" s="136" t="s">
        <v>1526</v>
      </c>
      <c r="H191" s="137" t="s">
        <v>1970</v>
      </c>
      <c r="I191" s="135" t="s">
        <v>329</v>
      </c>
      <c r="J191" s="136" t="str">
        <f>INDEX(数据元说明!A:F,MATCH(I191,数据元说明!C:C,0),2)</f>
        <v>001011</v>
      </c>
      <c r="K191" s="138" t="str">
        <f>INDEX(数据元说明!A:F,MATCH(I191,数据元说明!C:C,0),5)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91" s="136" t="str">
        <f>INDEX(数据元说明!A:F,MATCH(I191,数据元说明!C:C,0),6)</f>
        <v>C..30</v>
      </c>
      <c r="M191" s="135" t="s">
        <v>1730</v>
      </c>
      <c r="N191" s="129" t="s">
        <v>25</v>
      </c>
      <c r="O191" s="129" t="s">
        <v>449</v>
      </c>
      <c r="P191" s="139"/>
    </row>
    <row r="192" s="81" customFormat="1" ht="30" customHeight="1" outlineLevel="1" spans="1:16">
      <c r="A192" s="134"/>
      <c r="B192" s="47"/>
      <c r="C192" s="39"/>
      <c r="D192" s="39"/>
      <c r="E192" s="47"/>
      <c r="F192" s="135" t="s">
        <v>333</v>
      </c>
      <c r="G192" s="136" t="s">
        <v>1523</v>
      </c>
      <c r="H192" s="137" t="s">
        <v>1971</v>
      </c>
      <c r="I192" s="135" t="s">
        <v>333</v>
      </c>
      <c r="J192" s="136" t="str">
        <f>INDEX(数据元说明!A:F,MATCH(I192,数据元说明!C:C,0),2)</f>
        <v>001012</v>
      </c>
      <c r="K192" s="138" t="str">
        <f>INDEX(数据元说明!A:F,MATCH(I192,数据元说明!C:C,0),5)</f>
        <v>银行内部机构号。应具有标识机构的唯一性。</v>
      </c>
      <c r="L192" s="136" t="str">
        <f>INDEX(数据元说明!A:F,MATCH(I192,数据元说明!C:C,0),6)</f>
        <v>C..30</v>
      </c>
      <c r="M192" s="135" t="s">
        <v>1732</v>
      </c>
      <c r="N192" s="143" t="s">
        <v>57</v>
      </c>
      <c r="O192" s="140"/>
      <c r="P192" s="140"/>
    </row>
    <row r="193" s="81" customFormat="1" ht="30" customHeight="1" outlineLevel="1" spans="1:16">
      <c r="A193" s="134"/>
      <c r="B193" s="47"/>
      <c r="C193" s="39"/>
      <c r="D193" s="39"/>
      <c r="E193" s="47"/>
      <c r="F193" s="135" t="s">
        <v>1532</v>
      </c>
      <c r="G193" s="136" t="s">
        <v>1533</v>
      </c>
      <c r="H193" s="137" t="s">
        <v>1972</v>
      </c>
      <c r="I193" s="135" t="s">
        <v>282</v>
      </c>
      <c r="J193" s="136" t="str">
        <f>INDEX(数据元说明!A:F,MATCH(I193,数据元说明!C:C,0),2)</f>
        <v>001001</v>
      </c>
      <c r="K193" s="138" t="str">
        <f>INDEX(数据元说明!A:F,MATCH(I193,数据元说明!C:C,0),5)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93" s="136" t="str">
        <f>INDEX(数据元说明!A:F,MATCH(I193,数据元说明!C:C,0),6)</f>
        <v>C..400</v>
      </c>
      <c r="M193" s="135" t="s">
        <v>1734</v>
      </c>
      <c r="N193" s="143" t="s">
        <v>57</v>
      </c>
      <c r="O193" s="140"/>
      <c r="P193" s="140"/>
    </row>
    <row r="194" s="81" customFormat="1" ht="30" customHeight="1" outlineLevel="1" spans="1:16">
      <c r="A194" s="134"/>
      <c r="B194" s="47"/>
      <c r="C194" s="39"/>
      <c r="D194" s="39"/>
      <c r="E194" s="47"/>
      <c r="F194" s="135" t="s">
        <v>565</v>
      </c>
      <c r="G194" s="136" t="s">
        <v>1973</v>
      </c>
      <c r="H194" s="137" t="s">
        <v>1974</v>
      </c>
      <c r="I194" s="135" t="s">
        <v>565</v>
      </c>
      <c r="J194" s="136" t="str">
        <f>INDEX(数据元说明!A:F,MATCH(I194,数据元说明!C:C,0),2)</f>
        <v>002028</v>
      </c>
      <c r="K194" s="138" t="str">
        <f>INDEX(数据元说明!A:F,MATCH(I194,数据元说明!C:C,0),5)</f>
        <v>唯一标识财务报表的编号，银行自定义。</v>
      </c>
      <c r="L194" s="136" t="str">
        <f>INDEX(数据元说明!A:F,MATCH(I194,数据元说明!C:C,0),6)</f>
        <v>C..30</v>
      </c>
      <c r="M194" s="135" t="s">
        <v>1587</v>
      </c>
      <c r="N194" s="143" t="s">
        <v>57</v>
      </c>
      <c r="O194" s="140"/>
      <c r="P194" s="140"/>
    </row>
    <row r="195" s="81" customFormat="1" ht="30" customHeight="1" outlineLevel="1" spans="1:16">
      <c r="A195" s="134"/>
      <c r="B195" s="47"/>
      <c r="C195" s="39"/>
      <c r="D195" s="39"/>
      <c r="E195" s="47"/>
      <c r="F195" s="135" t="s">
        <v>453</v>
      </c>
      <c r="G195" s="136" t="s">
        <v>1680</v>
      </c>
      <c r="H195" s="137" t="s">
        <v>1975</v>
      </c>
      <c r="I195" s="135" t="s">
        <v>453</v>
      </c>
      <c r="J195" s="136" t="str">
        <f>INDEX(数据元说明!A:F,MATCH(I195,数据元说明!C:C,0),2)</f>
        <v>002001</v>
      </c>
      <c r="K195" s="138" t="str">
        <f>INDEX(数据元说明!A:F,MATCH(I195,数据元说明!C:C,0),5)</f>
        <v>银行自定义的唯一识别客户的标识。供应链融资的填写供应链融资编码。</v>
      </c>
      <c r="L195" s="136" t="str">
        <f>INDEX(数据元说明!A:F,MATCH(I195,数据元说明!C:C,0),6)</f>
        <v>C..60</v>
      </c>
      <c r="M195" s="135" t="s">
        <v>1736</v>
      </c>
      <c r="N195" s="143" t="s">
        <v>57</v>
      </c>
      <c r="O195" s="140"/>
      <c r="P195" s="140"/>
    </row>
    <row r="196" s="81" customFormat="1" ht="30" customHeight="1" outlineLevel="1" spans="1:16">
      <c r="A196" s="134"/>
      <c r="B196" s="47"/>
      <c r="C196" s="39"/>
      <c r="D196" s="39"/>
      <c r="E196" s="47"/>
      <c r="F196" s="135" t="s">
        <v>1864</v>
      </c>
      <c r="G196" s="136" t="s">
        <v>1865</v>
      </c>
      <c r="H196" s="137" t="s">
        <v>1976</v>
      </c>
      <c r="I196" s="135" t="s">
        <v>282</v>
      </c>
      <c r="J196" s="136" t="str">
        <f>INDEX(数据元说明!A:F,MATCH(I196,数据元说明!C:C,0),2)</f>
        <v>001001</v>
      </c>
      <c r="K196" s="138" t="str">
        <f>INDEX(数据元说明!A:F,MATCH(I196,数据元说明!C:C,0),5)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96" s="136" t="str">
        <f>INDEX(数据元说明!A:F,MATCH(I196,数据元说明!C:C,0),6)</f>
        <v>C..400</v>
      </c>
      <c r="M196" s="135" t="s">
        <v>1600</v>
      </c>
      <c r="N196" s="143" t="s">
        <v>57</v>
      </c>
      <c r="O196" s="140"/>
      <c r="P196" s="140"/>
    </row>
    <row r="197" s="81" customFormat="1" ht="30" customHeight="1" outlineLevel="1" spans="1:16">
      <c r="A197" s="134"/>
      <c r="B197" s="47"/>
      <c r="C197" s="39"/>
      <c r="D197" s="39"/>
      <c r="E197" s="47"/>
      <c r="F197" s="135" t="s">
        <v>1977</v>
      </c>
      <c r="G197" s="136" t="s">
        <v>1978</v>
      </c>
      <c r="H197" s="137" t="s">
        <v>1979</v>
      </c>
      <c r="I197" s="135" t="s">
        <v>302</v>
      </c>
      <c r="J197" s="136" t="str">
        <f>INDEX(数据元说明!A:F,MATCH(I197,数据元说明!C:C,0),2)</f>
        <v>001005</v>
      </c>
      <c r="K197" s="138" t="str">
        <f>INDEX(数据元说明!A:F,MATCH(I197,数据元说明!C:C,0),5)</f>
        <v>YYYYMMDD，默认值99991231。</v>
      </c>
      <c r="L197" s="136" t="str">
        <f>INDEX(数据元说明!A:F,MATCH(I197,数据元说明!C:C,0),6)</f>
        <v>C8</v>
      </c>
      <c r="M197" s="135" t="s">
        <v>1587</v>
      </c>
      <c r="N197" s="143" t="s">
        <v>57</v>
      </c>
      <c r="O197" s="140"/>
      <c r="P197" s="140"/>
    </row>
    <row r="198" s="81" customFormat="1" ht="30" customHeight="1" outlineLevel="1" spans="1:16">
      <c r="A198" s="134"/>
      <c r="B198" s="47"/>
      <c r="C198" s="39"/>
      <c r="D198" s="39"/>
      <c r="E198" s="47"/>
      <c r="F198" s="135" t="s">
        <v>1980</v>
      </c>
      <c r="G198" s="136" t="s">
        <v>1981</v>
      </c>
      <c r="H198" s="137" t="s">
        <v>1982</v>
      </c>
      <c r="I198" s="135" t="s">
        <v>287</v>
      </c>
      <c r="J198" s="136" t="str">
        <f>INDEX(数据元说明!A:F,MATCH(I198,数据元说明!C:C,0),2)</f>
        <v>001002</v>
      </c>
      <c r="K198" s="138" t="str">
        <f>INDEX(数据元说明!A:F,MATCH(I198,数据元说明!C:C,0),5)</f>
        <v>是，否。</v>
      </c>
      <c r="L198" s="136" t="str">
        <f>INDEX(数据元说明!A:F,MATCH(I198,数据元说明!C:C,0),6)</f>
        <v>C3</v>
      </c>
      <c r="M198" s="135"/>
      <c r="N198" s="143" t="s">
        <v>57</v>
      </c>
      <c r="O198" s="140"/>
      <c r="P198" s="140"/>
    </row>
    <row r="199" s="81" customFormat="1" ht="30" customHeight="1" outlineLevel="1" spans="1:16">
      <c r="A199" s="134"/>
      <c r="B199" s="47"/>
      <c r="C199" s="39"/>
      <c r="D199" s="39"/>
      <c r="E199" s="47"/>
      <c r="F199" s="135" t="s">
        <v>1983</v>
      </c>
      <c r="G199" s="136" t="s">
        <v>1984</v>
      </c>
      <c r="H199" s="137" t="s">
        <v>1985</v>
      </c>
      <c r="I199" s="135" t="s">
        <v>282</v>
      </c>
      <c r="J199" s="136" t="str">
        <f>INDEX(数据元说明!A:F,MATCH(I199,数据元说明!C:C,0),2)</f>
        <v>001001</v>
      </c>
      <c r="K199" s="138" t="str">
        <f>INDEX(数据元说明!A:F,MATCH(I199,数据元说明!C:C,0),5)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99" s="136" t="str">
        <f>INDEX(数据元说明!A:F,MATCH(I199,数据元说明!C:C,0),6)</f>
        <v>C..400</v>
      </c>
      <c r="M199" s="138" t="s">
        <v>1986</v>
      </c>
      <c r="N199" s="143" t="s">
        <v>57</v>
      </c>
      <c r="O199" s="140"/>
      <c r="P199" s="140"/>
    </row>
    <row r="200" s="81" customFormat="1" ht="30" customHeight="1" outlineLevel="1" spans="1:16">
      <c r="A200" s="134"/>
      <c r="B200" s="47"/>
      <c r="C200" s="39"/>
      <c r="D200" s="39"/>
      <c r="E200" s="47"/>
      <c r="F200" s="135" t="s">
        <v>554</v>
      </c>
      <c r="G200" s="136" t="s">
        <v>1987</v>
      </c>
      <c r="H200" s="137" t="s">
        <v>1988</v>
      </c>
      <c r="I200" s="135" t="s">
        <v>554</v>
      </c>
      <c r="J200" s="136" t="str">
        <f>INDEX(数据元说明!A:F,MATCH(I200,数据元说明!C:C,0),2)</f>
        <v>002025</v>
      </c>
      <c r="K200" s="138" t="str">
        <f>INDEX(数据元说明!A:F,MATCH(I200,数据元说明!C:C,0),5)</f>
        <v>本部报表，合并报表，其他-银行自定义。无法以枚举类型填报的，以“其他-XX”填报，其中“XX”为银行自定义类型。</v>
      </c>
      <c r="L200" s="136" t="str">
        <f>INDEX(数据元说明!A:F,MATCH(I200,数据元说明!C:C,0),6)</f>
        <v>C..30</v>
      </c>
      <c r="M200" s="135"/>
      <c r="N200" s="143" t="s">
        <v>57</v>
      </c>
      <c r="O200" s="140"/>
      <c r="P200" s="140"/>
    </row>
    <row r="201" s="81" customFormat="1" ht="30" customHeight="1" outlineLevel="1" spans="1:16">
      <c r="A201" s="134"/>
      <c r="B201" s="47"/>
      <c r="C201" s="39"/>
      <c r="D201" s="39"/>
      <c r="E201" s="47"/>
      <c r="F201" s="135" t="s">
        <v>624</v>
      </c>
      <c r="G201" s="136" t="s">
        <v>1989</v>
      </c>
      <c r="H201" s="137" t="s">
        <v>1990</v>
      </c>
      <c r="I201" s="135" t="s">
        <v>624</v>
      </c>
      <c r="J201" s="136" t="str">
        <f>INDEX(数据元说明!A:F,MATCH(I201,数据元说明!C:C,0),2)</f>
        <v>003014</v>
      </c>
      <c r="K201" s="138" t="str">
        <f>INDEX(数据元说明!A:F,MATCH(I201,数据元说明!C:C,0),5)</f>
        <v>遵循《GB/T 12406 表示货币和资金的代码》的字母代码，如CNY。上述文件所列币种无法涵盖的，允许银行自定义填报。多个币种合计折算为人民币（本外币合计）的，填报为BWB。</v>
      </c>
      <c r="L201" s="136" t="str">
        <f>INDEX(数据元说明!A:F,MATCH(I201,数据元说明!C:C,0),6)</f>
        <v>C3</v>
      </c>
      <c r="M201" s="135"/>
      <c r="N201" s="143" t="s">
        <v>57</v>
      </c>
      <c r="O201" s="140"/>
      <c r="P201" s="140"/>
    </row>
    <row r="202" s="81" customFormat="1" ht="30" customHeight="1" outlineLevel="1" spans="1:16">
      <c r="A202" s="134"/>
      <c r="B202" s="47"/>
      <c r="C202" s="39"/>
      <c r="D202" s="39"/>
      <c r="E202" s="47"/>
      <c r="F202" s="135" t="s">
        <v>1991</v>
      </c>
      <c r="G202" s="136" t="s">
        <v>1992</v>
      </c>
      <c r="H202" s="137" t="s">
        <v>1993</v>
      </c>
      <c r="I202" s="135" t="s">
        <v>609</v>
      </c>
      <c r="J202" s="136" t="str">
        <f>INDEX(数据元说明!A:F,MATCH(I202,数据元说明!C:C,0),2)</f>
        <v>003010</v>
      </c>
      <c r="K202" s="138" t="str">
        <f>INDEX(数据元说明!A:F,MATCH(I202,数据元说明!C:C,0),5)</f>
        <v>与币种相对应金额。</v>
      </c>
      <c r="L202" s="136" t="str">
        <f>INDEX(数据元说明!A:F,MATCH(I202,数据元说明!C:C,0),6)</f>
        <v>D20.2</v>
      </c>
      <c r="M202" s="135"/>
      <c r="N202" s="143" t="s">
        <v>57</v>
      </c>
      <c r="O202" s="140"/>
      <c r="P202" s="140"/>
    </row>
    <row r="203" s="81" customFormat="1" ht="30" customHeight="1" outlineLevel="1" spans="1:16">
      <c r="A203" s="134"/>
      <c r="B203" s="47"/>
      <c r="C203" s="39"/>
      <c r="D203" s="39"/>
      <c r="E203" s="47"/>
      <c r="F203" s="135" t="s">
        <v>1994</v>
      </c>
      <c r="G203" s="136" t="s">
        <v>1995</v>
      </c>
      <c r="H203" s="137" t="s">
        <v>1996</v>
      </c>
      <c r="I203" s="135" t="s">
        <v>609</v>
      </c>
      <c r="J203" s="136" t="str">
        <f>INDEX(数据元说明!A:F,MATCH(I203,数据元说明!C:C,0),2)</f>
        <v>003010</v>
      </c>
      <c r="K203" s="138" t="str">
        <f>INDEX(数据元说明!A:F,MATCH(I203,数据元说明!C:C,0),5)</f>
        <v>与币种相对应金额。</v>
      </c>
      <c r="L203" s="136" t="str">
        <f>INDEX(数据元说明!A:F,MATCH(I203,数据元说明!C:C,0),6)</f>
        <v>D20.2</v>
      </c>
      <c r="M203" s="135"/>
      <c r="N203" s="143" t="s">
        <v>57</v>
      </c>
      <c r="O203" s="140"/>
      <c r="P203" s="140"/>
    </row>
    <row r="204" s="81" customFormat="1" ht="30" customHeight="1" outlineLevel="1" spans="1:16">
      <c r="A204" s="134"/>
      <c r="B204" s="47"/>
      <c r="C204" s="39"/>
      <c r="D204" s="39"/>
      <c r="E204" s="47"/>
      <c r="F204" s="135" t="s">
        <v>1997</v>
      </c>
      <c r="G204" s="136" t="s">
        <v>1998</v>
      </c>
      <c r="H204" s="137" t="s">
        <v>1999</v>
      </c>
      <c r="I204" s="135" t="s">
        <v>609</v>
      </c>
      <c r="J204" s="136" t="str">
        <f>INDEX(数据元说明!A:F,MATCH(I204,数据元说明!C:C,0),2)</f>
        <v>003010</v>
      </c>
      <c r="K204" s="138" t="str">
        <f>INDEX(数据元说明!A:F,MATCH(I204,数据元说明!C:C,0),5)</f>
        <v>与币种相对应金额。</v>
      </c>
      <c r="L204" s="136" t="str">
        <f>INDEX(数据元说明!A:F,MATCH(I204,数据元说明!C:C,0),6)</f>
        <v>D20.2</v>
      </c>
      <c r="M204" s="135"/>
      <c r="N204" s="143" t="s">
        <v>57</v>
      </c>
      <c r="O204" s="140"/>
      <c r="P204" s="140"/>
    </row>
    <row r="205" s="81" customFormat="1" ht="30" customHeight="1" outlineLevel="1" spans="1:16">
      <c r="A205" s="134"/>
      <c r="B205" s="47"/>
      <c r="C205" s="39"/>
      <c r="D205" s="39"/>
      <c r="E205" s="47"/>
      <c r="F205" s="135" t="s">
        <v>2000</v>
      </c>
      <c r="G205" s="136" t="s">
        <v>2001</v>
      </c>
      <c r="H205" s="137" t="s">
        <v>2002</v>
      </c>
      <c r="I205" s="135" t="s">
        <v>609</v>
      </c>
      <c r="J205" s="136" t="str">
        <f>INDEX(数据元说明!A:F,MATCH(I205,数据元说明!C:C,0),2)</f>
        <v>003010</v>
      </c>
      <c r="K205" s="138" t="str">
        <f>INDEX(数据元说明!A:F,MATCH(I205,数据元说明!C:C,0),5)</f>
        <v>与币种相对应金额。</v>
      </c>
      <c r="L205" s="136" t="str">
        <f>INDEX(数据元说明!A:F,MATCH(I205,数据元说明!C:C,0),6)</f>
        <v>D20.2</v>
      </c>
      <c r="M205" s="135"/>
      <c r="N205" s="143" t="s">
        <v>57</v>
      </c>
      <c r="O205" s="140"/>
      <c r="P205" s="140"/>
    </row>
    <row r="206" s="81" customFormat="1" ht="30" customHeight="1" outlineLevel="1" spans="1:16">
      <c r="A206" s="134"/>
      <c r="B206" s="47"/>
      <c r="C206" s="39"/>
      <c r="D206" s="39"/>
      <c r="E206" s="47"/>
      <c r="F206" s="135" t="s">
        <v>2003</v>
      </c>
      <c r="G206" s="136" t="s">
        <v>2004</v>
      </c>
      <c r="H206" s="137" t="s">
        <v>2005</v>
      </c>
      <c r="I206" s="135" t="s">
        <v>609</v>
      </c>
      <c r="J206" s="136" t="str">
        <f>INDEX(数据元说明!A:F,MATCH(I206,数据元说明!C:C,0),2)</f>
        <v>003010</v>
      </c>
      <c r="K206" s="138" t="str">
        <f>INDEX(数据元说明!A:F,MATCH(I206,数据元说明!C:C,0),5)</f>
        <v>与币种相对应金额。</v>
      </c>
      <c r="L206" s="136" t="str">
        <f>INDEX(数据元说明!A:F,MATCH(I206,数据元说明!C:C,0),6)</f>
        <v>D20.2</v>
      </c>
      <c r="M206" s="135"/>
      <c r="N206" s="143" t="s">
        <v>57</v>
      </c>
      <c r="O206" s="140"/>
      <c r="P206" s="140"/>
    </row>
    <row r="207" s="81" customFormat="1" ht="30" customHeight="1" outlineLevel="1" spans="1:16">
      <c r="A207" s="134"/>
      <c r="B207" s="47"/>
      <c r="C207" s="39"/>
      <c r="D207" s="39"/>
      <c r="E207" s="47"/>
      <c r="F207" s="135" t="s">
        <v>2006</v>
      </c>
      <c r="G207" s="136" t="s">
        <v>2007</v>
      </c>
      <c r="H207" s="137" t="s">
        <v>2008</v>
      </c>
      <c r="I207" s="135" t="s">
        <v>609</v>
      </c>
      <c r="J207" s="136" t="str">
        <f>INDEX(数据元说明!A:F,MATCH(I207,数据元说明!C:C,0),2)</f>
        <v>003010</v>
      </c>
      <c r="K207" s="138" t="str">
        <f>INDEX(数据元说明!A:F,MATCH(I207,数据元说明!C:C,0),5)</f>
        <v>与币种相对应金额。</v>
      </c>
      <c r="L207" s="136" t="str">
        <f>INDEX(数据元说明!A:F,MATCH(I207,数据元说明!C:C,0),6)</f>
        <v>D20.2</v>
      </c>
      <c r="M207" s="135"/>
      <c r="N207" s="143" t="s">
        <v>57</v>
      </c>
      <c r="O207" s="140"/>
      <c r="P207" s="140"/>
    </row>
    <row r="208" s="81" customFormat="1" ht="30" customHeight="1" outlineLevel="1" spans="1:16">
      <c r="A208" s="134"/>
      <c r="B208" s="47"/>
      <c r="C208" s="39"/>
      <c r="D208" s="39"/>
      <c r="E208" s="47"/>
      <c r="F208" s="135" t="s">
        <v>2009</v>
      </c>
      <c r="G208" s="136" t="s">
        <v>2010</v>
      </c>
      <c r="H208" s="137" t="s">
        <v>2011</v>
      </c>
      <c r="I208" s="135" t="s">
        <v>609</v>
      </c>
      <c r="J208" s="136" t="str">
        <f>INDEX(数据元说明!A:F,MATCH(I208,数据元说明!C:C,0),2)</f>
        <v>003010</v>
      </c>
      <c r="K208" s="138" t="str">
        <f>INDEX(数据元说明!A:F,MATCH(I208,数据元说明!C:C,0),5)</f>
        <v>与币种相对应金额。</v>
      </c>
      <c r="L208" s="136" t="str">
        <f>INDEX(数据元说明!A:F,MATCH(I208,数据元说明!C:C,0),6)</f>
        <v>D20.2</v>
      </c>
      <c r="M208" s="135"/>
      <c r="N208" s="143" t="s">
        <v>57</v>
      </c>
      <c r="O208" s="140"/>
      <c r="P208" s="140"/>
    </row>
    <row r="209" s="81" customFormat="1" ht="30" customHeight="1" outlineLevel="1" spans="1:16">
      <c r="A209" s="134"/>
      <c r="B209" s="47"/>
      <c r="C209" s="39"/>
      <c r="D209" s="39"/>
      <c r="E209" s="47"/>
      <c r="F209" s="135" t="s">
        <v>2012</v>
      </c>
      <c r="G209" s="136" t="s">
        <v>2013</v>
      </c>
      <c r="H209" s="137" t="s">
        <v>2014</v>
      </c>
      <c r="I209" s="135" t="s">
        <v>609</v>
      </c>
      <c r="J209" s="136" t="str">
        <f>INDEX(数据元说明!A:F,MATCH(I209,数据元说明!C:C,0),2)</f>
        <v>003010</v>
      </c>
      <c r="K209" s="138" t="str">
        <f>INDEX(数据元说明!A:F,MATCH(I209,数据元说明!C:C,0),5)</f>
        <v>与币种相对应金额。</v>
      </c>
      <c r="L209" s="136" t="str">
        <f>INDEX(数据元说明!A:F,MATCH(I209,数据元说明!C:C,0),6)</f>
        <v>D20.2</v>
      </c>
      <c r="M209" s="135"/>
      <c r="N209" s="143" t="s">
        <v>57</v>
      </c>
      <c r="O209" s="140"/>
      <c r="P209" s="140"/>
    </row>
    <row r="210" s="81" customFormat="1" ht="30" customHeight="1" outlineLevel="1" spans="1:16">
      <c r="A210" s="134"/>
      <c r="B210" s="47"/>
      <c r="C210" s="39"/>
      <c r="D210" s="39"/>
      <c r="E210" s="47"/>
      <c r="F210" s="135" t="s">
        <v>2015</v>
      </c>
      <c r="G210" s="136" t="s">
        <v>2016</v>
      </c>
      <c r="H210" s="137" t="s">
        <v>2017</v>
      </c>
      <c r="I210" s="135" t="s">
        <v>609</v>
      </c>
      <c r="J210" s="136" t="str">
        <f>INDEX(数据元说明!A:F,MATCH(I210,数据元说明!C:C,0),2)</f>
        <v>003010</v>
      </c>
      <c r="K210" s="138" t="str">
        <f>INDEX(数据元说明!A:F,MATCH(I210,数据元说明!C:C,0),5)</f>
        <v>与币种相对应金额。</v>
      </c>
      <c r="L210" s="136" t="str">
        <f>INDEX(数据元说明!A:F,MATCH(I210,数据元说明!C:C,0),6)</f>
        <v>D20.2</v>
      </c>
      <c r="M210" s="135"/>
      <c r="N210" s="143" t="s">
        <v>57</v>
      </c>
      <c r="O210" s="140"/>
      <c r="P210" s="140"/>
    </row>
    <row r="211" s="81" customFormat="1" ht="30" customHeight="1" outlineLevel="1" spans="1:16">
      <c r="A211" s="134"/>
      <c r="B211" s="47"/>
      <c r="C211" s="39"/>
      <c r="D211" s="39"/>
      <c r="E211" s="47"/>
      <c r="F211" s="135" t="s">
        <v>2018</v>
      </c>
      <c r="G211" s="136" t="s">
        <v>2019</v>
      </c>
      <c r="H211" s="137" t="s">
        <v>2020</v>
      </c>
      <c r="I211" s="135" t="s">
        <v>689</v>
      </c>
      <c r="J211" s="136" t="str">
        <f>INDEX(数据元说明!A:F,MATCH(I211,数据元说明!C:C,0),2)</f>
        <v>003030</v>
      </c>
      <c r="K211" s="138" t="str">
        <f>INDEX(数据元说明!A:F,MATCH(I211,数据元说明!C:C,0),5)</f>
        <v>日报，月报，季报，半年报，年报，其他-银行自定义。无法以枚举类型填报的，以“其他-XX”填报，其中“XX”为银行自定义类型。</v>
      </c>
      <c r="L211" s="136" t="str">
        <f>INDEX(数据元说明!A:F,MATCH(I211,数据元说明!C:C,0),6)</f>
        <v>C..20</v>
      </c>
      <c r="M211" s="135"/>
      <c r="N211" s="143" t="s">
        <v>57</v>
      </c>
      <c r="O211" s="140"/>
      <c r="P211" s="140"/>
    </row>
    <row r="212" s="81" customFormat="1" ht="30" customHeight="1" outlineLevel="1" spans="1:16">
      <c r="A212" s="134"/>
      <c r="B212" s="47"/>
      <c r="C212" s="39"/>
      <c r="D212" s="39"/>
      <c r="E212" s="47"/>
      <c r="F212" s="169" t="s">
        <v>449</v>
      </c>
      <c r="G212" s="148" t="s">
        <v>1571</v>
      </c>
      <c r="H212" s="148" t="s">
        <v>2021</v>
      </c>
      <c r="I212" s="169" t="s">
        <v>449</v>
      </c>
      <c r="J212" s="170" t="str">
        <f>INDEX(数据元说明!A:F,MATCH(I212,数据元说明!C:C,0),2)</f>
        <v>001040</v>
      </c>
      <c r="K212" s="171" t="str">
        <f>INDEX(数据元说明!A:F,MATCH(I212,数据元说明!C:C,0),5)</f>
        <v>银行自定义。</v>
      </c>
      <c r="L212" s="170" t="str">
        <f>INDEX(数据元说明!A:F,MATCH(I212,数据元说明!C:C,0),6)</f>
        <v>C..600</v>
      </c>
      <c r="M212" s="196" t="s">
        <v>1573</v>
      </c>
      <c r="N212" s="143" t="s">
        <v>57</v>
      </c>
      <c r="O212" s="173"/>
      <c r="P212" s="173"/>
    </row>
    <row r="213" s="81" customFormat="1" ht="30" customHeight="1" outlineLevel="1" spans="1:16">
      <c r="A213" s="134"/>
      <c r="B213" s="47"/>
      <c r="C213" s="39"/>
      <c r="D213" s="39"/>
      <c r="E213" s="47"/>
      <c r="F213" s="135" t="s">
        <v>1574</v>
      </c>
      <c r="G213" s="136" t="s">
        <v>1575</v>
      </c>
      <c r="H213" s="137" t="s">
        <v>2022</v>
      </c>
      <c r="I213" s="135" t="s">
        <v>302</v>
      </c>
      <c r="J213" s="136" t="str">
        <f>INDEX(数据元说明!A:F,MATCH(I213,数据元说明!C:C,0),2)</f>
        <v>001005</v>
      </c>
      <c r="K213" s="138" t="str">
        <f>INDEX(数据元说明!A:F,MATCH(I213,数据元说明!C:C,0),5)</f>
        <v>YYYYMMDD，默认值99991231。</v>
      </c>
      <c r="L213" s="136" t="str">
        <f>INDEX(数据元说明!A:F,MATCH(I213,数据元说明!C:C,0),6)</f>
        <v>C8</v>
      </c>
      <c r="M213" s="135" t="s">
        <v>1577</v>
      </c>
      <c r="N213" s="143" t="s">
        <v>57</v>
      </c>
      <c r="O213" s="140"/>
      <c r="P213" s="140"/>
    </row>
    <row r="214" s="84" customFormat="1" ht="30" customHeight="1" outlineLevel="1" spans="1:16">
      <c r="A214" s="188"/>
      <c r="B214" s="190"/>
      <c r="C214" s="190" t="s">
        <v>58</v>
      </c>
      <c r="D214" s="191" t="s">
        <v>59</v>
      </c>
      <c r="E214" s="192" t="s">
        <v>2023</v>
      </c>
      <c r="F214" s="197"/>
      <c r="G214" s="190"/>
      <c r="H214" s="192"/>
      <c r="I214" s="197"/>
      <c r="J214" s="190"/>
      <c r="K214" s="197"/>
      <c r="L214" s="190"/>
      <c r="M214" s="193" t="str">
        <f>INDEX(表结构总览!E:H,MATCH(D214,表结构总览!E:E,0),4)</f>
        <v>报送在本行纳入集团授信的客户信息，包括供应链客户信息。以集团成员为最小粒度报送。同业集团客户信息无需报送。</v>
      </c>
      <c r="N214" s="190" t="s">
        <v>57</v>
      </c>
      <c r="O214" s="190"/>
      <c r="P214" s="190"/>
    </row>
    <row r="215" s="61" customFormat="1" ht="30" customHeight="1" outlineLevel="1" spans="1:16">
      <c r="A215" s="130"/>
      <c r="B215" s="36"/>
      <c r="C215" s="25"/>
      <c r="D215" s="25"/>
      <c r="E215" s="36"/>
      <c r="F215" s="135" t="s">
        <v>325</v>
      </c>
      <c r="G215" s="136" t="s">
        <v>1520</v>
      </c>
      <c r="H215" s="137" t="s">
        <v>2024</v>
      </c>
      <c r="I215" s="135" t="s">
        <v>325</v>
      </c>
      <c r="J215" s="136" t="str">
        <f>INDEX(数据元说明!A:F,MATCH(I215,数据元说明!C:C,0),2)</f>
        <v>001010</v>
      </c>
      <c r="K215" s="138" t="str">
        <f>INDEX(数据元说明!A:F,MATCH(I215,数据元说明!C:C,0),5)</f>
        <v>12位人行支付行号或SWIFT行号。</v>
      </c>
      <c r="L215" s="136" t="str">
        <f>INDEX(数据元说明!A:F,MATCH(I215,数据元说明!C:C,0),6)</f>
        <v>C..30</v>
      </c>
      <c r="M215" s="138" t="s">
        <v>1728</v>
      </c>
      <c r="N215" s="143" t="s">
        <v>57</v>
      </c>
      <c r="O215" s="99"/>
      <c r="P215" s="99"/>
    </row>
    <row r="216" s="81" customFormat="1" ht="30" customHeight="1" outlineLevel="1" spans="1:16">
      <c r="A216" s="134"/>
      <c r="B216" s="47"/>
      <c r="C216" s="39"/>
      <c r="D216" s="39"/>
      <c r="E216" s="47"/>
      <c r="F216" s="135" t="s">
        <v>329</v>
      </c>
      <c r="G216" s="136" t="s">
        <v>1526</v>
      </c>
      <c r="H216" s="137" t="s">
        <v>2025</v>
      </c>
      <c r="I216" s="135" t="s">
        <v>329</v>
      </c>
      <c r="J216" s="136" t="str">
        <f>INDEX(数据元说明!A:F,MATCH(I216,数据元说明!C:C,0),2)</f>
        <v>001011</v>
      </c>
      <c r="K216" s="138" t="str">
        <f>INDEX(数据元说明!A:F,MATCH(I216,数据元说明!C:C,0),5)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16" s="136" t="str">
        <f>INDEX(数据元说明!A:F,MATCH(I216,数据元说明!C:C,0),6)</f>
        <v>C..30</v>
      </c>
      <c r="M216" s="138" t="s">
        <v>1730</v>
      </c>
      <c r="N216" s="129" t="s">
        <v>25</v>
      </c>
      <c r="O216" s="129" t="s">
        <v>449</v>
      </c>
      <c r="P216" s="139"/>
    </row>
    <row r="217" s="61" customFormat="1" ht="30" customHeight="1" outlineLevel="1" spans="1:16">
      <c r="A217" s="130"/>
      <c r="B217" s="36"/>
      <c r="C217" s="25"/>
      <c r="D217" s="25"/>
      <c r="E217" s="36"/>
      <c r="F217" s="135" t="s">
        <v>333</v>
      </c>
      <c r="G217" s="136" t="s">
        <v>1523</v>
      </c>
      <c r="H217" s="137" t="s">
        <v>2026</v>
      </c>
      <c r="I217" s="135" t="s">
        <v>333</v>
      </c>
      <c r="J217" s="136" t="str">
        <f>INDEX(数据元说明!A:F,MATCH(I217,数据元说明!C:C,0),2)</f>
        <v>001012</v>
      </c>
      <c r="K217" s="138" t="str">
        <f>INDEX(数据元说明!A:F,MATCH(I217,数据元说明!C:C,0),5)</f>
        <v>银行内部机构号。应具有标识机构的唯一性。</v>
      </c>
      <c r="L217" s="198" t="str">
        <f>INDEX(数据元说明!A:F,MATCH(I217,数据元说明!C:C,0),6)</f>
        <v>C..30</v>
      </c>
      <c r="M217" s="138" t="s">
        <v>1732</v>
      </c>
      <c r="N217" s="143" t="s">
        <v>57</v>
      </c>
      <c r="O217" s="136"/>
      <c r="P217" s="99"/>
    </row>
    <row r="218" s="61" customFormat="1" ht="30" customHeight="1" outlineLevel="1" spans="1:16">
      <c r="A218" s="130"/>
      <c r="B218" s="36"/>
      <c r="C218" s="25"/>
      <c r="D218" s="25"/>
      <c r="E218" s="36"/>
      <c r="F218" s="135" t="s">
        <v>1532</v>
      </c>
      <c r="G218" s="136" t="s">
        <v>1533</v>
      </c>
      <c r="H218" s="137" t="s">
        <v>2027</v>
      </c>
      <c r="I218" s="135" t="s">
        <v>282</v>
      </c>
      <c r="J218" s="136" t="str">
        <f>INDEX(数据元说明!A:F,MATCH(I218,数据元说明!C:C,0),2)</f>
        <v>001001</v>
      </c>
      <c r="K218" s="138" t="str">
        <f>INDEX(数据元说明!A:F,MATCH(I218,数据元说明!C:C,0),5)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18" s="198" t="str">
        <f>INDEX(数据元说明!A:F,MATCH(I218,数据元说明!C:C,0),6)</f>
        <v>C..400</v>
      </c>
      <c r="M218" s="138" t="s">
        <v>1734</v>
      </c>
      <c r="N218" s="143" t="s">
        <v>57</v>
      </c>
      <c r="O218" s="136"/>
      <c r="P218" s="99"/>
    </row>
    <row r="219" s="61" customFormat="1" ht="30" customHeight="1" outlineLevel="1" spans="1:16">
      <c r="A219" s="130"/>
      <c r="B219" s="36"/>
      <c r="C219" s="25"/>
      <c r="D219" s="25"/>
      <c r="E219" s="36"/>
      <c r="F219" s="135" t="s">
        <v>558</v>
      </c>
      <c r="G219" s="136" t="s">
        <v>2028</v>
      </c>
      <c r="H219" s="137" t="s">
        <v>2029</v>
      </c>
      <c r="I219" s="135" t="s">
        <v>558</v>
      </c>
      <c r="J219" s="136" t="str">
        <f>INDEX(数据元说明!A:F,MATCH(I219,数据元说明!C:C,0),2)</f>
        <v>002026</v>
      </c>
      <c r="K219" s="138" t="str">
        <f>INDEX(数据元说明!A:F,MATCH(I219,数据元说明!C:C,0),5)</f>
        <v>银行为统一管理，根据既定规则生成并分配给集团客户作为唯一识别的编号。</v>
      </c>
      <c r="L219" s="198" t="str">
        <f>INDEX(数据元说明!A:F,MATCH(I219,数据元说明!C:C,0),6)</f>
        <v>C..60</v>
      </c>
      <c r="M219" s="138" t="s">
        <v>2030</v>
      </c>
      <c r="N219" s="143" t="s">
        <v>57</v>
      </c>
      <c r="O219" s="136"/>
      <c r="P219" s="99"/>
    </row>
    <row r="220" s="61" customFormat="1" ht="30" customHeight="1" outlineLevel="1" spans="1:16">
      <c r="A220" s="130"/>
      <c r="B220" s="36"/>
      <c r="C220" s="25"/>
      <c r="D220" s="25"/>
      <c r="E220" s="36"/>
      <c r="F220" s="135" t="s">
        <v>2031</v>
      </c>
      <c r="G220" s="136" t="s">
        <v>2032</v>
      </c>
      <c r="H220" s="137" t="s">
        <v>2033</v>
      </c>
      <c r="I220" s="135" t="s">
        <v>282</v>
      </c>
      <c r="J220" s="136" t="str">
        <f>INDEX(数据元说明!A:F,MATCH(I220,数据元说明!C:C,0),2)</f>
        <v>001001</v>
      </c>
      <c r="K220" s="138" t="str">
        <f>INDEX(数据元说明!A:F,MATCH(I220,数据元说明!C:C,0),5)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20" s="198" t="str">
        <f>INDEX(数据元说明!A:F,MATCH(I220,数据元说明!C:C,0),6)</f>
        <v>C..400</v>
      </c>
      <c r="M220" s="138"/>
      <c r="N220" s="143" t="s">
        <v>57</v>
      </c>
      <c r="O220" s="136"/>
      <c r="P220" s="99"/>
    </row>
    <row r="221" s="61" customFormat="1" ht="30" customHeight="1" outlineLevel="1" spans="1:16">
      <c r="A221" s="130"/>
      <c r="B221" s="36"/>
      <c r="C221" s="25"/>
      <c r="D221" s="25"/>
      <c r="E221" s="36"/>
      <c r="F221" s="135" t="s">
        <v>2034</v>
      </c>
      <c r="G221" s="136" t="s">
        <v>2035</v>
      </c>
      <c r="H221" s="137" t="s">
        <v>2036</v>
      </c>
      <c r="I221" s="135" t="s">
        <v>453</v>
      </c>
      <c r="J221" s="136" t="str">
        <f>INDEX(数据元说明!A:F,MATCH(I221,数据元说明!C:C,0),2)</f>
        <v>002001</v>
      </c>
      <c r="K221" s="138" t="str">
        <f>INDEX(数据元说明!A:F,MATCH(I221,数据元说明!C:C,0),5)</f>
        <v>银行自定义的唯一识别客户的标识。供应链融资的填写供应链融资编码。</v>
      </c>
      <c r="L221" s="198" t="str">
        <f>INDEX(数据元说明!A:F,MATCH(I221,数据元说明!C:C,0),6)</f>
        <v>C..60</v>
      </c>
      <c r="M221" s="138" t="s">
        <v>2037</v>
      </c>
      <c r="N221" s="143" t="s">
        <v>57</v>
      </c>
      <c r="O221" s="136"/>
      <c r="P221" s="99"/>
    </row>
    <row r="222" s="61" customFormat="1" ht="30" customHeight="1" outlineLevel="1" spans="1:16">
      <c r="A222" s="130"/>
      <c r="B222" s="36"/>
      <c r="C222" s="25"/>
      <c r="D222" s="25"/>
      <c r="E222" s="36"/>
      <c r="F222" s="135" t="s">
        <v>2038</v>
      </c>
      <c r="G222" s="136" t="s">
        <v>2039</v>
      </c>
      <c r="H222" s="137" t="s">
        <v>2040</v>
      </c>
      <c r="I222" s="135" t="s">
        <v>282</v>
      </c>
      <c r="J222" s="136" t="str">
        <f>INDEX(数据元说明!A:F,MATCH(I222,数据元说明!C:C,0),2)</f>
        <v>001001</v>
      </c>
      <c r="K222" s="138" t="str">
        <f>INDEX(数据元说明!A:F,MATCH(I222,数据元说明!C:C,0),5)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22" s="198" t="str">
        <f>INDEX(数据元说明!A:F,MATCH(I222,数据元说明!C:C,0),6)</f>
        <v>C..400</v>
      </c>
      <c r="M222" s="138" t="s">
        <v>2041</v>
      </c>
      <c r="N222" s="143" t="s">
        <v>57</v>
      </c>
      <c r="O222" s="136"/>
      <c r="P222" s="99"/>
    </row>
    <row r="223" s="61" customFormat="1" ht="30" customHeight="1" outlineLevel="1" spans="1:16">
      <c r="A223" s="130"/>
      <c r="B223" s="36"/>
      <c r="C223" s="25"/>
      <c r="D223" s="25"/>
      <c r="E223" s="36"/>
      <c r="F223" s="135" t="s">
        <v>2042</v>
      </c>
      <c r="G223" s="136" t="s">
        <v>2043</v>
      </c>
      <c r="H223" s="137" t="s">
        <v>2044</v>
      </c>
      <c r="I223" s="135" t="s">
        <v>282</v>
      </c>
      <c r="J223" s="136" t="str">
        <f>INDEX(数据元说明!A:F,MATCH(I223,数据元说明!C:C,0),2)</f>
        <v>001001</v>
      </c>
      <c r="K223" s="138" t="str">
        <f>INDEX(数据元说明!A:F,MATCH(I223,数据元说明!C:C,0),5)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23" s="198" t="str">
        <f>INDEX(数据元说明!A:F,MATCH(I223,数据元说明!C:C,0),6)</f>
        <v>C..400</v>
      </c>
      <c r="M223" s="138" t="s">
        <v>2045</v>
      </c>
      <c r="N223" s="143" t="s">
        <v>57</v>
      </c>
      <c r="O223" s="136"/>
      <c r="P223" s="99"/>
    </row>
    <row r="224" s="61" customFormat="1" ht="30" customHeight="1" outlineLevel="1" spans="1:16">
      <c r="A224" s="130"/>
      <c r="B224" s="36"/>
      <c r="C224" s="25"/>
      <c r="D224" s="25"/>
      <c r="E224" s="36"/>
      <c r="F224" s="135" t="s">
        <v>2046</v>
      </c>
      <c r="G224" s="136" t="s">
        <v>2047</v>
      </c>
      <c r="H224" s="137" t="s">
        <v>2048</v>
      </c>
      <c r="I224" s="135" t="s">
        <v>562</v>
      </c>
      <c r="J224" s="136" t="str">
        <f>INDEX(数据元说明!A:F,MATCH(I224,数据元说明!C:C,0),2)</f>
        <v>002027</v>
      </c>
      <c r="K224" s="138" t="str">
        <f>INDEX(数据元说明!A:F,MATCH(I224,数据元说明!C:C,0),5)</f>
        <v>自然人，纯国有企业，国有控股企业，国有参股企业，民营企业，政府机关，事业单位，社会团体，境外机构，其他-银行自定义。无法以枚举类型填报的，以“其他-XX”填报，其中“XX”为银行自定义类型。</v>
      </c>
      <c r="L224" s="198" t="str">
        <f>INDEX(数据元说明!A:F,MATCH(I224,数据元说明!C:C,0),6)</f>
        <v>C..60</v>
      </c>
      <c r="M224" s="138"/>
      <c r="N224" s="143" t="s">
        <v>57</v>
      </c>
      <c r="O224" s="136"/>
      <c r="P224" s="99"/>
    </row>
    <row r="225" s="61" customFormat="1" ht="30" customHeight="1" outlineLevel="1" spans="1:16">
      <c r="A225" s="130"/>
      <c r="B225" s="36"/>
      <c r="C225" s="25"/>
      <c r="D225" s="25"/>
      <c r="E225" s="36"/>
      <c r="F225" s="135" t="s">
        <v>624</v>
      </c>
      <c r="G225" s="136" t="s">
        <v>1989</v>
      </c>
      <c r="H225" s="137" t="s">
        <v>2049</v>
      </c>
      <c r="I225" s="135" t="s">
        <v>624</v>
      </c>
      <c r="J225" s="136" t="str">
        <f>INDEX(数据元说明!A:F,MATCH(I225,数据元说明!C:C,0),2)</f>
        <v>003014</v>
      </c>
      <c r="K225" s="138" t="str">
        <f>INDEX(数据元说明!A:F,MATCH(I225,数据元说明!C:C,0),5)</f>
        <v>遵循《GB/T 12406 表示货币和资金的代码》的字母代码，如CNY。上述文件所列币种无法涵盖的，允许银行自定义填报。多个币种合计折算为人民币（本外币合计）的，填报为BWB。</v>
      </c>
      <c r="L225" s="198" t="str">
        <f>INDEX(数据元说明!A:F,MATCH(I225,数据元说明!C:C,0),6)</f>
        <v>C3</v>
      </c>
      <c r="M225" s="138"/>
      <c r="N225" s="143" t="s">
        <v>57</v>
      </c>
      <c r="O225" s="136"/>
      <c r="P225" s="99"/>
    </row>
    <row r="226" s="61" customFormat="1" ht="30" customHeight="1" outlineLevel="1" spans="1:16">
      <c r="A226" s="130"/>
      <c r="B226" s="36"/>
      <c r="C226" s="25"/>
      <c r="D226" s="25"/>
      <c r="E226" s="36"/>
      <c r="F226" s="135" t="s">
        <v>2050</v>
      </c>
      <c r="G226" s="136" t="s">
        <v>2051</v>
      </c>
      <c r="H226" s="137" t="s">
        <v>2052</v>
      </c>
      <c r="I226" s="135" t="s">
        <v>609</v>
      </c>
      <c r="J226" s="136" t="str">
        <f>INDEX(数据元说明!A:F,MATCH(I226,数据元说明!C:C,0),2)</f>
        <v>003010</v>
      </c>
      <c r="K226" s="138" t="str">
        <f>INDEX(数据元说明!A:F,MATCH(I226,数据元说明!C:C,0),5)</f>
        <v>与币种相对应金额。</v>
      </c>
      <c r="L226" s="198" t="str">
        <f>INDEX(数据元说明!A:F,MATCH(I226,数据元说明!C:C,0),6)</f>
        <v>D20.2</v>
      </c>
      <c r="M226" s="138" t="s">
        <v>2053</v>
      </c>
      <c r="N226" s="143" t="s">
        <v>57</v>
      </c>
      <c r="O226" s="136"/>
      <c r="P226" s="99"/>
    </row>
    <row r="227" s="61" customFormat="1" ht="30" customHeight="1" outlineLevel="1" spans="1:16">
      <c r="A227" s="130"/>
      <c r="B227" s="36"/>
      <c r="C227" s="25"/>
      <c r="D227" s="25"/>
      <c r="E227" s="36"/>
      <c r="F227" s="135" t="s">
        <v>2054</v>
      </c>
      <c r="G227" s="136" t="s">
        <v>2055</v>
      </c>
      <c r="H227" s="137" t="s">
        <v>2056</v>
      </c>
      <c r="I227" s="135" t="s">
        <v>609</v>
      </c>
      <c r="J227" s="136" t="str">
        <f>INDEX(数据元说明!A:F,MATCH(I227,数据元说明!C:C,0),2)</f>
        <v>003010</v>
      </c>
      <c r="K227" s="138" t="str">
        <f>INDEX(数据元说明!A:F,MATCH(I227,数据元说明!C:C,0),5)</f>
        <v>与币种相对应金额。</v>
      </c>
      <c r="L227" s="198" t="str">
        <f>INDEX(数据元说明!A:F,MATCH(I227,数据元说明!C:C,0),6)</f>
        <v>D20.2</v>
      </c>
      <c r="M227" s="138" t="s">
        <v>2057</v>
      </c>
      <c r="N227" s="143" t="s">
        <v>57</v>
      </c>
      <c r="O227" s="136"/>
      <c r="P227" s="99"/>
    </row>
    <row r="228" s="61" customFormat="1" ht="30" customHeight="1" outlineLevel="1" spans="1:16">
      <c r="A228" s="130"/>
      <c r="B228" s="36"/>
      <c r="C228" s="25"/>
      <c r="D228" s="25"/>
      <c r="E228" s="36"/>
      <c r="F228" s="135" t="s">
        <v>2058</v>
      </c>
      <c r="G228" s="136" t="s">
        <v>2059</v>
      </c>
      <c r="H228" s="137" t="s">
        <v>2060</v>
      </c>
      <c r="I228" s="135" t="s">
        <v>609</v>
      </c>
      <c r="J228" s="136" t="str">
        <f>INDEX(数据元说明!A:F,MATCH(I228,数据元说明!C:C,0),2)</f>
        <v>003010</v>
      </c>
      <c r="K228" s="138" t="str">
        <f>INDEX(数据元说明!A:F,MATCH(I228,数据元说明!C:C,0),5)</f>
        <v>与币种相对应金额。</v>
      </c>
      <c r="L228" s="198" t="str">
        <f>INDEX(数据元说明!A:F,MATCH(I228,数据元说明!C:C,0),6)</f>
        <v>D20.2</v>
      </c>
      <c r="M228" s="138" t="s">
        <v>2061</v>
      </c>
      <c r="N228" s="143" t="s">
        <v>57</v>
      </c>
      <c r="O228" s="136"/>
      <c r="P228" s="99"/>
    </row>
    <row r="229" s="61" customFormat="1" ht="30" customHeight="1" outlineLevel="1" spans="1:16">
      <c r="A229" s="130"/>
      <c r="B229" s="36"/>
      <c r="C229" s="25"/>
      <c r="D229" s="25"/>
      <c r="E229" s="36"/>
      <c r="F229" s="135" t="s">
        <v>2062</v>
      </c>
      <c r="G229" s="136" t="s">
        <v>2063</v>
      </c>
      <c r="H229" s="137" t="s">
        <v>2064</v>
      </c>
      <c r="I229" s="135" t="s">
        <v>609</v>
      </c>
      <c r="J229" s="136" t="str">
        <f>INDEX(数据元说明!A:F,MATCH(I229,数据元说明!C:C,0),2)</f>
        <v>003010</v>
      </c>
      <c r="K229" s="138" t="str">
        <f>INDEX(数据元说明!A:F,MATCH(I229,数据元说明!C:C,0),5)</f>
        <v>与币种相对应金额。</v>
      </c>
      <c r="L229" s="198" t="str">
        <f>INDEX(数据元说明!A:F,MATCH(I229,数据元说明!C:C,0),6)</f>
        <v>D20.2</v>
      </c>
      <c r="M229" s="138" t="s">
        <v>2065</v>
      </c>
      <c r="N229" s="143" t="s">
        <v>57</v>
      </c>
      <c r="O229" s="136"/>
      <c r="P229" s="99"/>
    </row>
    <row r="230" s="61" customFormat="1" ht="30" customHeight="1" outlineLevel="1" spans="1:16">
      <c r="A230" s="130"/>
      <c r="B230" s="36"/>
      <c r="C230" s="25"/>
      <c r="D230" s="25"/>
      <c r="E230" s="36"/>
      <c r="F230" s="135" t="s">
        <v>2066</v>
      </c>
      <c r="G230" s="136" t="s">
        <v>2067</v>
      </c>
      <c r="H230" s="137" t="s">
        <v>2068</v>
      </c>
      <c r="I230" s="135" t="s">
        <v>453</v>
      </c>
      <c r="J230" s="136" t="str">
        <f>INDEX(数据元说明!A:F,MATCH(I230,数据元说明!C:C,0),2)</f>
        <v>002001</v>
      </c>
      <c r="K230" s="138" t="str">
        <f>INDEX(数据元说明!A:F,MATCH(I230,数据元说明!C:C,0),5)</f>
        <v>银行自定义的唯一识别客户的标识。供应链融资的填写供应链融资编码。</v>
      </c>
      <c r="L230" s="198" t="str">
        <f>INDEX(数据元说明!A:F,MATCH(I230,数据元说明!C:C,0),6)</f>
        <v>C..60</v>
      </c>
      <c r="M230" s="138" t="s">
        <v>2069</v>
      </c>
      <c r="N230" s="143" t="s">
        <v>57</v>
      </c>
      <c r="O230" s="136"/>
      <c r="P230" s="99"/>
    </row>
    <row r="231" s="61" customFormat="1" ht="30" customHeight="1" outlineLevel="1" spans="1:16">
      <c r="A231" s="130"/>
      <c r="B231" s="36"/>
      <c r="C231" s="25"/>
      <c r="D231" s="25"/>
      <c r="E231" s="36"/>
      <c r="F231" s="135" t="s">
        <v>2070</v>
      </c>
      <c r="G231" s="136" t="s">
        <v>2071</v>
      </c>
      <c r="H231" s="137" t="s">
        <v>2072</v>
      </c>
      <c r="I231" s="135" t="s">
        <v>282</v>
      </c>
      <c r="J231" s="136" t="str">
        <f>INDEX(数据元说明!A:F,MATCH(I231,数据元说明!C:C,0),2)</f>
        <v>001001</v>
      </c>
      <c r="K231" s="138" t="str">
        <f>INDEX(数据元说明!A:F,MATCH(I231,数据元说明!C:C,0),5)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31" s="198" t="str">
        <f>INDEX(数据元说明!A:F,MATCH(I231,数据元说明!C:C,0),6)</f>
        <v>C..400</v>
      </c>
      <c r="M231" s="138" t="s">
        <v>2073</v>
      </c>
      <c r="N231" s="143" t="s">
        <v>57</v>
      </c>
      <c r="O231" s="136"/>
      <c r="P231" s="99"/>
    </row>
    <row r="232" s="61" customFormat="1" ht="30" customHeight="1" outlineLevel="1" spans="1:16">
      <c r="A232" s="130"/>
      <c r="B232" s="36"/>
      <c r="C232" s="25"/>
      <c r="D232" s="25"/>
      <c r="E232" s="36"/>
      <c r="F232" s="135" t="s">
        <v>2074</v>
      </c>
      <c r="G232" s="136" t="s">
        <v>2075</v>
      </c>
      <c r="H232" s="137" t="s">
        <v>2076</v>
      </c>
      <c r="I232" s="135" t="s">
        <v>609</v>
      </c>
      <c r="J232" s="136" t="str">
        <f>INDEX(数据元说明!A:F,MATCH(I232,数据元说明!C:C,0),2)</f>
        <v>003010</v>
      </c>
      <c r="K232" s="138" t="str">
        <f>INDEX(数据元说明!A:F,MATCH(I232,数据元说明!C:C,0),5)</f>
        <v>与币种相对应金额。</v>
      </c>
      <c r="L232" s="198" t="str">
        <f>INDEX(数据元说明!A:F,MATCH(I232,数据元说明!C:C,0),6)</f>
        <v>D20.2</v>
      </c>
      <c r="M232" s="138"/>
      <c r="N232" s="143" t="s">
        <v>57</v>
      </c>
      <c r="O232" s="136"/>
      <c r="P232" s="99"/>
    </row>
    <row r="233" s="81" customFormat="1" ht="30" customHeight="1" outlineLevel="1" spans="1:16">
      <c r="A233" s="134"/>
      <c r="B233" s="47"/>
      <c r="C233" s="39"/>
      <c r="D233" s="39"/>
      <c r="E233" s="47"/>
      <c r="F233" s="169" t="s">
        <v>449</v>
      </c>
      <c r="G233" s="148" t="s">
        <v>1571</v>
      </c>
      <c r="H233" s="148" t="s">
        <v>2077</v>
      </c>
      <c r="I233" s="169" t="s">
        <v>449</v>
      </c>
      <c r="J233" s="170" t="str">
        <f>INDEX(数据元说明!A:F,MATCH(I233,数据元说明!C:C,0),2)</f>
        <v>001040</v>
      </c>
      <c r="K233" s="171" t="str">
        <f>INDEX(数据元说明!A:F,MATCH(I233,数据元说明!C:C,0),5)</f>
        <v>银行自定义。</v>
      </c>
      <c r="L233" s="170" t="str">
        <f>INDEX(数据元说明!A:F,MATCH(I233,数据元说明!C:C,0),6)</f>
        <v>C..600</v>
      </c>
      <c r="M233" s="149" t="s">
        <v>1573</v>
      </c>
      <c r="N233" s="143" t="s">
        <v>57</v>
      </c>
      <c r="O233" s="173"/>
      <c r="P233" s="173"/>
    </row>
    <row r="234" s="61" customFormat="1" ht="30" customHeight="1" outlineLevel="1" spans="1:16">
      <c r="A234" s="130"/>
      <c r="B234" s="36"/>
      <c r="C234" s="25"/>
      <c r="D234" s="25"/>
      <c r="E234" s="36"/>
      <c r="F234" s="135" t="s">
        <v>1574</v>
      </c>
      <c r="G234" s="136" t="s">
        <v>1575</v>
      </c>
      <c r="H234" s="137" t="s">
        <v>2078</v>
      </c>
      <c r="I234" s="135" t="s">
        <v>302</v>
      </c>
      <c r="J234" s="136" t="str">
        <f>INDEX(数据元说明!A:F,MATCH(I234,数据元说明!C:C,0),2)</f>
        <v>001005</v>
      </c>
      <c r="K234" s="138" t="str">
        <f>INDEX(数据元说明!A:F,MATCH(I234,数据元说明!C:C,0),5)</f>
        <v>YYYYMMDD，默认值99991231。</v>
      </c>
      <c r="L234" s="198" t="str">
        <f>INDEX(数据元说明!A:F,MATCH(I234,数据元说明!C:C,0),6)</f>
        <v>C8</v>
      </c>
      <c r="M234" s="138" t="s">
        <v>1577</v>
      </c>
      <c r="N234" s="143" t="s">
        <v>57</v>
      </c>
      <c r="O234" s="136"/>
      <c r="P234" s="99"/>
    </row>
    <row r="235" s="81" customFormat="1" ht="30" customHeight="1" spans="1:16">
      <c r="A235" s="199"/>
      <c r="B235" s="49"/>
      <c r="C235" s="37" t="s">
        <v>61</v>
      </c>
      <c r="D235" s="38" t="s">
        <v>62</v>
      </c>
      <c r="E235" s="181" t="s">
        <v>2079</v>
      </c>
      <c r="F235" s="182"/>
      <c r="G235" s="183"/>
      <c r="H235" s="181"/>
      <c r="I235" s="182"/>
      <c r="J235" s="183"/>
      <c r="K235" s="128"/>
      <c r="L235" s="183"/>
      <c r="M235" s="128" t="str">
        <f>INDEX(表结构总览!E:H,MATCH(D235,表结构总览!E:E,0),4)</f>
        <v>报送机构收集的对公客户以及填报机构自身的关联方和关系人信息，应包括主要股东、内部人、内部人近亲属、关联法人的董事、关联法人的监事、主要股东控股企业、内部人可施加重大影响的企业、供应链上下游、共同出资组建企业、担保关系、实际控制人、共同受同一关系人控制、集团成员、法定代表人、董事长（理事长）、监事长、总经理、财务主管等关联关系。对于填报机构自身的关联关系，需与机构自身认定的关联方和关系人一致，对于对公客户的关联关系，采取能采尽采的原则，包括但不限于授信尽职调查、外部数据源查询等途径获知的关联关系。同一关联方兼任或具有多重关联关系的，分多条进行报送。非授信客户、负债类客户不报送。</v>
      </c>
      <c r="N235" s="140" t="s">
        <v>25</v>
      </c>
      <c r="O235" s="140" t="s">
        <v>449</v>
      </c>
      <c r="P235" s="140"/>
    </row>
    <row r="236" s="61" customFormat="1" ht="30" customHeight="1" outlineLevel="1" spans="1:16">
      <c r="A236" s="130"/>
      <c r="B236" s="36"/>
      <c r="C236" s="25"/>
      <c r="D236" s="25"/>
      <c r="E236" s="36"/>
      <c r="F236" s="131" t="s">
        <v>325</v>
      </c>
      <c r="G236" s="31" t="s">
        <v>1520</v>
      </c>
      <c r="H236" s="132" t="s">
        <v>2080</v>
      </c>
      <c r="I236" s="131" t="s">
        <v>325</v>
      </c>
      <c r="J236" s="31" t="str">
        <f>INDEX(数据元说明!A:F,MATCH(I236,数据元说明!C:C,0),2)</f>
        <v>001010</v>
      </c>
      <c r="K236" s="133" t="str">
        <f>INDEX(数据元说明!A:F,MATCH(I236,数据元说明!C:C,0),5)</f>
        <v>12位人行支付行号或SWIFT行号。</v>
      </c>
      <c r="L236" s="31" t="str">
        <f>INDEX(数据元说明!A:F,MATCH(I236,数据元说明!C:C,0),6)</f>
        <v>C..30</v>
      </c>
      <c r="M236" s="133" t="s">
        <v>1728</v>
      </c>
      <c r="N236" s="99"/>
      <c r="O236" s="99"/>
      <c r="P236" s="99"/>
    </row>
    <row r="237" s="81" customFormat="1" ht="30" customHeight="1" outlineLevel="1" spans="1:16">
      <c r="A237" s="134"/>
      <c r="B237" s="47"/>
      <c r="C237" s="39"/>
      <c r="D237" s="39"/>
      <c r="E237" s="47"/>
      <c r="F237" s="135" t="s">
        <v>329</v>
      </c>
      <c r="G237" s="136" t="s">
        <v>1526</v>
      </c>
      <c r="H237" s="137" t="s">
        <v>2081</v>
      </c>
      <c r="I237" s="135" t="s">
        <v>329</v>
      </c>
      <c r="J237" s="136" t="str">
        <f>INDEX(数据元说明!A:F,MATCH(I237,数据元说明!C:C,0),2)</f>
        <v>001011</v>
      </c>
      <c r="K237" s="138" t="str">
        <f>INDEX(数据元说明!A:F,MATCH(I237,数据元说明!C:C,0),5)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37" s="136" t="str">
        <f>INDEX(数据元说明!A:F,MATCH(I237,数据元说明!C:C,0),6)</f>
        <v>C..30</v>
      </c>
      <c r="M237" s="138" t="s">
        <v>1730</v>
      </c>
      <c r="N237" s="129" t="s">
        <v>25</v>
      </c>
      <c r="O237" s="129" t="s">
        <v>449</v>
      </c>
      <c r="P237" s="139"/>
    </row>
    <row r="238" s="61" customFormat="1" ht="30" customHeight="1" outlineLevel="1" spans="1:16">
      <c r="A238" s="130"/>
      <c r="B238" s="36"/>
      <c r="C238" s="25"/>
      <c r="D238" s="25"/>
      <c r="E238" s="36"/>
      <c r="F238" s="131" t="s">
        <v>333</v>
      </c>
      <c r="G238" s="31" t="s">
        <v>1523</v>
      </c>
      <c r="H238" s="132" t="s">
        <v>2082</v>
      </c>
      <c r="I238" s="131" t="s">
        <v>333</v>
      </c>
      <c r="J238" s="31" t="str">
        <f>INDEX(数据元说明!A:F,MATCH(I238,数据元说明!C:C,0),2)</f>
        <v>001012</v>
      </c>
      <c r="K238" s="133" t="str">
        <f>INDEX(数据元说明!A:F,MATCH(I238,数据元说明!C:C,0),5)</f>
        <v>银行内部机构号。应具有标识机构的唯一性。</v>
      </c>
      <c r="L238" s="31" t="str">
        <f>INDEX(数据元说明!A:F,MATCH(I238,数据元说明!C:C,0),6)</f>
        <v>C..30</v>
      </c>
      <c r="M238" s="133" t="s">
        <v>1732</v>
      </c>
      <c r="N238" s="99"/>
      <c r="O238" s="99"/>
      <c r="P238" s="99"/>
    </row>
    <row r="239" s="81" customFormat="1" ht="30" customHeight="1" outlineLevel="1" spans="1:16">
      <c r="A239" s="141"/>
      <c r="B239" s="142"/>
      <c r="C239" s="177"/>
      <c r="D239" s="177"/>
      <c r="E239" s="142"/>
      <c r="F239" s="135" t="s">
        <v>453</v>
      </c>
      <c r="G239" s="136" t="s">
        <v>1680</v>
      </c>
      <c r="H239" s="137" t="s">
        <v>2083</v>
      </c>
      <c r="I239" s="135" t="s">
        <v>453</v>
      </c>
      <c r="J239" s="136" t="str">
        <f>INDEX(数据元说明!A:F,MATCH(I239,数据元说明!C:C,0),2)</f>
        <v>002001</v>
      </c>
      <c r="K239" s="138" t="str">
        <f>INDEX(数据元说明!A:F,MATCH(I239,数据元说明!C:C,0),5)</f>
        <v>银行自定义的唯一识别客户的标识。供应链融资的填写供应链融资编码。</v>
      </c>
      <c r="L239" s="136" t="str">
        <f>INDEX(数据元说明!A:F,MATCH(I239,数据元说明!C:C,0),6)</f>
        <v>C..60</v>
      </c>
      <c r="M239" s="138" t="s">
        <v>2084</v>
      </c>
      <c r="N239" s="139" t="s">
        <v>25</v>
      </c>
      <c r="O239" s="139" t="s">
        <v>449</v>
      </c>
      <c r="P239" s="140" t="s">
        <v>1588</v>
      </c>
    </row>
    <row r="240" s="81" customFormat="1" ht="30" customHeight="1" outlineLevel="1" spans="1:16">
      <c r="A240" s="141"/>
      <c r="B240" s="142"/>
      <c r="C240" s="177"/>
      <c r="D240" s="177"/>
      <c r="E240" s="142"/>
      <c r="F240" s="135" t="s">
        <v>1864</v>
      </c>
      <c r="G240" s="136" t="s">
        <v>1865</v>
      </c>
      <c r="H240" s="137" t="s">
        <v>2085</v>
      </c>
      <c r="I240" s="135" t="s">
        <v>282</v>
      </c>
      <c r="J240" s="136" t="str">
        <f>INDEX(数据元说明!A:F,MATCH(I240,数据元说明!C:C,0),2)</f>
        <v>001001</v>
      </c>
      <c r="K240" s="138" t="str">
        <f>INDEX(数据元说明!A:F,MATCH(I240,数据元说明!C:C,0),5)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40" s="136" t="str">
        <f>INDEX(数据元说明!A:F,MATCH(I240,数据元说明!C:C,0),6)</f>
        <v>C..400</v>
      </c>
      <c r="M240" s="138" t="s">
        <v>1600</v>
      </c>
      <c r="N240" s="164" t="s">
        <v>57</v>
      </c>
      <c r="O240" s="139"/>
      <c r="P240" s="140"/>
    </row>
    <row r="241" s="81" customFormat="1" ht="30" customHeight="1" outlineLevel="1" spans="1:16">
      <c r="A241" s="134"/>
      <c r="B241" s="47"/>
      <c r="C241" s="39"/>
      <c r="D241" s="39"/>
      <c r="E241" s="47"/>
      <c r="F241" s="135" t="s">
        <v>2086</v>
      </c>
      <c r="G241" s="136" t="s">
        <v>2087</v>
      </c>
      <c r="H241" s="137" t="s">
        <v>2088</v>
      </c>
      <c r="I241" s="135" t="s">
        <v>457</v>
      </c>
      <c r="J241" s="136" t="str">
        <f>INDEX(数据元说明!A:F,MATCH(I241,数据元说明!C:C,0),2)</f>
        <v>002002</v>
      </c>
      <c r="K241" s="138" t="str">
        <f>INDEX(数据元说明!A:F,MATCH(I241,数据元说明!C:C,0),5)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241" s="136" t="str">
        <f>INDEX(数据元说明!A:F,MATCH(I241,数据元说明!C:C,0),6)</f>
        <v>C..60</v>
      </c>
      <c r="M241" s="138"/>
      <c r="N241" s="164" t="s">
        <v>57</v>
      </c>
      <c r="O241" s="140"/>
      <c r="P241" s="140"/>
    </row>
    <row r="242" s="61" customFormat="1" ht="30" customHeight="1" outlineLevel="1" spans="1:16">
      <c r="A242" s="130"/>
      <c r="B242" s="36"/>
      <c r="C242" s="25"/>
      <c r="D242" s="25"/>
      <c r="E242" s="36"/>
      <c r="F242" s="131" t="s">
        <v>2089</v>
      </c>
      <c r="G242" s="31" t="s">
        <v>2090</v>
      </c>
      <c r="H242" s="132" t="s">
        <v>2091</v>
      </c>
      <c r="I242" s="131" t="s">
        <v>461</v>
      </c>
      <c r="J242" s="31" t="str">
        <f>INDEX(数据元说明!A:F,MATCH(I242,数据元说明!C:C,0),2)</f>
        <v>002003</v>
      </c>
      <c r="K242" s="133" t="str">
        <f>INDEX(数据元说明!A:F,MATCH(I242,数据元说明!C:C,0),5)</f>
        <v>与证件类别对应的证件号码。涉及个人身份证件时需按照本规范给定规则进行脱敏处理。</v>
      </c>
      <c r="L242" s="31" t="str">
        <f>INDEX(数据元说明!A:F,MATCH(I242,数据元说明!C:C,0),6)</f>
        <v>C..70</v>
      </c>
      <c r="M242" s="133" t="s">
        <v>2092</v>
      </c>
      <c r="N242" s="99"/>
      <c r="O242" s="99"/>
      <c r="P242" s="99"/>
    </row>
    <row r="243" s="81" customFormat="1" ht="30" customHeight="1" outlineLevel="1" spans="1:16">
      <c r="A243" s="134"/>
      <c r="B243" s="47"/>
      <c r="C243" s="39"/>
      <c r="D243" s="39"/>
      <c r="E243" s="47"/>
      <c r="F243" s="135" t="s">
        <v>537</v>
      </c>
      <c r="G243" s="136" t="s">
        <v>1840</v>
      </c>
      <c r="H243" s="137" t="s">
        <v>2093</v>
      </c>
      <c r="I243" s="135" t="s">
        <v>537</v>
      </c>
      <c r="J243" s="136" t="str">
        <f>INDEX(数据元说明!A:F,MATCH(I243,数据元说明!C:C,0),2)</f>
        <v>002021</v>
      </c>
      <c r="K243" s="138" t="str">
        <f>INDEX(数据元说明!A:F,MATCH(I243,数据元说明!C:C,0),5)</f>
        <v>主要股东、内部人、内部人近亲属、关联法人的董事、关联法人的监事、主要股东控股企业、内部人可施加重大影响的企业、供应链上下游、共同出资组建企业、担保关系、实际控制人、共同受同一自然人控制、集团成员、法定代表人、董事长（理事长）、监事长、总经理、财务主管，其他-银行自定义。无法以枚举类型填报的，以“其他-XX”填报，其中“XX”为银行自定义类型。</v>
      </c>
      <c r="L243" s="136" t="str">
        <f>INDEX(数据元说明!A:F,MATCH(I243,数据元说明!C:C,0),6)</f>
        <v>C..300</v>
      </c>
      <c r="M243" s="138" t="s">
        <v>2094</v>
      </c>
      <c r="N243" s="139" t="s">
        <v>25</v>
      </c>
      <c r="O243" s="139" t="s">
        <v>1539</v>
      </c>
      <c r="P243" s="140"/>
    </row>
    <row r="244" s="81" customFormat="1" ht="30" customHeight="1" outlineLevel="1" spans="1:16">
      <c r="A244" s="134"/>
      <c r="B244" s="47"/>
      <c r="C244" s="39"/>
      <c r="D244" s="39"/>
      <c r="E244" s="47"/>
      <c r="F244" s="135" t="s">
        <v>2095</v>
      </c>
      <c r="G244" s="136" t="s">
        <v>2096</v>
      </c>
      <c r="H244" s="137" t="s">
        <v>2097</v>
      </c>
      <c r="I244" s="135" t="s">
        <v>453</v>
      </c>
      <c r="J244" s="136" t="str">
        <f>INDEX(数据元说明!A:F,MATCH(I244,数据元说明!C:C,0),2)</f>
        <v>002001</v>
      </c>
      <c r="K244" s="138" t="str">
        <f>INDEX(数据元说明!A:F,MATCH(I244,数据元说明!C:C,0),5)</f>
        <v>银行自定义的唯一识别客户的标识。供应链融资的填写供应链融资编码。</v>
      </c>
      <c r="L244" s="136" t="str">
        <f>INDEX(数据元说明!A:F,MATCH(I244,数据元说明!C:C,0),6)</f>
        <v>C..60</v>
      </c>
      <c r="M244" s="138" t="s">
        <v>2098</v>
      </c>
      <c r="N244" s="139" t="s">
        <v>25</v>
      </c>
      <c r="O244" s="140" t="s">
        <v>449</v>
      </c>
      <c r="P244" s="139" t="s">
        <v>1588</v>
      </c>
    </row>
    <row r="245" s="81" customFormat="1" ht="54" customHeight="1" outlineLevel="1" spans="1:16">
      <c r="A245" s="134"/>
      <c r="B245" s="47"/>
      <c r="C245" s="39"/>
      <c r="D245" s="39"/>
      <c r="E245" s="47"/>
      <c r="F245" s="135" t="s">
        <v>2099</v>
      </c>
      <c r="G245" s="136" t="s">
        <v>2100</v>
      </c>
      <c r="H245" s="137" t="s">
        <v>2101</v>
      </c>
      <c r="I245" s="135" t="s">
        <v>282</v>
      </c>
      <c r="J245" s="136" t="str">
        <f>INDEX(数据元说明!A:F,MATCH(I245,数据元说明!C:C,0),2)</f>
        <v>001001</v>
      </c>
      <c r="K245" s="138" t="str">
        <f>INDEX(数据元说明!A:F,MATCH(I245,数据元说明!C:C,0),5)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45" s="136" t="str">
        <f>INDEX(数据元说明!A:F,MATCH(I245,数据元说明!C:C,0),6)</f>
        <v>C..400</v>
      </c>
      <c r="M245" s="200" t="s">
        <v>2102</v>
      </c>
      <c r="N245" s="139" t="s">
        <v>25</v>
      </c>
      <c r="O245" s="139" t="s">
        <v>1673</v>
      </c>
      <c r="P245" s="140"/>
    </row>
    <row r="246" s="81" customFormat="1" ht="30" customHeight="1" outlineLevel="1" spans="1:16">
      <c r="A246" s="134"/>
      <c r="B246" s="47"/>
      <c r="C246" s="39"/>
      <c r="D246" s="39"/>
      <c r="E246" s="47"/>
      <c r="F246" s="135" t="s">
        <v>533</v>
      </c>
      <c r="G246" s="136" t="s">
        <v>2103</v>
      </c>
      <c r="H246" s="137" t="s">
        <v>2104</v>
      </c>
      <c r="I246" s="135" t="s">
        <v>533</v>
      </c>
      <c r="J246" s="136" t="str">
        <f>INDEX(数据元说明!A:F,MATCH(I246,数据元说明!C:C,0),2)</f>
        <v>002020</v>
      </c>
      <c r="K246" s="138" t="str">
        <f>INDEX(数据元说明!A:F,MATCH(I246,数据元说明!C:C,0),5)</f>
        <v>自然人，纯国有企业，国有控股企业，国有参股企业，民营企业，政府机关，事业单位，社会团体，境外机构，其他-银行自定义。无法以枚举类型填报的，以“其他-XX”填报，其中“XX”为银行自定义类型。</v>
      </c>
      <c r="L246" s="136" t="str">
        <f>INDEX(数据元说明!A:F,MATCH(I246,数据元说明!C:C,0),6)</f>
        <v>C..30</v>
      </c>
      <c r="M246" s="133"/>
      <c r="N246" s="140" t="s">
        <v>25</v>
      </c>
      <c r="O246" s="140" t="s">
        <v>275</v>
      </c>
      <c r="P246" s="140"/>
    </row>
    <row r="247" s="81" customFormat="1" ht="37" customHeight="1" outlineLevel="1" spans="1:16">
      <c r="A247" s="134"/>
      <c r="B247" s="47"/>
      <c r="C247" s="39"/>
      <c r="D247" s="39"/>
      <c r="E247" s="47"/>
      <c r="F247" s="135" t="s">
        <v>2105</v>
      </c>
      <c r="G247" s="136" t="s">
        <v>2106</v>
      </c>
      <c r="H247" s="137" t="s">
        <v>2107</v>
      </c>
      <c r="I247" s="135" t="s">
        <v>457</v>
      </c>
      <c r="J247" s="136" t="str">
        <f>INDEX(数据元说明!A:F,MATCH(I247,数据元说明!C:C,0),2)</f>
        <v>002002</v>
      </c>
      <c r="K247" s="138" t="str">
        <f>INDEX(数据元说明!A:F,MATCH(I247,数据元说明!C:C,0),5)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247" s="136" t="str">
        <f>INDEX(数据元说明!A:F,MATCH(I247,数据元说明!C:C,0),6)</f>
        <v>C..60</v>
      </c>
      <c r="M247" s="138" t="s">
        <v>2108</v>
      </c>
      <c r="N247" s="164" t="s">
        <v>57</v>
      </c>
      <c r="O247" s="140"/>
      <c r="P247" s="139"/>
    </row>
    <row r="248" s="61" customFormat="1" ht="30" customHeight="1" outlineLevel="1" spans="1:16">
      <c r="A248" s="130"/>
      <c r="B248" s="36"/>
      <c r="C248" s="25"/>
      <c r="D248" s="25"/>
      <c r="E248" s="36"/>
      <c r="F248" s="131" t="s">
        <v>2109</v>
      </c>
      <c r="G248" s="31" t="s">
        <v>2110</v>
      </c>
      <c r="H248" s="132" t="s">
        <v>2111</v>
      </c>
      <c r="I248" s="131" t="s">
        <v>461</v>
      </c>
      <c r="J248" s="31" t="str">
        <f>INDEX(数据元说明!A:F,MATCH(I248,数据元说明!C:C,0),2)</f>
        <v>002003</v>
      </c>
      <c r="K248" s="133" t="str">
        <f>INDEX(数据元说明!A:F,MATCH(I248,数据元说明!C:C,0),5)</f>
        <v>与证件类别对应的证件号码。涉及个人身份证件时需按照本规范给定规则进行脱敏处理。</v>
      </c>
      <c r="L248" s="31" t="str">
        <f>INDEX(数据元说明!A:F,MATCH(I248,数据元说明!C:C,0),6)</f>
        <v>C..70</v>
      </c>
      <c r="M248" s="201" t="s">
        <v>1697</v>
      </c>
      <c r="N248" s="99"/>
      <c r="O248" s="99"/>
      <c r="P248" s="99"/>
    </row>
    <row r="249" s="81" customFormat="1" ht="30" customHeight="1" outlineLevel="1" spans="1:16">
      <c r="A249" s="134"/>
      <c r="B249" s="47"/>
      <c r="C249" s="39"/>
      <c r="D249" s="39"/>
      <c r="E249" s="47"/>
      <c r="F249" s="135" t="s">
        <v>2112</v>
      </c>
      <c r="G249" s="136" t="s">
        <v>2113</v>
      </c>
      <c r="H249" s="137" t="s">
        <v>2114</v>
      </c>
      <c r="I249" s="135" t="s">
        <v>1031</v>
      </c>
      <c r="J249" s="136" t="str">
        <f>INDEX(数据元说明!A:F,MATCH(I249,数据元说明!C:C,0),2)</f>
        <v>007005</v>
      </c>
      <c r="K249" s="138" t="str">
        <f>INDEX(数据元说明!A:F,MATCH(I249,数据元说明!C:C,0),5)</f>
        <v>有效，无效。</v>
      </c>
      <c r="L249" s="136" t="str">
        <f>INDEX(数据元说明!A:F,MATCH(I249,数据元说明!C:C,0),6)</f>
        <v>C6</v>
      </c>
      <c r="M249" s="138" t="s">
        <v>2115</v>
      </c>
      <c r="N249" s="140" t="s">
        <v>25</v>
      </c>
      <c r="O249" s="140" t="s">
        <v>275</v>
      </c>
      <c r="P249" s="140"/>
    </row>
    <row r="250" s="81" customFormat="1" ht="30" customHeight="1" outlineLevel="1" spans="1:16">
      <c r="A250" s="134"/>
      <c r="B250" s="47"/>
      <c r="C250" s="39"/>
      <c r="D250" s="39"/>
      <c r="E250" s="47"/>
      <c r="F250" s="169" t="s">
        <v>449</v>
      </c>
      <c r="G250" s="148" t="s">
        <v>1571</v>
      </c>
      <c r="H250" s="148" t="s">
        <v>2116</v>
      </c>
      <c r="I250" s="169" t="s">
        <v>449</v>
      </c>
      <c r="J250" s="170" t="str">
        <f>INDEX(数据元说明!A:F,MATCH(I250,数据元说明!C:C,0),2)</f>
        <v>001040</v>
      </c>
      <c r="K250" s="171" t="str">
        <f>INDEX(数据元说明!A:F,MATCH(I250,数据元说明!C:C,0),5)</f>
        <v>银行自定义。</v>
      </c>
      <c r="L250" s="170" t="str">
        <f>INDEX(数据元说明!A:F,MATCH(I250,数据元说明!C:C,0),6)</f>
        <v>C..600</v>
      </c>
      <c r="M250" s="149" t="s">
        <v>1573</v>
      </c>
      <c r="N250" s="143" t="s">
        <v>57</v>
      </c>
      <c r="O250" s="173"/>
      <c r="P250" s="173"/>
    </row>
    <row r="251" s="61" customFormat="1" ht="30" customHeight="1" outlineLevel="1" spans="1:16">
      <c r="A251" s="130"/>
      <c r="B251" s="36"/>
      <c r="C251" s="25"/>
      <c r="D251" s="25"/>
      <c r="E251" s="36"/>
      <c r="F251" s="131" t="s">
        <v>1574</v>
      </c>
      <c r="G251" s="31" t="s">
        <v>1575</v>
      </c>
      <c r="H251" s="132" t="s">
        <v>2117</v>
      </c>
      <c r="I251" s="131" t="s">
        <v>302</v>
      </c>
      <c r="J251" s="31" t="str">
        <f>INDEX(数据元说明!A:F,MATCH(I251,数据元说明!C:C,0),2)</f>
        <v>001005</v>
      </c>
      <c r="K251" s="133" t="str">
        <f>INDEX(数据元说明!A:F,MATCH(I251,数据元说明!C:C,0),5)</f>
        <v>YYYYMMDD，默认值99991231。</v>
      </c>
      <c r="L251" s="31" t="str">
        <f>INDEX(数据元说明!A:F,MATCH(I251,数据元说明!C:C,0),6)</f>
        <v>C8</v>
      </c>
      <c r="M251" s="133" t="s">
        <v>1577</v>
      </c>
      <c r="N251" s="99"/>
      <c r="O251" s="99"/>
      <c r="P251" s="99"/>
    </row>
    <row r="252" s="61" customFormat="1" ht="30" customHeight="1" spans="1:16">
      <c r="A252" s="119" t="s">
        <v>65</v>
      </c>
      <c r="B252" s="120" t="s">
        <v>66</v>
      </c>
      <c r="C252" s="202"/>
      <c r="D252" s="202"/>
      <c r="E252" s="202"/>
      <c r="F252" s="122"/>
      <c r="G252" s="123"/>
      <c r="H252" s="203"/>
      <c r="I252" s="122"/>
      <c r="J252" s="123"/>
      <c r="K252" s="124"/>
      <c r="L252" s="123"/>
      <c r="M252" s="175"/>
      <c r="N252" s="99"/>
      <c r="O252" s="99"/>
      <c r="P252" s="41"/>
    </row>
    <row r="253" s="61" customFormat="1" ht="30" customHeight="1" spans="1:16">
      <c r="A253" s="125"/>
      <c r="B253" s="34"/>
      <c r="C253" s="19" t="s">
        <v>67</v>
      </c>
      <c r="D253" s="24" t="s">
        <v>68</v>
      </c>
      <c r="E253" s="126">
        <v>301</v>
      </c>
      <c r="F253" s="127"/>
      <c r="G253" s="126"/>
      <c r="H253" s="126"/>
      <c r="I253" s="127"/>
      <c r="J253" s="126"/>
      <c r="K253" s="152"/>
      <c r="L253" s="126"/>
      <c r="M253" s="128" t="str">
        <f>INDEX(表结构总览!E:H,MATCH(D253,表结构总览!E:E,0),4)</f>
        <v>个人和对公客户在银行机构开办的借记卡信息，指只能存取款而无法透支的卡片信息。本表需每月全量报送，当卡片状态为“注销”时，可在报送最后状态的次月不再报送。</v>
      </c>
      <c r="N253" s="129" t="s">
        <v>25</v>
      </c>
      <c r="O253" s="129" t="s">
        <v>449</v>
      </c>
      <c r="P253" s="41"/>
    </row>
    <row r="254" ht="30" customHeight="1" outlineLevel="1" spans="1:16">
      <c r="E254" s="94"/>
      <c r="F254" s="97" t="s">
        <v>325</v>
      </c>
      <c r="G254" s="29" t="s">
        <v>1520</v>
      </c>
      <c r="H254" s="96" t="s">
        <v>2118</v>
      </c>
      <c r="I254" s="97" t="s">
        <v>325</v>
      </c>
      <c r="J254" s="29" t="str">
        <f>INDEX(数据元说明!A:F,MATCH(I254,数据元说明!C:C,0),2)</f>
        <v>001010</v>
      </c>
      <c r="K254" s="98" t="str">
        <f>INDEX(数据元说明!A:F,MATCH(I254,数据元说明!C:C,0),5)</f>
        <v>12位人行支付行号或SWIFT行号。</v>
      </c>
      <c r="L254" s="29" t="str">
        <f>INDEX(数据元说明!A:F,MATCH(I254,数据元说明!C:C,0),6)</f>
        <v>C..30</v>
      </c>
      <c r="M254" s="98" t="s">
        <v>2119</v>
      </c>
    </row>
    <row r="255" s="81" customFormat="1" ht="30" customHeight="1" outlineLevel="1" spans="1:16">
      <c r="A255" s="134"/>
      <c r="B255" s="47"/>
      <c r="C255" s="39"/>
      <c r="D255" s="39"/>
      <c r="E255" s="47"/>
      <c r="F255" s="135" t="s">
        <v>329</v>
      </c>
      <c r="G255" s="136" t="s">
        <v>1526</v>
      </c>
      <c r="H255" s="153" t="s">
        <v>2120</v>
      </c>
      <c r="I255" s="135" t="s">
        <v>329</v>
      </c>
      <c r="J255" s="136" t="str">
        <f>INDEX(数据元说明!A:F,MATCH(I255,数据元说明!C:C,0),2)</f>
        <v>001011</v>
      </c>
      <c r="K255" s="138" t="str">
        <f>INDEX(数据元说明!A:F,MATCH(I255,数据元说明!C:C,0),5)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55" s="136" t="str">
        <f>INDEX(数据元说明!A:F,MATCH(I255,数据元说明!C:C,0),6)</f>
        <v>C..30</v>
      </c>
      <c r="M255" s="138" t="s">
        <v>2121</v>
      </c>
      <c r="N255" s="129" t="s">
        <v>25</v>
      </c>
      <c r="O255" s="129" t="s">
        <v>449</v>
      </c>
      <c r="P255" s="139"/>
    </row>
    <row r="256" ht="30" customHeight="1" outlineLevel="1" spans="1:16">
      <c r="E256" s="94"/>
      <c r="F256" s="97" t="s">
        <v>333</v>
      </c>
      <c r="G256" s="29" t="s">
        <v>1523</v>
      </c>
      <c r="H256" s="96" t="s">
        <v>2122</v>
      </c>
      <c r="I256" s="97" t="s">
        <v>333</v>
      </c>
      <c r="J256" s="29" t="str">
        <f>INDEX(数据元说明!A:F,MATCH(I256,数据元说明!C:C,0),2)</f>
        <v>001012</v>
      </c>
      <c r="K256" s="98" t="str">
        <f>INDEX(数据元说明!A:F,MATCH(I256,数据元说明!C:C,0),5)</f>
        <v>银行内部机构号。应具有标识机构的唯一性。</v>
      </c>
      <c r="L256" s="29" t="str">
        <f>INDEX(数据元说明!A:F,MATCH(I256,数据元说明!C:C,0),6)</f>
        <v>C..30</v>
      </c>
      <c r="M256" s="98" t="s">
        <v>2123</v>
      </c>
    </row>
    <row r="257" s="61" customFormat="1" ht="30" customHeight="1" outlineLevel="1" spans="1:16">
      <c r="A257" s="93"/>
      <c r="B257" s="94"/>
      <c r="C257" s="95"/>
      <c r="D257" s="95"/>
      <c r="E257" s="94"/>
      <c r="F257" s="97" t="s">
        <v>453</v>
      </c>
      <c r="G257" s="29" t="s">
        <v>1680</v>
      </c>
      <c r="H257" s="96" t="s">
        <v>2124</v>
      </c>
      <c r="I257" s="97" t="s">
        <v>453</v>
      </c>
      <c r="J257" s="29" t="str">
        <f>INDEX(数据元说明!A:F,MATCH(I257,数据元说明!C:C,0),2)</f>
        <v>002001</v>
      </c>
      <c r="K257" s="98" t="str">
        <f>INDEX(数据元说明!A:F,MATCH(I257,数据元说明!C:C,0),5)</f>
        <v>银行自定义的唯一识别客户的标识。供应链融资的填写供应链融资编码。</v>
      </c>
      <c r="L257" s="29" t="str">
        <f>INDEX(数据元说明!A:F,MATCH(I257,数据元说明!C:C,0),6)</f>
        <v>C..60</v>
      </c>
      <c r="M257" s="98" t="s">
        <v>1697</v>
      </c>
      <c r="N257" s="33" t="s">
        <v>25</v>
      </c>
      <c r="O257" s="99"/>
      <c r="P257" s="204" t="s">
        <v>1588</v>
      </c>
    </row>
    <row r="258" s="81" customFormat="1" ht="30" customHeight="1" outlineLevel="1" spans="1:16">
      <c r="A258" s="167"/>
      <c r="B258" s="168"/>
      <c r="C258" s="176"/>
      <c r="D258" s="176"/>
      <c r="E258" s="155"/>
      <c r="F258" s="157" t="s">
        <v>1737</v>
      </c>
      <c r="G258" s="43" t="s">
        <v>1738</v>
      </c>
      <c r="H258" s="153" t="s">
        <v>2125</v>
      </c>
      <c r="I258" s="157" t="s">
        <v>353</v>
      </c>
      <c r="J258" s="43" t="str">
        <f>INDEX(数据元说明!A:F,MATCH(I258,数据元说明!C:C,0),2)</f>
        <v>001017</v>
      </c>
      <c r="K258" s="158" t="str">
        <f>INDEX(数据元说明!A:F,MATCH(I258,数据元说明!C:C,0),5)</f>
        <v>姓名。</v>
      </c>
      <c r="L258" s="43" t="str">
        <f>INDEX(数据元说明!A:F,MATCH(I258,数据元说明!C:C,0),6)</f>
        <v>C..200</v>
      </c>
      <c r="M258" s="158" t="s">
        <v>1740</v>
      </c>
      <c r="N258" s="143" t="s">
        <v>57</v>
      </c>
      <c r="O258" s="140"/>
      <c r="P258" s="140"/>
    </row>
    <row r="259" ht="30" customHeight="1" outlineLevel="1" spans="1:16">
      <c r="E259" s="94"/>
      <c r="F259" s="97" t="s">
        <v>457</v>
      </c>
      <c r="G259" s="29" t="s">
        <v>1592</v>
      </c>
      <c r="H259" s="96" t="s">
        <v>2126</v>
      </c>
      <c r="I259" s="97" t="s">
        <v>457</v>
      </c>
      <c r="J259" s="29" t="str">
        <f>INDEX(数据元说明!A:F,MATCH(I259,数据元说明!C:C,0),2)</f>
        <v>002002</v>
      </c>
      <c r="K259" s="98" t="str">
        <f>INDEX(数据元说明!A:F,MATCH(I259,数据元说明!C:C,0),5)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259" s="29" t="str">
        <f>INDEX(数据元说明!A:F,MATCH(I259,数据元说明!C:C,0),6)</f>
        <v>C..60</v>
      </c>
    </row>
    <row r="260" s="81" customFormat="1" ht="30" customHeight="1" outlineLevel="1" spans="1:16">
      <c r="A260" s="154"/>
      <c r="B260" s="155"/>
      <c r="C260" s="156"/>
      <c r="D260" s="156"/>
      <c r="E260" s="155"/>
      <c r="F260" s="157" t="s">
        <v>461</v>
      </c>
      <c r="G260" s="43" t="s">
        <v>1594</v>
      </c>
      <c r="H260" s="153" t="s">
        <v>2127</v>
      </c>
      <c r="I260" s="157" t="s">
        <v>461</v>
      </c>
      <c r="J260" s="43" t="str">
        <f>INDEX(数据元说明!A:F,MATCH(I260,数据元说明!C:C,0),2)</f>
        <v>002003</v>
      </c>
      <c r="K260" s="158" t="str">
        <f>INDEX(数据元说明!A:F,MATCH(I260,数据元说明!C:C,0),5)</f>
        <v>与证件类别对应的证件号码。涉及个人身份证件时需按照本规范给定规则进行脱敏处理。</v>
      </c>
      <c r="L260" s="43" t="str">
        <f>INDEX(数据元说明!A:F,MATCH(I260,数据元说明!C:C,0),6)</f>
        <v>C..70</v>
      </c>
      <c r="M260" s="158" t="s">
        <v>2128</v>
      </c>
      <c r="N260" s="139" t="s">
        <v>25</v>
      </c>
      <c r="O260" s="139" t="s">
        <v>280</v>
      </c>
      <c r="P260" s="205"/>
    </row>
    <row r="261" s="61" customFormat="1" ht="30" customHeight="1" outlineLevel="1" spans="1:16">
      <c r="A261" s="93"/>
      <c r="B261" s="94"/>
      <c r="C261" s="95"/>
      <c r="D261" s="95"/>
      <c r="E261" s="94"/>
      <c r="F261" s="97" t="s">
        <v>947</v>
      </c>
      <c r="G261" s="29" t="s">
        <v>2129</v>
      </c>
      <c r="H261" s="96" t="s">
        <v>2130</v>
      </c>
      <c r="I261" s="97" t="s">
        <v>947</v>
      </c>
      <c r="J261" s="29" t="str">
        <f>INDEX(数据元说明!A:F,MATCH(I261,数据元说明!C:C,0),2)</f>
        <v>006001</v>
      </c>
      <c r="K261" s="98" t="str">
        <f>INDEX(数据元说明!A:F,MATCH(I261,数据元说明!C:C,0),5)</f>
        <v>卡号，可以是借记卡号，贷记卡号等。</v>
      </c>
      <c r="L261" s="29" t="str">
        <f>INDEX(数据元说明!A:F,MATCH(I261,数据元说明!C:C,0),6)</f>
        <v>C..60</v>
      </c>
      <c r="M261" s="98" t="s">
        <v>1525</v>
      </c>
      <c r="N261" s="33" t="s">
        <v>25</v>
      </c>
      <c r="O261" s="99"/>
      <c r="P261" s="204" t="s">
        <v>1588</v>
      </c>
    </row>
    <row r="262" s="61" customFormat="1" ht="30" customHeight="1" outlineLevel="1" spans="1:16">
      <c r="A262" s="93"/>
      <c r="B262" s="94"/>
      <c r="C262" s="95"/>
      <c r="D262" s="95"/>
      <c r="E262" s="94"/>
      <c r="F262" s="97" t="s">
        <v>2131</v>
      </c>
      <c r="G262" s="29" t="s">
        <v>2132</v>
      </c>
      <c r="H262" s="96" t="s">
        <v>2133</v>
      </c>
      <c r="I262" s="97" t="s">
        <v>570</v>
      </c>
      <c r="J262" s="29" t="str">
        <f>INDEX(数据元说明!A:F,MATCH(I262,数据元说明!C:C,0),2)</f>
        <v>003001</v>
      </c>
      <c r="K262" s="98" t="str">
        <f>INDEX(数据元说明!A:F,MATCH(I262,数据元说明!C:C,0),5)</f>
        <v>系统内最细一级的账号，无唯一性约束，不需要和序号、子序号等做拼接。</v>
      </c>
      <c r="L262" s="29" t="str">
        <f>INDEX(数据元说明!A:F,MATCH(I262,数据元说明!C:C,0),6)</f>
        <v>C..60</v>
      </c>
      <c r="M262" s="98" t="s">
        <v>2134</v>
      </c>
      <c r="N262" s="33" t="s">
        <v>25</v>
      </c>
      <c r="O262" s="33"/>
      <c r="P262" s="204" t="s">
        <v>1588</v>
      </c>
    </row>
    <row r="263" s="81" customFormat="1" ht="30" customHeight="1" outlineLevel="1" spans="1:16">
      <c r="A263" s="154"/>
      <c r="B263" s="155"/>
      <c r="C263" s="156"/>
      <c r="D263" s="156"/>
      <c r="E263" s="155"/>
      <c r="F263" s="157" t="s">
        <v>951</v>
      </c>
      <c r="G263" s="43" t="s">
        <v>2135</v>
      </c>
      <c r="H263" s="153" t="s">
        <v>2136</v>
      </c>
      <c r="I263" s="157" t="s">
        <v>951</v>
      </c>
      <c r="J263" s="43" t="str">
        <f>INDEX(数据元说明!A:F,MATCH(I263,数据元说明!C:C,0),2)</f>
        <v>006002</v>
      </c>
      <c r="K263" s="158" t="str">
        <f>INDEX(数据元说明!A:F,MATCH(I263,数据元说明!C:C,0),5)</f>
        <v>借记卡产品名称，中文字典或中文描述，银行自定义。</v>
      </c>
      <c r="L263" s="43" t="str">
        <f>INDEX(数据元说明!A:F,MATCH(I263,数据元说明!C:C,0),6)</f>
        <v>C..200</v>
      </c>
      <c r="M263" s="158"/>
      <c r="N263" s="140" t="s">
        <v>25</v>
      </c>
      <c r="O263" s="139" t="s">
        <v>1516</v>
      </c>
      <c r="P263" s="205"/>
    </row>
    <row r="264" s="81" customFormat="1" ht="30" customHeight="1" outlineLevel="1" spans="1:16">
      <c r="A264" s="154"/>
      <c r="B264" s="155"/>
      <c r="C264" s="156"/>
      <c r="D264" s="156"/>
      <c r="E264" s="155"/>
      <c r="F264" s="157" t="s">
        <v>2137</v>
      </c>
      <c r="G264" s="43" t="s">
        <v>2138</v>
      </c>
      <c r="H264" s="153" t="s">
        <v>2139</v>
      </c>
      <c r="I264" s="157" t="s">
        <v>287</v>
      </c>
      <c r="J264" s="43" t="str">
        <f>INDEX(数据元说明!A:F,MATCH(I264,数据元说明!C:C,0),2)</f>
        <v>001002</v>
      </c>
      <c r="K264" s="158" t="str">
        <f>INDEX(数据元说明!A:F,MATCH(I264,数据元说明!C:C,0),5)</f>
        <v>是，否。</v>
      </c>
      <c r="L264" s="43" t="str">
        <f>INDEX(数据元说明!A:F,MATCH(I264,数据元说明!C:C,0),6)</f>
        <v>C3</v>
      </c>
      <c r="M264" s="158" t="s">
        <v>2140</v>
      </c>
      <c r="N264" s="143" t="s">
        <v>57</v>
      </c>
      <c r="O264" s="139"/>
      <c r="P264" s="206"/>
    </row>
    <row r="265" ht="30" customHeight="1" outlineLevel="1" spans="1:16">
      <c r="E265" s="94"/>
      <c r="F265" s="97" t="s">
        <v>2141</v>
      </c>
      <c r="G265" s="29" t="s">
        <v>2142</v>
      </c>
      <c r="H265" s="96" t="s">
        <v>2143</v>
      </c>
      <c r="I265" s="97" t="s">
        <v>287</v>
      </c>
      <c r="J265" s="29" t="str">
        <f>INDEX(数据元说明!A:F,MATCH(I265,数据元说明!C:C,0),2)</f>
        <v>001002</v>
      </c>
      <c r="K265" s="98" t="str">
        <f>INDEX(数据元说明!A:F,MATCH(I265,数据元说明!C:C,0),5)</f>
        <v>是，否。</v>
      </c>
      <c r="L265" s="29" t="str">
        <f>INDEX(数据元说明!A:F,MATCH(I265,数据元说明!C:C,0),6)</f>
        <v>C3</v>
      </c>
      <c r="M265" s="98" t="s">
        <v>2144</v>
      </c>
    </row>
    <row r="266" ht="30" customHeight="1" outlineLevel="1" spans="1:16">
      <c r="E266" s="94"/>
      <c r="F266" s="97" t="s">
        <v>2145</v>
      </c>
      <c r="G266" s="29" t="s">
        <v>2146</v>
      </c>
      <c r="H266" s="96" t="s">
        <v>2147</v>
      </c>
      <c r="I266" s="97" t="s">
        <v>302</v>
      </c>
      <c r="J266" s="29" t="str">
        <f>INDEX(数据元说明!A:F,MATCH(I266,数据元说明!C:C,0),2)</f>
        <v>001005</v>
      </c>
      <c r="K266" s="98" t="str">
        <f>INDEX(数据元说明!A:F,MATCH(I266,数据元说明!C:C,0),5)</f>
        <v>YYYYMMDD，默认值99991231。</v>
      </c>
      <c r="L266" s="29" t="str">
        <f>INDEX(数据元说明!A:F,MATCH(I266,数据元说明!C:C,0),6)</f>
        <v>C8</v>
      </c>
    </row>
    <row r="267" s="85" customFormat="1" ht="36" outlineLevel="1" spans="1:16">
      <c r="A267" s="207"/>
      <c r="B267" s="208"/>
      <c r="C267" s="209"/>
      <c r="D267" s="209"/>
      <c r="E267" s="208"/>
      <c r="F267" s="98" t="s">
        <v>2148</v>
      </c>
      <c r="G267" s="101" t="s">
        <v>2149</v>
      </c>
      <c r="H267" s="96" t="s">
        <v>2150</v>
      </c>
      <c r="I267" s="98" t="s">
        <v>368</v>
      </c>
      <c r="J267" s="101" t="str">
        <f>INDEX(数据元说明!A:F,MATCH(I267,数据元说明!C:C,0),2)</f>
        <v>001021</v>
      </c>
      <c r="K267" s="98" t="str">
        <f>INDEX(数据元说明!A:F,MATCH(I267,数据元说明!C:C,0),5)</f>
        <v>柜员编号，银行自定义。</v>
      </c>
      <c r="L267" s="101" t="str">
        <f>INDEX(数据元说明!A:F,MATCH(I267,数据元说明!C:C,0),6)</f>
        <v>C..30</v>
      </c>
      <c r="M267" s="98" t="s">
        <v>2151</v>
      </c>
      <c r="N267" s="41"/>
      <c r="O267" s="41"/>
      <c r="P267" s="59"/>
    </row>
    <row r="268" s="81" customFormat="1" ht="30" customHeight="1" outlineLevel="1" spans="1:16">
      <c r="A268" s="154"/>
      <c r="B268" s="155"/>
      <c r="C268" s="156"/>
      <c r="D268" s="156"/>
      <c r="E268" s="155"/>
      <c r="F268" s="157" t="s">
        <v>955</v>
      </c>
      <c r="G268" s="43" t="s">
        <v>2152</v>
      </c>
      <c r="H268" s="153" t="s">
        <v>2153</v>
      </c>
      <c r="I268" s="157" t="s">
        <v>955</v>
      </c>
      <c r="J268" s="43" t="str">
        <f>INDEX(数据元说明!A:F,MATCH(I268,数据元说明!C:C,0),2)</f>
        <v>006003</v>
      </c>
      <c r="K268" s="158" t="str">
        <f>INDEX(数据元说明!A:F,MATCH(I268,数据元说明!C:C,0),5)</f>
        <v>未激活，正常，注销，冻结，睡眠，挂失，其他-银行自定义。以枚举类型填报，如果无法以枚举类型填报的，以“其他-XX”填报，其中XX为银行自定义的卡片状态。</v>
      </c>
      <c r="L268" s="43" t="str">
        <f>INDEX(数据元说明!A:F,MATCH(I268,数据元说明!C:C,0),6)</f>
        <v>C..30</v>
      </c>
      <c r="M268" s="158" t="s">
        <v>2154</v>
      </c>
      <c r="N268" s="139" t="s">
        <v>25</v>
      </c>
      <c r="O268" s="139" t="s">
        <v>275</v>
      </c>
      <c r="P268" s="206" t="s">
        <v>1606</v>
      </c>
    </row>
    <row r="269" s="81" customFormat="1" ht="30" customHeight="1" outlineLevel="1" spans="1:16">
      <c r="A269" s="134"/>
      <c r="B269" s="47"/>
      <c r="C269" s="39"/>
      <c r="D269" s="39"/>
      <c r="E269" s="47"/>
      <c r="F269" s="169" t="s">
        <v>449</v>
      </c>
      <c r="G269" s="148" t="s">
        <v>1571</v>
      </c>
      <c r="H269" s="148" t="s">
        <v>2155</v>
      </c>
      <c r="I269" s="169" t="s">
        <v>449</v>
      </c>
      <c r="J269" s="170" t="str">
        <f>INDEX(数据元说明!A:F,MATCH(I269,数据元说明!C:C,0),2)</f>
        <v>001040</v>
      </c>
      <c r="K269" s="171" t="str">
        <f>INDEX(数据元说明!A:F,MATCH(I269,数据元说明!C:C,0),5)</f>
        <v>银行自定义。</v>
      </c>
      <c r="L269" s="170" t="str">
        <f>INDEX(数据元说明!A:F,MATCH(I269,数据元说明!C:C,0),6)</f>
        <v>C..600</v>
      </c>
      <c r="M269" s="149" t="s">
        <v>1573</v>
      </c>
      <c r="N269" s="143" t="s">
        <v>57</v>
      </c>
      <c r="O269" s="173"/>
      <c r="P269" s="173"/>
    </row>
    <row r="270" ht="30" customHeight="1" outlineLevel="1" spans="1:16">
      <c r="E270" s="94"/>
      <c r="F270" s="97" t="s">
        <v>1574</v>
      </c>
      <c r="G270" s="29" t="s">
        <v>1575</v>
      </c>
      <c r="H270" s="96" t="s">
        <v>2156</v>
      </c>
      <c r="I270" s="97" t="s">
        <v>302</v>
      </c>
      <c r="J270" s="29" t="str">
        <f>INDEX(数据元说明!A:F,MATCH(I270,数据元说明!C:C,0),2)</f>
        <v>001005</v>
      </c>
      <c r="K270" s="98" t="str">
        <f>INDEX(数据元说明!A:F,MATCH(I270,数据元说明!C:C,0),5)</f>
        <v>YYYYMMDD，默认值99991231。</v>
      </c>
      <c r="L270" s="29" t="str">
        <f>INDEX(数据元说明!A:F,MATCH(I270,数据元说明!C:C,0),6)</f>
        <v>C8</v>
      </c>
      <c r="M270" s="98" t="s">
        <v>1577</v>
      </c>
    </row>
    <row r="271" s="61" customFormat="1" ht="30" customHeight="1" spans="1:16">
      <c r="A271" s="165"/>
      <c r="B271" s="166"/>
      <c r="C271" s="19" t="s">
        <v>70</v>
      </c>
      <c r="D271" s="24" t="s">
        <v>71</v>
      </c>
      <c r="E271" s="126">
        <v>302</v>
      </c>
      <c r="F271" s="127"/>
      <c r="G271" s="126"/>
      <c r="H271" s="126"/>
      <c r="I271" s="127"/>
      <c r="J271" s="126"/>
      <c r="K271" s="152"/>
      <c r="L271" s="126"/>
      <c r="M271" s="128" t="str">
        <f>INDEX(表结构总览!E:H,MATCH(D271,表结构总览!E:E,0),4)</f>
        <v>个人和对公客户在银行机构开办的存折信息。包括存折和存单。本表需每月全量报送，当存折状态为“注销”时，可在报送最后状态的次月不再报送。</v>
      </c>
      <c r="N271" s="129" t="s">
        <v>25</v>
      </c>
      <c r="O271" s="129" t="s">
        <v>449</v>
      </c>
      <c r="P271" s="41"/>
    </row>
    <row r="272" ht="30" customHeight="1" outlineLevel="1" spans="1:16">
      <c r="A272" s="159"/>
      <c r="B272" s="160"/>
      <c r="E272" s="94"/>
      <c r="F272" s="97" t="s">
        <v>325</v>
      </c>
      <c r="G272" s="29" t="s">
        <v>1520</v>
      </c>
      <c r="H272" s="96" t="s">
        <v>2157</v>
      </c>
      <c r="I272" s="97" t="s">
        <v>325</v>
      </c>
      <c r="J272" s="29" t="str">
        <f>INDEX(数据元说明!A:F,MATCH(I272,数据元说明!C:C,0),2)</f>
        <v>001010</v>
      </c>
      <c r="K272" s="98" t="str">
        <f>INDEX(数据元说明!A:F,MATCH(I272,数据元说明!C:C,0),5)</f>
        <v>12位人行支付行号或SWIFT行号。</v>
      </c>
      <c r="L272" s="29" t="str">
        <f>INDEX(数据元说明!A:F,MATCH(I272,数据元说明!C:C,0),6)</f>
        <v>C..30</v>
      </c>
      <c r="M272" s="98" t="s">
        <v>2158</v>
      </c>
    </row>
    <row r="273" s="81" customFormat="1" ht="30" customHeight="1" outlineLevel="1" spans="1:16">
      <c r="A273" s="134"/>
      <c r="B273" s="47"/>
      <c r="C273" s="39"/>
      <c r="D273" s="39"/>
      <c r="E273" s="47"/>
      <c r="F273" s="135" t="s">
        <v>329</v>
      </c>
      <c r="G273" s="136" t="s">
        <v>1526</v>
      </c>
      <c r="H273" s="153" t="s">
        <v>2159</v>
      </c>
      <c r="I273" s="135" t="s">
        <v>329</v>
      </c>
      <c r="J273" s="136" t="str">
        <f>INDEX(数据元说明!A:F,MATCH(I273,数据元说明!C:C,0),2)</f>
        <v>001011</v>
      </c>
      <c r="K273" s="138" t="str">
        <f>INDEX(数据元说明!A:F,MATCH(I273,数据元说明!C:C,0),5)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73" s="136" t="str">
        <f>INDEX(数据元说明!A:F,MATCH(I273,数据元说明!C:C,0),6)</f>
        <v>C..30</v>
      </c>
      <c r="M273" s="138" t="s">
        <v>2160</v>
      </c>
      <c r="N273" s="129" t="s">
        <v>25</v>
      </c>
      <c r="O273" s="129" t="s">
        <v>449</v>
      </c>
      <c r="P273" s="139"/>
    </row>
    <row r="274" ht="30" customHeight="1" outlineLevel="1" spans="1:16">
      <c r="A274" s="159"/>
      <c r="B274" s="160"/>
      <c r="E274" s="94"/>
      <c r="F274" s="97" t="s">
        <v>333</v>
      </c>
      <c r="G274" s="29" t="s">
        <v>1523</v>
      </c>
      <c r="H274" s="96" t="s">
        <v>2161</v>
      </c>
      <c r="I274" s="97" t="s">
        <v>333</v>
      </c>
      <c r="J274" s="29" t="str">
        <f>INDEX(数据元说明!A:F,MATCH(I274,数据元说明!C:C,0),2)</f>
        <v>001012</v>
      </c>
      <c r="K274" s="98" t="str">
        <f>INDEX(数据元说明!A:F,MATCH(I274,数据元说明!C:C,0),5)</f>
        <v>银行内部机构号。应具有标识机构的唯一性。</v>
      </c>
      <c r="L274" s="29" t="str">
        <f>INDEX(数据元说明!A:F,MATCH(I274,数据元说明!C:C,0),6)</f>
        <v>C..30</v>
      </c>
      <c r="M274" s="98" t="s">
        <v>2162</v>
      </c>
    </row>
    <row r="275" s="61" customFormat="1" ht="30" customHeight="1" outlineLevel="1" spans="1:16">
      <c r="A275" s="159"/>
      <c r="B275" s="160"/>
      <c r="C275" s="95"/>
      <c r="D275" s="95"/>
      <c r="E275" s="94"/>
      <c r="F275" s="97" t="s">
        <v>453</v>
      </c>
      <c r="G275" s="29" t="s">
        <v>1680</v>
      </c>
      <c r="H275" s="96" t="s">
        <v>2163</v>
      </c>
      <c r="I275" s="97" t="s">
        <v>453</v>
      </c>
      <c r="J275" s="29" t="str">
        <f>INDEX(数据元说明!A:F,MATCH(I275,数据元说明!C:C,0),2)</f>
        <v>002001</v>
      </c>
      <c r="K275" s="98" t="str">
        <f>INDEX(数据元说明!A:F,MATCH(I275,数据元说明!C:C,0),5)</f>
        <v>银行自定义的唯一识别客户的标识。供应链融资的填写供应链融资编码。</v>
      </c>
      <c r="L275" s="29" t="str">
        <f>INDEX(数据元说明!A:F,MATCH(I275,数据元说明!C:C,0),6)</f>
        <v>C..60</v>
      </c>
      <c r="M275" s="98" t="s">
        <v>1697</v>
      </c>
      <c r="N275" s="33" t="s">
        <v>25</v>
      </c>
      <c r="O275" s="99"/>
      <c r="P275" s="204" t="s">
        <v>1588</v>
      </c>
    </row>
    <row r="276" s="81" customFormat="1" ht="30" customHeight="1" outlineLevel="1" spans="1:16">
      <c r="A276" s="167"/>
      <c r="B276" s="168"/>
      <c r="C276" s="176"/>
      <c r="D276" s="176"/>
      <c r="E276" s="155"/>
      <c r="F276" s="157" t="s">
        <v>1737</v>
      </c>
      <c r="G276" s="43" t="s">
        <v>1738</v>
      </c>
      <c r="H276" s="153" t="s">
        <v>2164</v>
      </c>
      <c r="I276" s="157" t="s">
        <v>353</v>
      </c>
      <c r="J276" s="43" t="str">
        <f>INDEX(数据元说明!A:F,MATCH(I276,数据元说明!C:C,0),2)</f>
        <v>001017</v>
      </c>
      <c r="K276" s="158" t="str">
        <f>INDEX(数据元说明!A:F,MATCH(I276,数据元说明!C:C,0),5)</f>
        <v>姓名。</v>
      </c>
      <c r="L276" s="43" t="str">
        <f>INDEX(数据元说明!A:F,MATCH(I276,数据元说明!C:C,0),6)</f>
        <v>C..200</v>
      </c>
      <c r="M276" s="158" t="s">
        <v>1740</v>
      </c>
      <c r="N276" s="143" t="s">
        <v>57</v>
      </c>
      <c r="O276" s="140"/>
      <c r="P276" s="140"/>
    </row>
    <row r="277" ht="30" customHeight="1" outlineLevel="1" spans="1:16">
      <c r="A277" s="159"/>
      <c r="B277" s="160"/>
      <c r="E277" s="94"/>
      <c r="F277" s="97" t="s">
        <v>457</v>
      </c>
      <c r="G277" s="29" t="s">
        <v>1592</v>
      </c>
      <c r="H277" s="96" t="s">
        <v>2165</v>
      </c>
      <c r="I277" s="97" t="s">
        <v>457</v>
      </c>
      <c r="J277" s="29" t="str">
        <f>INDEX(数据元说明!A:F,MATCH(I277,数据元说明!C:C,0),2)</f>
        <v>002002</v>
      </c>
      <c r="K277" s="98" t="str">
        <f>INDEX(数据元说明!A:F,MATCH(I277,数据元说明!C:C,0),5)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277" s="29" t="str">
        <f>INDEX(数据元说明!A:F,MATCH(I277,数据元说明!C:C,0),6)</f>
        <v>C..60</v>
      </c>
    </row>
    <row r="278" s="81" customFormat="1" ht="30" customHeight="1" outlineLevel="1" spans="1:16">
      <c r="A278" s="154"/>
      <c r="B278" s="155"/>
      <c r="C278" s="156"/>
      <c r="D278" s="156"/>
      <c r="E278" s="155"/>
      <c r="F278" s="157" t="s">
        <v>461</v>
      </c>
      <c r="G278" s="43" t="s">
        <v>1594</v>
      </c>
      <c r="H278" s="153" t="s">
        <v>2166</v>
      </c>
      <c r="I278" s="157" t="s">
        <v>461</v>
      </c>
      <c r="J278" s="43" t="str">
        <f>INDEX(数据元说明!A:F,MATCH(I278,数据元说明!C:C,0),2)</f>
        <v>002003</v>
      </c>
      <c r="K278" s="158" t="str">
        <f>INDEX(数据元说明!A:F,MATCH(I278,数据元说明!C:C,0),5)</f>
        <v>与证件类别对应的证件号码。涉及个人身份证件时需按照本规范给定规则进行脱敏处理。</v>
      </c>
      <c r="L278" s="43" t="str">
        <f>INDEX(数据元说明!A:F,MATCH(I278,数据元说明!C:C,0),6)</f>
        <v>C..70</v>
      </c>
      <c r="M278" s="158" t="s">
        <v>2128</v>
      </c>
      <c r="N278" s="139" t="s">
        <v>25</v>
      </c>
      <c r="O278" s="139" t="s">
        <v>280</v>
      </c>
      <c r="P278" s="205"/>
    </row>
    <row r="279" s="61" customFormat="1" ht="30" customHeight="1" outlineLevel="1" spans="1:16">
      <c r="A279" s="159"/>
      <c r="B279" s="160"/>
      <c r="C279" s="95"/>
      <c r="D279" s="95"/>
      <c r="E279" s="94"/>
      <c r="F279" s="97" t="s">
        <v>2167</v>
      </c>
      <c r="G279" s="29" t="s">
        <v>2168</v>
      </c>
      <c r="H279" s="96" t="s">
        <v>2169</v>
      </c>
      <c r="I279" s="97" t="s">
        <v>570</v>
      </c>
      <c r="J279" s="29" t="str">
        <f>INDEX(数据元说明!A:F,MATCH(I279,数据元说明!C:C,0),2)</f>
        <v>003001</v>
      </c>
      <c r="K279" s="98" t="str">
        <f>INDEX(数据元说明!A:F,MATCH(I279,数据元说明!C:C,0),5)</f>
        <v>系统内最细一级的账号，无唯一性约束，不需要和序号、子序号等做拼接。</v>
      </c>
      <c r="L279" s="29" t="str">
        <f>INDEX(数据元说明!A:F,MATCH(I279,数据元说明!C:C,0),6)</f>
        <v>C..60</v>
      </c>
      <c r="M279" s="98" t="s">
        <v>2170</v>
      </c>
      <c r="N279" s="33" t="s">
        <v>25</v>
      </c>
      <c r="O279" s="99"/>
      <c r="P279" s="204" t="s">
        <v>1588</v>
      </c>
    </row>
    <row r="280" s="81" customFormat="1" ht="30" customHeight="1" outlineLevel="1" spans="1:16">
      <c r="A280" s="154"/>
      <c r="B280" s="155"/>
      <c r="C280" s="156"/>
      <c r="D280" s="156"/>
      <c r="E280" s="155"/>
      <c r="F280" s="157" t="s">
        <v>2171</v>
      </c>
      <c r="G280" s="43" t="s">
        <v>2132</v>
      </c>
      <c r="H280" s="153" t="s">
        <v>2172</v>
      </c>
      <c r="I280" s="157" t="s">
        <v>570</v>
      </c>
      <c r="J280" s="43" t="str">
        <f>INDEX(数据元说明!A:F,MATCH(I280,数据元说明!C:C,0),2)</f>
        <v>003001</v>
      </c>
      <c r="K280" s="158" t="str">
        <f>INDEX(数据元说明!A:F,MATCH(I280,数据元说明!C:C,0),5)</f>
        <v>系统内最细一级的账号，无唯一性约束，不需要和序号、子序号等做拼接。</v>
      </c>
      <c r="L280" s="43" t="str">
        <f>INDEX(数据元说明!A:F,MATCH(I280,数据元说明!C:C,0),6)</f>
        <v>C..60</v>
      </c>
      <c r="M280" s="158" t="s">
        <v>2173</v>
      </c>
      <c r="N280" s="129" t="s">
        <v>25</v>
      </c>
      <c r="O280" s="129" t="s">
        <v>449</v>
      </c>
      <c r="P280" s="206" t="s">
        <v>1588</v>
      </c>
    </row>
    <row r="281" ht="30" customHeight="1" outlineLevel="1" spans="1:16">
      <c r="A281" s="159"/>
      <c r="B281" s="160"/>
      <c r="E281" s="94"/>
      <c r="F281" s="97" t="s">
        <v>959</v>
      </c>
      <c r="G281" s="29" t="s">
        <v>2174</v>
      </c>
      <c r="H281" s="96" t="s">
        <v>2175</v>
      </c>
      <c r="I281" s="97" t="s">
        <v>959</v>
      </c>
      <c r="J281" s="29" t="str">
        <f>INDEX(数据元说明!A:F,MATCH(I281,数据元说明!C:C,0),2)</f>
        <v>006004</v>
      </c>
      <c r="K281" s="98" t="str">
        <f>INDEX(数据元说明!A:F,MATCH(I281,数据元说明!C:C,0),5)</f>
        <v>普通存折，存单，一本通，大额定期存单，其他-银行自定义。无法以枚举类型填报的，以“其他-XX”填报，其中XX为银行自定义的类型。</v>
      </c>
      <c r="L281" s="29" t="str">
        <f>INDEX(数据元说明!A:F,MATCH(I281,数据元说明!C:C,0),6)</f>
        <v>C..20</v>
      </c>
    </row>
    <row r="282" ht="30" customHeight="1" outlineLevel="1" spans="1:16">
      <c r="A282" s="159"/>
      <c r="B282" s="160"/>
      <c r="E282" s="94"/>
      <c r="F282" s="97" t="s">
        <v>2141</v>
      </c>
      <c r="G282" s="29" t="s">
        <v>2142</v>
      </c>
      <c r="H282" s="96" t="s">
        <v>2176</v>
      </c>
      <c r="I282" s="97" t="s">
        <v>287</v>
      </c>
      <c r="J282" s="29" t="str">
        <f>INDEX(数据元说明!A:F,MATCH(I282,数据元说明!C:C,0),2)</f>
        <v>001002</v>
      </c>
      <c r="K282" s="98" t="str">
        <f>INDEX(数据元说明!A:F,MATCH(I282,数据元说明!C:C,0),5)</f>
        <v>是，否。</v>
      </c>
      <c r="L282" s="29" t="str">
        <f>INDEX(数据元说明!A:F,MATCH(I282,数据元说明!C:C,0),6)</f>
        <v>C3</v>
      </c>
      <c r="M282" s="98" t="s">
        <v>2144</v>
      </c>
    </row>
    <row r="283" ht="30" customHeight="1" outlineLevel="1" spans="1:16">
      <c r="A283" s="159"/>
      <c r="B283" s="160"/>
      <c r="E283" s="94"/>
      <c r="F283" s="97" t="s">
        <v>2177</v>
      </c>
      <c r="G283" s="29" t="s">
        <v>2178</v>
      </c>
      <c r="H283" s="96" t="s">
        <v>2179</v>
      </c>
      <c r="I283" s="97" t="s">
        <v>302</v>
      </c>
      <c r="J283" s="29" t="str">
        <f>INDEX(数据元说明!A:F,MATCH(I283,数据元说明!C:C,0),2)</f>
        <v>001005</v>
      </c>
      <c r="K283" s="98" t="str">
        <f>INDEX(数据元说明!A:F,MATCH(I283,数据元说明!C:C,0),5)</f>
        <v>YYYYMMDD，默认值99991231。</v>
      </c>
      <c r="L283" s="29" t="str">
        <f>INDEX(数据元说明!A:F,MATCH(I283,数据元说明!C:C,0),6)</f>
        <v>C8</v>
      </c>
      <c r="M283" s="98" t="s">
        <v>2180</v>
      </c>
    </row>
    <row r="284" ht="30" customHeight="1" outlineLevel="1" spans="1:16">
      <c r="A284" s="159"/>
      <c r="B284" s="160"/>
      <c r="E284" s="94"/>
      <c r="F284" s="97" t="s">
        <v>2181</v>
      </c>
      <c r="G284" s="29" t="s">
        <v>2182</v>
      </c>
      <c r="H284" s="96" t="s">
        <v>2183</v>
      </c>
      <c r="I284" s="97" t="s">
        <v>368</v>
      </c>
      <c r="J284" s="29" t="str">
        <f>INDEX(数据元说明!A:F,MATCH(I284,数据元说明!C:C,0),2)</f>
        <v>001021</v>
      </c>
      <c r="K284" s="98" t="str">
        <f>INDEX(数据元说明!A:F,MATCH(I284,数据元说明!C:C,0),5)</f>
        <v>柜员编号，银行自定义。</v>
      </c>
      <c r="L284" s="29" t="str">
        <f>INDEX(数据元说明!A:F,MATCH(I284,数据元说明!C:C,0),6)</f>
        <v>C..30</v>
      </c>
      <c r="M284" s="98" t="s">
        <v>2184</v>
      </c>
    </row>
    <row r="285" ht="30" customHeight="1" outlineLevel="1" spans="1:16">
      <c r="A285" s="159"/>
      <c r="B285" s="160"/>
      <c r="E285" s="94"/>
      <c r="F285" s="97" t="s">
        <v>963</v>
      </c>
      <c r="G285" s="29" t="s">
        <v>2185</v>
      </c>
      <c r="H285" s="96" t="s">
        <v>2186</v>
      </c>
      <c r="I285" s="97" t="s">
        <v>963</v>
      </c>
      <c r="J285" s="29" t="str">
        <f>INDEX(数据元说明!A:F,MATCH(I285,数据元说明!C:C,0),2)</f>
        <v>006005</v>
      </c>
      <c r="K285" s="98" t="str">
        <f>INDEX(数据元说明!A:F,MATCH(I285,数据元说明!C:C,0),5)</f>
        <v>未激活，正常，注销，冻结，睡眠，挂失，其他-银行自定义。无法以枚举类型填报的，以“其他-XX”填报，其中XX为银行自定义状态。</v>
      </c>
      <c r="L285" s="29" t="str">
        <f>INDEX(数据元说明!A:F,MATCH(I285,数据元说明!C:C,0),6)</f>
        <v>C..30</v>
      </c>
    </row>
    <row r="286" s="81" customFormat="1" ht="30" customHeight="1" outlineLevel="1" spans="1:16">
      <c r="A286" s="134"/>
      <c r="B286" s="47"/>
      <c r="C286" s="39"/>
      <c r="D286" s="39"/>
      <c r="E286" s="47"/>
      <c r="F286" s="169" t="s">
        <v>449</v>
      </c>
      <c r="G286" s="148" t="s">
        <v>1571</v>
      </c>
      <c r="H286" s="148" t="s">
        <v>2187</v>
      </c>
      <c r="I286" s="169" t="s">
        <v>449</v>
      </c>
      <c r="J286" s="170" t="str">
        <f>INDEX(数据元说明!A:F,MATCH(I286,数据元说明!C:C,0),2)</f>
        <v>001040</v>
      </c>
      <c r="K286" s="171" t="str">
        <f>INDEX(数据元说明!A:F,MATCH(I286,数据元说明!C:C,0),5)</f>
        <v>银行自定义。</v>
      </c>
      <c r="L286" s="170" t="str">
        <f>INDEX(数据元说明!A:F,MATCH(I286,数据元说明!C:C,0),6)</f>
        <v>C..600</v>
      </c>
      <c r="M286" s="149" t="s">
        <v>1573</v>
      </c>
      <c r="N286" s="143" t="s">
        <v>57</v>
      </c>
      <c r="O286" s="173"/>
      <c r="P286" s="173"/>
    </row>
    <row r="287" ht="30" customHeight="1" outlineLevel="1" spans="1:16">
      <c r="E287" s="94"/>
      <c r="F287" s="97" t="s">
        <v>1574</v>
      </c>
      <c r="G287" s="29" t="s">
        <v>1575</v>
      </c>
      <c r="H287" s="96" t="s">
        <v>2188</v>
      </c>
      <c r="I287" s="97" t="s">
        <v>302</v>
      </c>
      <c r="J287" s="29" t="str">
        <f>INDEX(数据元说明!A:F,MATCH(I287,数据元说明!C:C,0),2)</f>
        <v>001005</v>
      </c>
      <c r="K287" s="98" t="str">
        <f>INDEX(数据元说明!A:F,MATCH(I287,数据元说明!C:C,0),5)</f>
        <v>YYYYMMDD，默认值99991231。</v>
      </c>
      <c r="L287" s="29" t="str">
        <f>INDEX(数据元说明!A:F,MATCH(I287,数据元说明!C:C,0),6)</f>
        <v>C8</v>
      </c>
      <c r="M287" s="98" t="s">
        <v>1577</v>
      </c>
    </row>
    <row r="288" s="83" customFormat="1" ht="30" customHeight="1" spans="1:16">
      <c r="A288" s="210"/>
      <c r="B288" s="211"/>
      <c r="C288" s="190" t="s">
        <v>73</v>
      </c>
      <c r="D288" s="191" t="s">
        <v>74</v>
      </c>
      <c r="E288" s="192" t="s">
        <v>2189</v>
      </c>
      <c r="F288" s="193"/>
      <c r="G288" s="194"/>
      <c r="H288" s="192"/>
      <c r="I288" s="193"/>
      <c r="J288" s="194"/>
      <c r="K288" s="195"/>
      <c r="L288" s="194"/>
      <c r="M288" s="193" t="str">
        <f>INDEX(表结构总览!E:H,MATCH(D288,表结构总览!E:E,0),4)</f>
        <v>报送本行因线下线上收单业务而拓展的线下POS终端、线上终端以及二维码商户的信息。同一商户存在多个POS终端的，按多条报送。商户状态为“失效”或“注销”等状态的，在报送最后状态的次月可不再报送。</v>
      </c>
      <c r="N288" s="143" t="s">
        <v>57</v>
      </c>
      <c r="O288" s="143"/>
      <c r="P288" s="212"/>
    </row>
    <row r="289" s="48" customFormat="1" ht="30" customHeight="1" outlineLevel="1" spans="1:16">
      <c r="A289" s="207"/>
      <c r="B289" s="208"/>
      <c r="C289" s="209"/>
      <c r="D289" s="209"/>
      <c r="E289" s="208"/>
      <c r="F289" s="158" t="s">
        <v>325</v>
      </c>
      <c r="G289" s="213" t="s">
        <v>1520</v>
      </c>
      <c r="H289" s="214" t="s">
        <v>2190</v>
      </c>
      <c r="I289" s="158" t="s">
        <v>325</v>
      </c>
      <c r="J289" s="213" t="str">
        <f>INDEX(数据元说明!A:F,MATCH(I289,数据元说明!C:C,0),2)</f>
        <v>001010</v>
      </c>
      <c r="K289" s="158" t="str">
        <f>INDEX(数据元说明!A:F,MATCH(I289,数据元说明!C:C,0),5)</f>
        <v>12位人行支付行号或SWIFT行号。</v>
      </c>
      <c r="L289" s="213" t="str">
        <f>INDEX(数据元说明!A:F,MATCH(I289,数据元说明!C:C,0),6)</f>
        <v>C..30</v>
      </c>
      <c r="M289" s="158" t="s">
        <v>2191</v>
      </c>
      <c r="N289" s="143" t="s">
        <v>57</v>
      </c>
      <c r="O289" s="99"/>
      <c r="P289" s="41"/>
    </row>
    <row r="290" s="81" customFormat="1" ht="30" customHeight="1" outlineLevel="1" spans="1:16">
      <c r="A290" s="134"/>
      <c r="B290" s="47"/>
      <c r="C290" s="39"/>
      <c r="D290" s="39"/>
      <c r="E290" s="47"/>
      <c r="F290" s="135" t="s">
        <v>329</v>
      </c>
      <c r="G290" s="136" t="s">
        <v>1526</v>
      </c>
      <c r="H290" s="214" t="s">
        <v>2192</v>
      </c>
      <c r="I290" s="135" t="s">
        <v>329</v>
      </c>
      <c r="J290" s="136" t="str">
        <f>INDEX(数据元说明!A:F,MATCH(I290,数据元说明!C:C,0),2)</f>
        <v>001011</v>
      </c>
      <c r="K290" s="138" t="str">
        <f>INDEX(数据元说明!A:F,MATCH(I290,数据元说明!C:C,0),5)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290" s="136" t="str">
        <f>INDEX(数据元说明!A:F,MATCH(I290,数据元说明!C:C,0),6)</f>
        <v>C..30</v>
      </c>
      <c r="M290" s="138" t="s">
        <v>2193</v>
      </c>
      <c r="N290" s="143" t="s">
        <v>57</v>
      </c>
      <c r="O290" s="99"/>
      <c r="P290" s="139"/>
    </row>
    <row r="291" s="48" customFormat="1" ht="30" customHeight="1" outlineLevel="1" spans="1:16">
      <c r="A291" s="207"/>
      <c r="B291" s="208"/>
      <c r="C291" s="209"/>
      <c r="D291" s="209"/>
      <c r="E291" s="208"/>
      <c r="F291" s="158" t="s">
        <v>333</v>
      </c>
      <c r="G291" s="213" t="s">
        <v>1523</v>
      </c>
      <c r="H291" s="214" t="s">
        <v>2194</v>
      </c>
      <c r="I291" s="158" t="s">
        <v>333</v>
      </c>
      <c r="J291" s="213" t="str">
        <f>INDEX(数据元说明!A:F,MATCH(I291,数据元说明!C:C,0),2)</f>
        <v>001012</v>
      </c>
      <c r="K291" s="158" t="str">
        <f>INDEX(数据元说明!A:F,MATCH(I291,数据元说明!C:C,0),5)</f>
        <v>银行内部机构号。应具有标识机构的唯一性。</v>
      </c>
      <c r="L291" s="213" t="str">
        <f>INDEX(数据元说明!A:F,MATCH(I291,数据元说明!C:C,0),6)</f>
        <v>C..30</v>
      </c>
      <c r="M291" s="158" t="s">
        <v>2195</v>
      </c>
      <c r="N291" s="143" t="s">
        <v>57</v>
      </c>
      <c r="O291" s="99"/>
      <c r="P291" s="41"/>
    </row>
    <row r="292" s="48" customFormat="1" ht="30" customHeight="1" outlineLevel="1" spans="1:16">
      <c r="A292" s="207"/>
      <c r="B292" s="208"/>
      <c r="C292" s="209"/>
      <c r="D292" s="209"/>
      <c r="E292" s="208"/>
      <c r="F292" s="158" t="s">
        <v>978</v>
      </c>
      <c r="G292" s="213" t="s">
        <v>2196</v>
      </c>
      <c r="H292" s="214" t="s">
        <v>2197</v>
      </c>
      <c r="I292" s="158" t="s">
        <v>978</v>
      </c>
      <c r="J292" s="213" t="str">
        <f>INDEX(数据元说明!A:F,MATCH(I292,数据元说明!C:C,0),2)</f>
        <v>006009</v>
      </c>
      <c r="K292" s="158" t="str">
        <f>INDEX(数据元说明!A:F,MATCH(I292,数据元说明!C:C,0),5)</f>
        <v>唯一识别商户的编码。可以是商业银行自有商户编号，也可以是第三方支付机构收单交易显示的商户编号。</v>
      </c>
      <c r="L292" s="213" t="str">
        <f>INDEX(数据元说明!A:F,MATCH(I292,数据元说明!C:C,0),6)</f>
        <v>C..200</v>
      </c>
      <c r="M292" s="158" t="s">
        <v>2198</v>
      </c>
      <c r="N292" s="143" t="s">
        <v>57</v>
      </c>
      <c r="O292" s="99"/>
      <c r="P292" s="41"/>
    </row>
    <row r="293" s="48" customFormat="1" ht="30" customHeight="1" outlineLevel="1" spans="1:16">
      <c r="A293" s="207"/>
      <c r="B293" s="208"/>
      <c r="C293" s="209"/>
      <c r="D293" s="209"/>
      <c r="E293" s="208"/>
      <c r="F293" s="158" t="s">
        <v>982</v>
      </c>
      <c r="G293" s="213" t="s">
        <v>2199</v>
      </c>
      <c r="H293" s="214" t="s">
        <v>2200</v>
      </c>
      <c r="I293" s="158" t="s">
        <v>982</v>
      </c>
      <c r="J293" s="213" t="str">
        <f>INDEX(数据元说明!A:F,MATCH(I293,数据元说明!C:C,0),2)</f>
        <v>006010</v>
      </c>
      <c r="K293" s="158" t="str">
        <f>INDEX(数据元说明!A:F,MATCH(I293,数据元说明!C:C,0),5)</f>
        <v>商户注册登记的名称。</v>
      </c>
      <c r="L293" s="213" t="str">
        <f>INDEX(数据元说明!A:F,MATCH(I293,数据元说明!C:C,0),6)</f>
        <v>C..400</v>
      </c>
      <c r="M293" s="158" t="s">
        <v>2201</v>
      </c>
      <c r="N293" s="143" t="s">
        <v>57</v>
      </c>
      <c r="O293" s="99"/>
      <c r="P293" s="41"/>
    </row>
    <row r="294" s="48" customFormat="1" ht="30" customHeight="1" outlineLevel="1" spans="1:16">
      <c r="A294" s="207"/>
      <c r="B294" s="208"/>
      <c r="C294" s="209"/>
      <c r="D294" s="209"/>
      <c r="E294" s="208"/>
      <c r="F294" s="158" t="s">
        <v>2202</v>
      </c>
      <c r="G294" s="213" t="s">
        <v>2203</v>
      </c>
      <c r="H294" s="214" t="s">
        <v>2204</v>
      </c>
      <c r="I294" s="158" t="s">
        <v>287</v>
      </c>
      <c r="J294" s="213" t="str">
        <f>INDEX(数据元说明!A:F,MATCH(I294,数据元说明!C:C,0),2)</f>
        <v>001002</v>
      </c>
      <c r="K294" s="158" t="str">
        <f>INDEX(数据元说明!A:F,MATCH(I294,数据元说明!C:C,0),5)</f>
        <v>是，否。</v>
      </c>
      <c r="L294" s="44" t="str">
        <f>INDEX(数据元说明!A:F,MATCH(I294,数据元说明!C:C,0),6)</f>
        <v>C3</v>
      </c>
      <c r="M294" s="158" t="s">
        <v>2205</v>
      </c>
      <c r="N294" s="143" t="s">
        <v>57</v>
      </c>
      <c r="O294" s="99"/>
      <c r="P294" s="41"/>
    </row>
    <row r="295" s="48" customFormat="1" ht="30" customHeight="1" outlineLevel="1" spans="1:16">
      <c r="A295" s="207"/>
      <c r="B295" s="208"/>
      <c r="C295" s="209"/>
      <c r="D295" s="209"/>
      <c r="E295" s="208"/>
      <c r="F295" s="158" t="s">
        <v>1007</v>
      </c>
      <c r="G295" s="213" t="s">
        <v>2206</v>
      </c>
      <c r="H295" s="214" t="s">
        <v>2207</v>
      </c>
      <c r="I295" s="158" t="s">
        <v>1007</v>
      </c>
      <c r="J295" s="213" t="str">
        <f>INDEX(数据元说明!A:F,MATCH(I295,数据元说明!C:C,0),2)</f>
        <v>006016</v>
      </c>
      <c r="K295" s="158" t="str">
        <f>INDEX(数据元说明!A:F,MATCH(I295,数据元说明!C:C,0),5)</f>
        <v>银行自定义的唯一标识POS终端编码。</v>
      </c>
      <c r="L295" s="44" t="str">
        <f>INDEX(数据元说明!A:F,MATCH(I295,数据元说明!C:C,0),6)</f>
        <v>C..30</v>
      </c>
      <c r="M295" s="158" t="s">
        <v>2208</v>
      </c>
      <c r="N295" s="143" t="s">
        <v>57</v>
      </c>
      <c r="O295" s="99"/>
      <c r="P295" s="41"/>
    </row>
    <row r="296" s="48" customFormat="1" ht="30" customHeight="1" outlineLevel="1" spans="1:16">
      <c r="A296" s="207"/>
      <c r="B296" s="208"/>
      <c r="C296" s="209"/>
      <c r="D296" s="209"/>
      <c r="E296" s="208"/>
      <c r="F296" s="158" t="s">
        <v>986</v>
      </c>
      <c r="G296" s="213" t="s">
        <v>2209</v>
      </c>
      <c r="H296" s="214" t="s">
        <v>2210</v>
      </c>
      <c r="I296" s="158" t="s">
        <v>986</v>
      </c>
      <c r="J296" s="213" t="str">
        <f>INDEX(数据元说明!A:F,MATCH(I296,数据元说明!C:C,0),2)</f>
        <v>006011</v>
      </c>
      <c r="K296" s="158" t="str">
        <f>INDEX(数据元说明!A:F,MATCH(I296,数据元说明!C:C,0),5)</f>
        <v>商户类别码。由四位数字代码组成。</v>
      </c>
      <c r="L296" s="44" t="str">
        <f>INDEX(数据元说明!A:F,MATCH(I296,数据元说明!C:C,0),6)</f>
        <v>C4</v>
      </c>
      <c r="M296" s="158" t="s">
        <v>2211</v>
      </c>
      <c r="N296" s="143" t="s">
        <v>57</v>
      </c>
      <c r="O296" s="99"/>
      <c r="P296" s="41"/>
    </row>
    <row r="297" s="48" customFormat="1" ht="30" customHeight="1" outlineLevel="1" spans="1:16">
      <c r="A297" s="207"/>
      <c r="B297" s="208"/>
      <c r="C297" s="209"/>
      <c r="D297" s="209"/>
      <c r="E297" s="208"/>
      <c r="F297" s="158" t="s">
        <v>991</v>
      </c>
      <c r="G297" s="213" t="s">
        <v>2212</v>
      </c>
      <c r="H297" s="214" t="s">
        <v>2213</v>
      </c>
      <c r="I297" s="158" t="s">
        <v>991</v>
      </c>
      <c r="J297" s="213" t="str">
        <f>INDEX(数据元说明!A:F,MATCH(I297,数据元说明!C:C,0),2)</f>
        <v>006012</v>
      </c>
      <c r="K297" s="158" t="str">
        <f>INDEX(数据元说明!A:F,MATCH(I297,数据元说明!C:C,0),5)</f>
        <v>商户类别码对应的名称。</v>
      </c>
      <c r="L297" s="44" t="str">
        <f>INDEX(数据元说明!A:F,MATCH(I297,数据元说明!C:C,0),6)</f>
        <v>C..400</v>
      </c>
      <c r="M297" s="158"/>
      <c r="N297" s="143" t="s">
        <v>57</v>
      </c>
      <c r="O297" s="99"/>
      <c r="P297" s="41"/>
    </row>
    <row r="298" s="48" customFormat="1" ht="30" customHeight="1" outlineLevel="1" spans="1:16">
      <c r="A298" s="207"/>
      <c r="B298" s="208"/>
      <c r="C298" s="209"/>
      <c r="D298" s="209"/>
      <c r="E298" s="208"/>
      <c r="F298" s="158" t="s">
        <v>2214</v>
      </c>
      <c r="G298" s="213" t="s">
        <v>2215</v>
      </c>
      <c r="H298" s="214" t="s">
        <v>2216</v>
      </c>
      <c r="I298" s="158" t="s">
        <v>403</v>
      </c>
      <c r="J298" s="213" t="str">
        <f>INDEX(数据元说明!A:F,MATCH(I298,数据元说明!C:C,0),2)</f>
        <v>001030</v>
      </c>
      <c r="K298" s="158" t="str">
        <f>INDEX(数据元说明!A:F,MATCH(I298,数据元说明!C:C,0),5)</f>
        <v>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v>
      </c>
      <c r="L298" s="44" t="str">
        <f>INDEX(数据元说明!A:F,MATCH(I298,数据元说明!C:C,0),6)</f>
        <v>C..400</v>
      </c>
      <c r="M298" s="158"/>
      <c r="N298" s="143" t="s">
        <v>57</v>
      </c>
      <c r="O298" s="99"/>
      <c r="P298" s="41"/>
    </row>
    <row r="299" s="48" customFormat="1" ht="30" customHeight="1" outlineLevel="1" spans="1:16">
      <c r="A299" s="207"/>
      <c r="B299" s="208"/>
      <c r="C299" s="209"/>
      <c r="D299" s="209"/>
      <c r="E299" s="208"/>
      <c r="F299" s="158" t="s">
        <v>2217</v>
      </c>
      <c r="G299" s="213" t="s">
        <v>2218</v>
      </c>
      <c r="H299" s="214" t="s">
        <v>2219</v>
      </c>
      <c r="I299" s="158" t="s">
        <v>697</v>
      </c>
      <c r="J299" s="213" t="str">
        <f>INDEX(数据元说明!A:F,MATCH(I299,数据元说明!C:C,0),2)</f>
        <v>003032</v>
      </c>
      <c r="K299" s="158" t="str">
        <f>INDEX(数据元说明!A:F,MATCH(I299,数据元说明!C:C,0),5)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299" s="44" t="str">
        <f>INDEX(数据元说明!A:F,MATCH(I299,数据元说明!C:C,0),6)</f>
        <v>C..60</v>
      </c>
      <c r="M299" s="158" t="s">
        <v>2220</v>
      </c>
      <c r="N299" s="143" t="s">
        <v>57</v>
      </c>
      <c r="O299" s="99"/>
      <c r="P299" s="41"/>
    </row>
    <row r="300" s="48" customFormat="1" ht="30" customHeight="1" outlineLevel="1" spans="1:16">
      <c r="A300" s="207"/>
      <c r="B300" s="208"/>
      <c r="C300" s="209"/>
      <c r="D300" s="209"/>
      <c r="E300" s="208"/>
      <c r="F300" s="158" t="s">
        <v>1011</v>
      </c>
      <c r="G300" s="213" t="s">
        <v>2221</v>
      </c>
      <c r="H300" s="214" t="s">
        <v>2222</v>
      </c>
      <c r="I300" s="158" t="s">
        <v>1011</v>
      </c>
      <c r="J300" s="213" t="str">
        <f>INDEX(数据元说明!A:F,MATCH(I300,数据元说明!C:C,0),2)</f>
        <v>006017</v>
      </c>
      <c r="K300" s="158" t="str">
        <f>INDEX(数据元说明!A:F,MATCH(I300,数据元说明!C:C,0),5)</f>
        <v>本行卡，本行对公结算账户，他行卡，他行对公结算账户，第三方平台账户-银行自定义。清算账号为第三方平台账户的，需填报至具体平台名称。</v>
      </c>
      <c r="L300" s="44" t="str">
        <f>INDEX(数据元说明!A:F,MATCH(I300,数据元说明!C:C,0),6)</f>
        <v>C..30</v>
      </c>
      <c r="M300" s="158"/>
      <c r="N300" s="143" t="s">
        <v>57</v>
      </c>
      <c r="O300" s="99"/>
      <c r="P300" s="41"/>
    </row>
    <row r="301" s="48" customFormat="1" ht="30" customHeight="1" outlineLevel="1" spans="1:16">
      <c r="A301" s="207"/>
      <c r="B301" s="208"/>
      <c r="C301" s="209"/>
      <c r="D301" s="209"/>
      <c r="E301" s="208"/>
      <c r="F301" s="158" t="s">
        <v>2223</v>
      </c>
      <c r="G301" s="213" t="s">
        <v>2224</v>
      </c>
      <c r="H301" s="214" t="s">
        <v>2225</v>
      </c>
      <c r="I301" s="158" t="s">
        <v>628</v>
      </c>
      <c r="J301" s="213" t="str">
        <f>INDEX(数据元说明!A:F,MATCH(I301,数据元说明!C:C,0),2)</f>
        <v>003015</v>
      </c>
      <c r="K301" s="158" t="str">
        <f>INDEX(数据元说明!A:F,MATCH(I301,数据元说明!C:C,0),5)</f>
        <v>账户归属者的名称。如果客户为个人，则为隐私，银行机构变形，变形规则见《采集技术接口说明》。客户是境内涉密机构的，账户名称填报为“*********”。其他情况，则为非隐私，不做变形。</v>
      </c>
      <c r="L301" s="44" t="str">
        <f>INDEX(数据元说明!A:F,MATCH(I301,数据元说明!C:C,0),6)</f>
        <v>C..400</v>
      </c>
      <c r="M301" s="158" t="s">
        <v>2226</v>
      </c>
      <c r="N301" s="143" t="s">
        <v>57</v>
      </c>
      <c r="O301" s="99"/>
      <c r="P301" s="41"/>
    </row>
    <row r="302" s="48" customFormat="1" ht="30" customHeight="1" outlineLevel="1" spans="1:16">
      <c r="A302" s="207"/>
      <c r="B302" s="208"/>
      <c r="C302" s="209"/>
      <c r="D302" s="209"/>
      <c r="E302" s="208"/>
      <c r="F302" s="158" t="s">
        <v>2227</v>
      </c>
      <c r="G302" s="213" t="s">
        <v>2228</v>
      </c>
      <c r="H302" s="214" t="s">
        <v>2229</v>
      </c>
      <c r="I302" s="158" t="s">
        <v>282</v>
      </c>
      <c r="J302" s="213" t="str">
        <f>INDEX(数据元说明!A:F,MATCH(I302,数据元说明!C:C,0),2)</f>
        <v>001001</v>
      </c>
      <c r="K302" s="158" t="str">
        <f>INDEX(数据元说明!A:F,MATCH(I302,数据元说明!C:C,0),5)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302" s="44" t="str">
        <f>INDEX(数据元说明!A:F,MATCH(I302,数据元说明!C:C,0),6)</f>
        <v>C..400</v>
      </c>
      <c r="M302" s="158" t="s">
        <v>2230</v>
      </c>
      <c r="N302" s="143" t="s">
        <v>57</v>
      </c>
      <c r="O302" s="99"/>
      <c r="P302" s="41"/>
    </row>
    <row r="303" s="48" customFormat="1" ht="30" customHeight="1" outlineLevel="1" spans="1:16">
      <c r="A303" s="207"/>
      <c r="B303" s="208"/>
      <c r="C303" s="209"/>
      <c r="D303" s="209"/>
      <c r="E303" s="208"/>
      <c r="F303" s="158" t="s">
        <v>2231</v>
      </c>
      <c r="G303" s="213" t="s">
        <v>2232</v>
      </c>
      <c r="H303" s="214" t="s">
        <v>2233</v>
      </c>
      <c r="I303" s="158" t="s">
        <v>302</v>
      </c>
      <c r="J303" s="213" t="str">
        <f>INDEX(数据元说明!A:F,MATCH(I303,数据元说明!C:C,0),2)</f>
        <v>001005</v>
      </c>
      <c r="K303" s="158" t="str">
        <f>INDEX(数据元说明!A:F,MATCH(I303,数据元说明!C:C,0),5)</f>
        <v>YYYYMMDD，默认值99991231。</v>
      </c>
      <c r="L303" s="44" t="str">
        <f>INDEX(数据元说明!A:F,MATCH(I303,数据元说明!C:C,0),6)</f>
        <v>C8</v>
      </c>
      <c r="M303" s="158" t="s">
        <v>2234</v>
      </c>
      <c r="N303" s="143" t="s">
        <v>57</v>
      </c>
      <c r="O303" s="99"/>
      <c r="P303" s="41"/>
    </row>
    <row r="304" s="48" customFormat="1" ht="30" customHeight="1" outlineLevel="1" spans="1:16">
      <c r="A304" s="207"/>
      <c r="B304" s="208"/>
      <c r="C304" s="209"/>
      <c r="D304" s="209"/>
      <c r="E304" s="208"/>
      <c r="F304" s="158" t="s">
        <v>2235</v>
      </c>
      <c r="G304" s="213" t="s">
        <v>2236</v>
      </c>
      <c r="H304" s="214" t="s">
        <v>2237</v>
      </c>
      <c r="I304" s="158" t="s">
        <v>302</v>
      </c>
      <c r="J304" s="213" t="str">
        <f>INDEX(数据元说明!A:F,MATCH(I304,数据元说明!C:C,0),2)</f>
        <v>001005</v>
      </c>
      <c r="K304" s="158" t="str">
        <f>INDEX(数据元说明!A:F,MATCH(I304,数据元说明!C:C,0),5)</f>
        <v>YYYYMMDD，默认值99991231。</v>
      </c>
      <c r="L304" s="44" t="str">
        <f>INDEX(数据元说明!A:F,MATCH(I304,数据元说明!C:C,0),6)</f>
        <v>C8</v>
      </c>
      <c r="M304" s="158" t="s">
        <v>2238</v>
      </c>
      <c r="N304" s="143" t="s">
        <v>57</v>
      </c>
      <c r="O304" s="99"/>
      <c r="P304" s="41"/>
    </row>
    <row r="305" s="48" customFormat="1" ht="30" customHeight="1" outlineLevel="1" spans="1:16">
      <c r="A305" s="207"/>
      <c r="B305" s="208"/>
      <c r="C305" s="209"/>
      <c r="D305" s="209"/>
      <c r="E305" s="208"/>
      <c r="F305" s="158" t="s">
        <v>2239</v>
      </c>
      <c r="G305" s="213" t="s">
        <v>2240</v>
      </c>
      <c r="H305" s="214" t="s">
        <v>2241</v>
      </c>
      <c r="I305" s="158" t="s">
        <v>365</v>
      </c>
      <c r="J305" s="213" t="str">
        <f>INDEX(数据元说明!A:F,MATCH(I305,数据元说明!C:C,0),2)</f>
        <v>001020</v>
      </c>
      <c r="K305" s="158" t="str">
        <f>INDEX(数据元说明!A:F,MATCH(I305,数据元说明!C:C,0),5)</f>
        <v>中文字典或中文描述，银行自定义。</v>
      </c>
      <c r="L305" s="44" t="str">
        <f>INDEX(数据元说明!A:F,MATCH(I305,数据元说明!C:C,0),6)</f>
        <v>C..30</v>
      </c>
      <c r="M305" s="158"/>
      <c r="N305" s="143" t="s">
        <v>57</v>
      </c>
      <c r="O305" s="99"/>
      <c r="P305" s="41"/>
    </row>
    <row r="306" s="81" customFormat="1" ht="30" customHeight="1" outlineLevel="1" spans="1:16">
      <c r="A306" s="134"/>
      <c r="B306" s="47"/>
      <c r="C306" s="39"/>
      <c r="D306" s="39"/>
      <c r="E306" s="47"/>
      <c r="F306" s="169" t="s">
        <v>449</v>
      </c>
      <c r="G306" s="148" t="s">
        <v>1571</v>
      </c>
      <c r="H306" s="148" t="s">
        <v>2242</v>
      </c>
      <c r="I306" s="169" t="s">
        <v>449</v>
      </c>
      <c r="J306" s="170" t="str">
        <f>INDEX(数据元说明!A:F,MATCH(I306,数据元说明!C:C,0),2)</f>
        <v>001040</v>
      </c>
      <c r="K306" s="171" t="str">
        <f>INDEX(数据元说明!A:F,MATCH(I306,数据元说明!C:C,0),5)</f>
        <v>银行自定义。</v>
      </c>
      <c r="L306" s="170" t="str">
        <f>INDEX(数据元说明!A:F,MATCH(I306,数据元说明!C:C,0),6)</f>
        <v>C..600</v>
      </c>
      <c r="M306" s="149" t="s">
        <v>1573</v>
      </c>
      <c r="N306" s="143" t="s">
        <v>57</v>
      </c>
      <c r="O306" s="173"/>
      <c r="P306" s="173"/>
    </row>
    <row r="307" s="48" customFormat="1" ht="30" customHeight="1" outlineLevel="1" spans="1:16">
      <c r="A307" s="207"/>
      <c r="B307" s="208"/>
      <c r="C307" s="209"/>
      <c r="D307" s="209"/>
      <c r="E307" s="208"/>
      <c r="F307" s="158" t="s">
        <v>1574</v>
      </c>
      <c r="G307" s="213" t="s">
        <v>1575</v>
      </c>
      <c r="H307" s="214" t="s">
        <v>2243</v>
      </c>
      <c r="I307" s="158" t="s">
        <v>302</v>
      </c>
      <c r="J307" s="213" t="str">
        <f>INDEX(数据元说明!A:F,MATCH(I307,数据元说明!C:C,0),2)</f>
        <v>001005</v>
      </c>
      <c r="K307" s="158" t="str">
        <f>INDEX(数据元说明!A:F,MATCH(I307,数据元说明!C:C,0),5)</f>
        <v>YYYYMMDD，默认值99991231。</v>
      </c>
      <c r="L307" s="44" t="str">
        <f>INDEX(数据元说明!A:F,MATCH(I307,数据元说明!C:C,0),6)</f>
        <v>C8</v>
      </c>
      <c r="M307" s="158" t="s">
        <v>2244</v>
      </c>
      <c r="N307" s="143" t="s">
        <v>57</v>
      </c>
      <c r="O307" s="99"/>
      <c r="P307" s="41"/>
    </row>
    <row r="308" s="61" customFormat="1" ht="30" customHeight="1" spans="1:16">
      <c r="A308" s="119" t="s">
        <v>76</v>
      </c>
      <c r="B308" s="120" t="s">
        <v>77</v>
      </c>
      <c r="C308" s="121"/>
      <c r="D308" s="121"/>
      <c r="E308" s="120"/>
      <c r="F308" s="122"/>
      <c r="G308" s="123"/>
      <c r="H308" s="174"/>
      <c r="I308" s="122"/>
      <c r="J308" s="123"/>
      <c r="K308" s="124"/>
      <c r="L308" s="123"/>
      <c r="M308" s="175"/>
      <c r="N308" s="99"/>
      <c r="O308" s="99"/>
      <c r="P308" s="99"/>
    </row>
    <row r="309" s="61" customFormat="1" ht="68" customHeight="1" spans="1:16">
      <c r="A309" s="125"/>
      <c r="B309" s="34"/>
      <c r="C309" s="19" t="s">
        <v>78</v>
      </c>
      <c r="D309" s="24" t="s">
        <v>79</v>
      </c>
      <c r="E309" s="126">
        <v>401</v>
      </c>
      <c r="F309" s="127"/>
      <c r="G309" s="126"/>
      <c r="H309" s="126"/>
      <c r="I309" s="127"/>
      <c r="J309" s="126"/>
      <c r="K309" s="152"/>
      <c r="L309" s="126"/>
      <c r="M309" s="128" t="str">
        <f>INDEX(表结构总览!E:H,MATCH(D309,表结构总览!E:E,0),4)</f>
        <v>本表报送银行机构会计记账使用的所有会计科目及余额变动情况信息。余额为零的科目也要报送，不再使用的科目可以不报送。只报境内银行（不报子公司），包括总行、一级分行、二级分行、一级支行（最多报4级）。如果发生新老科目变更，在当期数据中报送最新科目即可。每月最后一天数据应同时报送按月和按日为周期的会计数据，每年最后一天数据应同时报送按日、按月、季、半年、年为周期的会计数据，以此类推。只报送人民币和本外币合计。</v>
      </c>
      <c r="N309" s="187" t="s">
        <v>25</v>
      </c>
      <c r="O309" s="140" t="s">
        <v>449</v>
      </c>
      <c r="P309" s="99"/>
    </row>
    <row r="310" s="81" customFormat="1" ht="30" customHeight="1" outlineLevel="1" spans="1:16">
      <c r="A310" s="154"/>
      <c r="B310" s="155"/>
      <c r="C310" s="156"/>
      <c r="D310" s="156"/>
      <c r="E310" s="155"/>
      <c r="F310" s="157" t="s">
        <v>325</v>
      </c>
      <c r="G310" s="43" t="s">
        <v>1520</v>
      </c>
      <c r="H310" s="153" t="s">
        <v>2245</v>
      </c>
      <c r="I310" s="157" t="s">
        <v>325</v>
      </c>
      <c r="J310" s="43" t="str">
        <f>INDEX(数据元说明!A:F,MATCH(I310,数据元说明!C:C,0),2)</f>
        <v>001010</v>
      </c>
      <c r="K310" s="158" t="str">
        <f>INDEX(数据元说明!A:F,MATCH(I310,数据元说明!C:C,0),5)</f>
        <v>12位人行支付行号或SWIFT行号。</v>
      </c>
      <c r="L310" s="43" t="str">
        <f>INDEX(数据元说明!A:F,MATCH(I310,数据元说明!C:C,0),6)</f>
        <v>C..30</v>
      </c>
      <c r="M310" s="138" t="s">
        <v>1579</v>
      </c>
      <c r="N310" s="140" t="s">
        <v>25</v>
      </c>
      <c r="O310" s="140" t="s">
        <v>449</v>
      </c>
      <c r="P310" s="140"/>
    </row>
    <row r="311" s="81" customFormat="1" ht="30" customHeight="1" outlineLevel="1" spans="1:16">
      <c r="A311" s="134"/>
      <c r="B311" s="47"/>
      <c r="C311" s="39"/>
      <c r="D311" s="39"/>
      <c r="E311" s="47"/>
      <c r="F311" s="135" t="s">
        <v>329</v>
      </c>
      <c r="G311" s="136" t="s">
        <v>1526</v>
      </c>
      <c r="H311" s="153" t="s">
        <v>2246</v>
      </c>
      <c r="I311" s="135" t="s">
        <v>329</v>
      </c>
      <c r="J311" s="136" t="str">
        <f>INDEX(数据元说明!A:F,MATCH(I311,数据元说明!C:C,0),2)</f>
        <v>001011</v>
      </c>
      <c r="K311" s="138" t="str">
        <f>INDEX(数据元说明!A:F,MATCH(I311,数据元说明!C:C,0),5)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11" s="136" t="str">
        <f>INDEX(数据元说明!A:F,MATCH(I311,数据元说明!C:C,0),6)</f>
        <v>C..30</v>
      </c>
      <c r="M311" s="138" t="s">
        <v>1528</v>
      </c>
      <c r="N311" s="129" t="s">
        <v>25</v>
      </c>
      <c r="O311" s="140" t="s">
        <v>449</v>
      </c>
      <c r="P311" s="139"/>
    </row>
    <row r="312" ht="30" customHeight="1" outlineLevel="1" spans="1:16">
      <c r="E312" s="94"/>
      <c r="F312" s="97" t="s">
        <v>333</v>
      </c>
      <c r="G312" s="29" t="s">
        <v>1523</v>
      </c>
      <c r="H312" s="96" t="s">
        <v>2247</v>
      </c>
      <c r="I312" s="97" t="s">
        <v>333</v>
      </c>
      <c r="J312" s="29" t="str">
        <f>INDEX(数据元说明!A:F,MATCH(I312,数据元说明!C:C,0),2)</f>
        <v>001012</v>
      </c>
      <c r="K312" s="98" t="str">
        <f>INDEX(数据元说明!A:F,MATCH(I312,数据元说明!C:C,0),5)</f>
        <v>银行内部机构号。应具有标识机构的唯一性。</v>
      </c>
      <c r="L312" s="29" t="str">
        <f>INDEX(数据元说明!A:F,MATCH(I312,数据元说明!C:C,0),6)</f>
        <v>C..30</v>
      </c>
      <c r="M312" s="98" t="s">
        <v>2248</v>
      </c>
      <c r="P312" s="99"/>
    </row>
    <row r="313" s="81" customFormat="1" ht="30" customHeight="1" outlineLevel="1" spans="1:16">
      <c r="A313" s="167"/>
      <c r="B313" s="168"/>
      <c r="C313" s="156"/>
      <c r="D313" s="156"/>
      <c r="E313" s="155"/>
      <c r="F313" s="157" t="s">
        <v>1532</v>
      </c>
      <c r="G313" s="43" t="s">
        <v>1533</v>
      </c>
      <c r="H313" s="153" t="s">
        <v>2249</v>
      </c>
      <c r="I313" s="157" t="s">
        <v>282</v>
      </c>
      <c r="J313" s="43" t="str">
        <f>INDEX(数据元说明!A:F,MATCH(I313,数据元说明!C:C,0),2)</f>
        <v>001001</v>
      </c>
      <c r="K313" s="158" t="str">
        <f>INDEX(数据元说明!A:F,MATCH(I313,数据元说明!C:C,0),5)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313" s="43" t="str">
        <f>INDEX(数据元说明!A:F,MATCH(I313,数据元说明!C:C,0),6)</f>
        <v>C..400</v>
      </c>
      <c r="M313" s="138" t="s">
        <v>1584</v>
      </c>
      <c r="N313" s="139" t="s">
        <v>25</v>
      </c>
      <c r="O313" s="139" t="s">
        <v>1673</v>
      </c>
      <c r="P313" s="140"/>
    </row>
    <row r="314" ht="30" customHeight="1" outlineLevel="1" spans="1:16">
      <c r="E314" s="94"/>
      <c r="F314" s="97" t="s">
        <v>574</v>
      </c>
      <c r="G314" s="29" t="s">
        <v>2250</v>
      </c>
      <c r="H314" s="96" t="s">
        <v>2251</v>
      </c>
      <c r="I314" s="97" t="s">
        <v>574</v>
      </c>
      <c r="J314" s="29" t="str">
        <f>INDEX(数据元说明!A:F,MATCH(I314,数据元说明!C:C,0),2)</f>
        <v>003002</v>
      </c>
      <c r="K314" s="98" t="str">
        <f>INDEX(数据元说明!A:F,MATCH(I314,数据元说明!C:C,0),5)</f>
        <v>机构实际使用的总账会计科目编码。</v>
      </c>
      <c r="L314" s="29" t="str">
        <f>INDEX(数据元说明!A:F,MATCH(I314,数据元说明!C:C,0),6)</f>
        <v>C..200</v>
      </c>
      <c r="M314" s="98" t="s">
        <v>2252</v>
      </c>
      <c r="N314" s="139" t="s">
        <v>25</v>
      </c>
      <c r="O314" s="139" t="s">
        <v>1673</v>
      </c>
      <c r="P314" s="99"/>
    </row>
    <row r="315" ht="30" customHeight="1" outlineLevel="1" spans="1:16">
      <c r="A315" s="159"/>
      <c r="B315" s="160"/>
      <c r="E315" s="94"/>
      <c r="F315" s="97" t="s">
        <v>578</v>
      </c>
      <c r="G315" s="29" t="s">
        <v>2253</v>
      </c>
      <c r="H315" s="96" t="s">
        <v>2254</v>
      </c>
      <c r="I315" s="97" t="s">
        <v>578</v>
      </c>
      <c r="J315" s="29" t="str">
        <f>INDEX(数据元说明!A:F,MATCH(I315,数据元说明!C:C,0),2)</f>
        <v>003003</v>
      </c>
      <c r="K315" s="98" t="str">
        <f>INDEX(数据元说明!A:F,MATCH(I315,数据元说明!C:C,0),5)</f>
        <v>机构实际使用的总账会计科目编码对应的名称。</v>
      </c>
      <c r="L315" s="29" t="str">
        <f>INDEX(数据元说明!A:F,MATCH(I315,数据元说明!C:C,0),6)</f>
        <v>C..200</v>
      </c>
      <c r="M315" s="98" t="s">
        <v>2255</v>
      </c>
      <c r="N315" s="139" t="s">
        <v>25</v>
      </c>
      <c r="O315" s="139" t="s">
        <v>1673</v>
      </c>
      <c r="P315" s="99"/>
    </row>
    <row r="316" s="81" customFormat="1" ht="30" customHeight="1" outlineLevel="1" spans="1:16">
      <c r="A316" s="167"/>
      <c r="B316" s="168"/>
      <c r="C316" s="156"/>
      <c r="D316" s="156"/>
      <c r="E316" s="155"/>
      <c r="F316" s="157" t="s">
        <v>624</v>
      </c>
      <c r="G316" s="43" t="s">
        <v>1989</v>
      </c>
      <c r="H316" s="153" t="s">
        <v>2256</v>
      </c>
      <c r="I316" s="157" t="s">
        <v>624</v>
      </c>
      <c r="J316" s="43" t="str">
        <f>INDEX(数据元说明!A:F,MATCH(I316,数据元说明!C:C,0),2)</f>
        <v>003014</v>
      </c>
      <c r="K316" s="158" t="str">
        <f>INDEX(数据元说明!A:F,MATCH(I316,数据元说明!C:C,0),5)</f>
        <v>遵循《GB/T 12406 表示货币和资金的代码》的字母代码，如CNY。上述文件所列币种无法涵盖的，允许银行自定义填报。多个币种合计折算为人民币（本外币合计）的，填报为BWB。</v>
      </c>
      <c r="L316" s="43" t="str">
        <f>INDEX(数据元说明!A:F,MATCH(I316,数据元说明!C:C,0),6)</f>
        <v>C3</v>
      </c>
      <c r="M316" s="158" t="s">
        <v>1525</v>
      </c>
      <c r="N316" s="140" t="s">
        <v>25</v>
      </c>
      <c r="O316" s="139" t="s">
        <v>1513</v>
      </c>
      <c r="P316" s="140" t="s">
        <v>1588</v>
      </c>
    </row>
    <row r="317" s="61" customFormat="1" ht="30" customHeight="1" outlineLevel="1" spans="1:16">
      <c r="A317" s="184"/>
      <c r="B317" s="185"/>
      <c r="C317" s="25"/>
      <c r="D317" s="25"/>
      <c r="E317" s="36"/>
      <c r="F317" s="131" t="s">
        <v>2257</v>
      </c>
      <c r="G317" s="31" t="s">
        <v>2258</v>
      </c>
      <c r="H317" s="96" t="s">
        <v>2259</v>
      </c>
      <c r="I317" s="131" t="s">
        <v>613</v>
      </c>
      <c r="J317" s="29" t="str">
        <f>INDEX(数据元说明!A:F,MATCH(I317,数据元说明!C:C,0),2)</f>
        <v>003011</v>
      </c>
      <c r="K317" s="98" t="str">
        <f>INDEX(数据元说明!A:F,MATCH(I317,数据元说明!C:C,0),5)</f>
        <v>与币种相对应金额。</v>
      </c>
      <c r="L317" s="29" t="str">
        <f>INDEX(数据元说明!A:F,MATCH(I317,数据元说明!C:C,0),6)</f>
        <v>D20.2</v>
      </c>
      <c r="M317" s="133" t="s">
        <v>2260</v>
      </c>
      <c r="N317" s="99"/>
      <c r="O317" s="99"/>
      <c r="P317" s="99"/>
    </row>
    <row r="318" s="61" customFormat="1" ht="30" customHeight="1" outlineLevel="1" spans="1:16">
      <c r="A318" s="184"/>
      <c r="B318" s="185"/>
      <c r="C318" s="25"/>
      <c r="D318" s="25"/>
      <c r="E318" s="36"/>
      <c r="F318" s="131" t="s">
        <v>2261</v>
      </c>
      <c r="G318" s="31" t="s">
        <v>2262</v>
      </c>
      <c r="H318" s="96" t="s">
        <v>2263</v>
      </c>
      <c r="I318" s="131" t="s">
        <v>613</v>
      </c>
      <c r="J318" s="29" t="str">
        <f>INDEX(数据元说明!A:F,MATCH(I318,数据元说明!C:C,0),2)</f>
        <v>003011</v>
      </c>
      <c r="K318" s="98" t="str">
        <f>INDEX(数据元说明!A:F,MATCH(I318,数据元说明!C:C,0),5)</f>
        <v>与币种相对应金额。</v>
      </c>
      <c r="L318" s="29" t="str">
        <f>INDEX(数据元说明!A:F,MATCH(I318,数据元说明!C:C,0),6)</f>
        <v>D20.2</v>
      </c>
      <c r="M318" s="133" t="s">
        <v>2260</v>
      </c>
      <c r="N318" s="99"/>
      <c r="O318" s="99"/>
      <c r="P318" s="99"/>
    </row>
    <row r="319" s="61" customFormat="1" ht="30" customHeight="1" outlineLevel="1" spans="1:16">
      <c r="A319" s="215"/>
      <c r="B319" s="216"/>
      <c r="C319" s="216"/>
      <c r="D319" s="216"/>
      <c r="E319" s="216"/>
      <c r="F319" s="217" t="s">
        <v>2264</v>
      </c>
      <c r="G319" s="216" t="s">
        <v>2265</v>
      </c>
      <c r="H319" s="96" t="s">
        <v>2266</v>
      </c>
      <c r="I319" s="217" t="s">
        <v>609</v>
      </c>
      <c r="J319" s="29" t="str">
        <f>INDEX(数据元说明!A:F,MATCH(I319,数据元说明!C:C,0),2)</f>
        <v>003010</v>
      </c>
      <c r="K319" s="98" t="str">
        <f>INDEX(数据元说明!A:F,MATCH(I319,数据元说明!C:C,0),5)</f>
        <v>与币种相对应金额。</v>
      </c>
      <c r="L319" s="29" t="str">
        <f>INDEX(数据元说明!A:F,MATCH(I319,数据元说明!C:C,0),6)</f>
        <v>D20.2</v>
      </c>
      <c r="M319" s="98" t="s">
        <v>2267</v>
      </c>
      <c r="N319" s="99"/>
      <c r="O319" s="99"/>
      <c r="P319" s="99"/>
    </row>
    <row r="320" s="61" customFormat="1" ht="30" customHeight="1" outlineLevel="1" spans="1:16">
      <c r="A320" s="215"/>
      <c r="B320" s="216"/>
      <c r="C320" s="216"/>
      <c r="D320" s="216"/>
      <c r="E320" s="216"/>
      <c r="F320" s="217" t="s">
        <v>2268</v>
      </c>
      <c r="G320" s="216" t="s">
        <v>2269</v>
      </c>
      <c r="H320" s="96" t="s">
        <v>2270</v>
      </c>
      <c r="I320" s="217" t="s">
        <v>609</v>
      </c>
      <c r="J320" s="29" t="str">
        <f>INDEX(数据元说明!A:F,MATCH(I320,数据元说明!C:C,0),2)</f>
        <v>003010</v>
      </c>
      <c r="K320" s="98" t="str">
        <f>INDEX(数据元说明!A:F,MATCH(I320,数据元说明!C:C,0),5)</f>
        <v>与币种相对应金额。</v>
      </c>
      <c r="L320" s="29" t="str">
        <f>INDEX(数据元说明!A:F,MATCH(I320,数据元说明!C:C,0),6)</f>
        <v>D20.2</v>
      </c>
      <c r="M320" s="98" t="s">
        <v>2271</v>
      </c>
      <c r="N320" s="99"/>
      <c r="O320" s="99"/>
      <c r="P320" s="99"/>
    </row>
    <row r="321" s="61" customFormat="1" ht="30" customHeight="1" outlineLevel="1" spans="1:16">
      <c r="A321" s="184"/>
      <c r="B321" s="185"/>
      <c r="C321" s="25"/>
      <c r="D321" s="25"/>
      <c r="E321" s="36"/>
      <c r="F321" s="131" t="s">
        <v>2272</v>
      </c>
      <c r="G321" s="31" t="s">
        <v>2273</v>
      </c>
      <c r="H321" s="96" t="s">
        <v>2274</v>
      </c>
      <c r="I321" s="131" t="s">
        <v>613</v>
      </c>
      <c r="J321" s="29" t="str">
        <f>INDEX(数据元说明!A:F,MATCH(I321,数据元说明!C:C,0),2)</f>
        <v>003011</v>
      </c>
      <c r="K321" s="98" t="str">
        <f>INDEX(数据元说明!A:F,MATCH(I321,数据元说明!C:C,0),5)</f>
        <v>与币种相对应金额。</v>
      </c>
      <c r="L321" s="29" t="str">
        <f>INDEX(数据元说明!A:F,MATCH(I321,数据元说明!C:C,0),6)</f>
        <v>D20.2</v>
      </c>
      <c r="M321" s="98" t="s">
        <v>2275</v>
      </c>
      <c r="N321" s="99"/>
      <c r="O321" s="99"/>
      <c r="P321" s="99"/>
    </row>
    <row r="322" s="61" customFormat="1" ht="30" customHeight="1" outlineLevel="1" spans="1:16">
      <c r="A322" s="184"/>
      <c r="B322" s="185"/>
      <c r="C322" s="25"/>
      <c r="D322" s="25"/>
      <c r="E322" s="36"/>
      <c r="F322" s="131" t="s">
        <v>2276</v>
      </c>
      <c r="G322" s="31" t="s">
        <v>2277</v>
      </c>
      <c r="H322" s="96" t="s">
        <v>2278</v>
      </c>
      <c r="I322" s="131" t="s">
        <v>613</v>
      </c>
      <c r="J322" s="29" t="str">
        <f>INDEX(数据元说明!A:F,MATCH(I322,数据元说明!C:C,0),2)</f>
        <v>003011</v>
      </c>
      <c r="K322" s="98" t="str">
        <f>INDEX(数据元说明!A:F,MATCH(I322,数据元说明!C:C,0),5)</f>
        <v>与币种相对应金额。</v>
      </c>
      <c r="L322" s="29" t="str">
        <f>INDEX(数据元说明!A:F,MATCH(I322,数据元说明!C:C,0),6)</f>
        <v>D20.2</v>
      </c>
      <c r="M322" s="98" t="s">
        <v>2275</v>
      </c>
      <c r="N322" s="99"/>
      <c r="O322" s="99"/>
      <c r="P322" s="99"/>
    </row>
    <row r="323" s="81" customFormat="1" ht="30" customHeight="1" outlineLevel="1" spans="1:16">
      <c r="A323" s="154"/>
      <c r="B323" s="155"/>
      <c r="C323" s="156"/>
      <c r="D323" s="156"/>
      <c r="E323" s="155"/>
      <c r="F323" s="218" t="s">
        <v>2279</v>
      </c>
      <c r="G323" s="43" t="s">
        <v>2280</v>
      </c>
      <c r="H323" s="153" t="s">
        <v>2281</v>
      </c>
      <c r="I323" s="157" t="s">
        <v>689</v>
      </c>
      <c r="J323" s="43" t="str">
        <f>INDEX(数据元说明!A:F,MATCH(I323,数据元说明!C:C,0),2)</f>
        <v>003030</v>
      </c>
      <c r="K323" s="158" t="str">
        <f>INDEX(数据元说明!A:F,MATCH(I323,数据元说明!C:C,0),5)</f>
        <v>日报，月报，季报，半年报，年报，其他-银行自定义。无法以枚举类型填报的，以“其他-XX”填报，其中“XX”为银行自定义类型。</v>
      </c>
      <c r="L323" s="43" t="str">
        <f>INDEX(数据元说明!A:F,MATCH(I323,数据元说明!C:C,0),6)</f>
        <v>C..20</v>
      </c>
      <c r="M323" s="158" t="s">
        <v>1587</v>
      </c>
      <c r="N323" s="140" t="s">
        <v>25</v>
      </c>
      <c r="O323" s="139" t="s">
        <v>1539</v>
      </c>
      <c r="P323" s="140"/>
    </row>
    <row r="324" ht="30" customHeight="1" outlineLevel="1" spans="1:16">
      <c r="E324" s="94"/>
      <c r="F324" s="219" t="s">
        <v>2282</v>
      </c>
      <c r="G324" s="29" t="s">
        <v>2283</v>
      </c>
      <c r="H324" s="96" t="s">
        <v>2284</v>
      </c>
      <c r="I324" s="97" t="s">
        <v>302</v>
      </c>
      <c r="J324" s="29" t="str">
        <f>INDEX(数据元说明!A:F,MATCH(I324,数据元说明!C:C,0),2)</f>
        <v>001005</v>
      </c>
      <c r="K324" s="98" t="str">
        <f>INDEX(数据元说明!A:F,MATCH(I324,数据元说明!C:C,0),5)</f>
        <v>YYYYMMDD，默认值99991231。</v>
      </c>
      <c r="L324" s="29" t="str">
        <f>INDEX(数据元说明!A:F,MATCH(I324,数据元说明!C:C,0),6)</f>
        <v>C8</v>
      </c>
      <c r="M324" s="98" t="s">
        <v>2285</v>
      </c>
      <c r="P324" s="99"/>
    </row>
    <row r="325" s="82" customFormat="1" ht="71" outlineLevel="1" spans="1:16">
      <c r="A325" s="144"/>
      <c r="B325" s="145"/>
      <c r="C325" s="146"/>
      <c r="D325" s="146"/>
      <c r="E325" s="145"/>
      <c r="F325" s="147" t="s">
        <v>449</v>
      </c>
      <c r="G325" s="148" t="s">
        <v>1571</v>
      </c>
      <c r="H325" s="148" t="s">
        <v>2286</v>
      </c>
      <c r="I325" s="147" t="s">
        <v>449</v>
      </c>
      <c r="J325" s="148" t="str">
        <f>INDEX(数据元说明!A:F,MATCH(I325,数据元说明!C:C,0),2)</f>
        <v>001040</v>
      </c>
      <c r="K325" s="149" t="str">
        <f>INDEX(数据元说明!A:F,MATCH(I325,数据元说明!C:C,0),5)</f>
        <v>银行自定义。</v>
      </c>
      <c r="L325" s="148" t="str">
        <f>INDEX(数据元说明!A:F,MATCH(I325,数据元说明!C:C,0),6)</f>
        <v>C..600</v>
      </c>
      <c r="M325" s="149" t="s">
        <v>1573</v>
      </c>
      <c r="N325" s="143" t="s">
        <v>57</v>
      </c>
      <c r="O325" s="151"/>
      <c r="P325" s="151"/>
    </row>
    <row r="326" s="81" customFormat="1" ht="30" customHeight="1" outlineLevel="1" spans="1:16">
      <c r="A326" s="154"/>
      <c r="B326" s="155"/>
      <c r="C326" s="156"/>
      <c r="D326" s="156"/>
      <c r="E326" s="155"/>
      <c r="F326" s="157" t="s">
        <v>1574</v>
      </c>
      <c r="G326" s="43" t="s">
        <v>1575</v>
      </c>
      <c r="H326" s="153" t="s">
        <v>2287</v>
      </c>
      <c r="I326" s="157" t="s">
        <v>302</v>
      </c>
      <c r="J326" s="43" t="str">
        <f>INDEX(数据元说明!A:F,MATCH(I326,数据元说明!C:C,0),2)</f>
        <v>001005</v>
      </c>
      <c r="K326" s="158" t="str">
        <f>INDEX(数据元说明!A:F,MATCH(I326,数据元说明!C:C,0),5)</f>
        <v>YYYYMMDD，默认值99991231。</v>
      </c>
      <c r="L326" s="43" t="str">
        <f>INDEX(数据元说明!A:F,MATCH(I326,数据元说明!C:C,0),6)</f>
        <v>C8</v>
      </c>
      <c r="M326" s="158" t="s">
        <v>1577</v>
      </c>
      <c r="N326" s="164" t="s">
        <v>57</v>
      </c>
      <c r="O326" s="140"/>
      <c r="P326" s="140"/>
    </row>
    <row r="327" s="5" customFormat="1" ht="30" customHeight="1" spans="1:16">
      <c r="A327" s="19"/>
      <c r="B327" s="34"/>
      <c r="C327" s="19" t="s">
        <v>81</v>
      </c>
      <c r="D327" s="24" t="s">
        <v>82</v>
      </c>
      <c r="E327" s="126">
        <v>402</v>
      </c>
      <c r="F327" s="127"/>
      <c r="G327" s="126"/>
      <c r="H327" s="126"/>
      <c r="I327" s="127"/>
      <c r="J327" s="126"/>
      <c r="K327" s="152"/>
      <c r="L327" s="126"/>
      <c r="M327" s="128" t="str">
        <f>表结构总览!H22</f>
        <v>本表报送总账会计全科目的上下级对应关系，以会计科目为最小粒度报送。内部科目对照表由法人机构统一确定，分支机构按同一内容报送。报送科目必须与当期《总账会计全科目表》中的科目一致。此表首次采集为全量采集，后续采集如有变化，需全量报送。</v>
      </c>
      <c r="N327" s="139" t="s">
        <v>25</v>
      </c>
      <c r="O327" s="139" t="s">
        <v>449</v>
      </c>
      <c r="P327" s="99"/>
    </row>
    <row r="328" s="5" customFormat="1" ht="30" customHeight="1" outlineLevel="1" spans="1:16">
      <c r="A328" s="95"/>
      <c r="B328" s="94"/>
      <c r="C328" s="95"/>
      <c r="D328" s="95"/>
      <c r="E328" s="94"/>
      <c r="F328" s="97" t="s">
        <v>574</v>
      </c>
      <c r="G328" s="29" t="s">
        <v>2250</v>
      </c>
      <c r="H328" s="96" t="s">
        <v>2288</v>
      </c>
      <c r="I328" s="97" t="s">
        <v>574</v>
      </c>
      <c r="J328" s="29" t="str">
        <f>INDEX(数据元说明!A:F,MATCH(I328,数据元说明!C:C,0),2)</f>
        <v>003002</v>
      </c>
      <c r="K328" s="98" t="str">
        <f>INDEX(数据元说明!A:F,MATCH(I328,数据元说明!C:C,0),5)</f>
        <v>机构实际使用的总账会计科目编码。</v>
      </c>
      <c r="L328" s="29" t="str">
        <f>INDEX(数据元说明!A:F,MATCH(I328,数据元说明!C:C,0),6)</f>
        <v>C..200</v>
      </c>
      <c r="M328" s="98" t="s">
        <v>2289</v>
      </c>
      <c r="N328" s="139" t="s">
        <v>25</v>
      </c>
      <c r="O328" s="139" t="s">
        <v>2290</v>
      </c>
      <c r="P328" s="99"/>
    </row>
    <row r="329" s="5" customFormat="1" ht="30" customHeight="1" outlineLevel="1" spans="1:16">
      <c r="A329" s="95"/>
      <c r="B329" s="94"/>
      <c r="C329" s="95"/>
      <c r="D329" s="95"/>
      <c r="E329" s="94"/>
      <c r="F329" s="97" t="s">
        <v>578</v>
      </c>
      <c r="G329" s="29" t="s">
        <v>2253</v>
      </c>
      <c r="H329" s="96" t="s">
        <v>2291</v>
      </c>
      <c r="I329" s="97" t="s">
        <v>578</v>
      </c>
      <c r="J329" s="29" t="str">
        <f>INDEX(数据元说明!A:F,MATCH(I329,数据元说明!C:C,0),2)</f>
        <v>003003</v>
      </c>
      <c r="K329" s="98" t="str">
        <f>INDEX(数据元说明!A:F,MATCH(I329,数据元说明!C:C,0),5)</f>
        <v>机构实际使用的总账会计科目编码对应的名称。</v>
      </c>
      <c r="L329" s="29" t="str">
        <f>INDEX(数据元说明!A:F,MATCH(I329,数据元说明!C:C,0),6)</f>
        <v>C..200</v>
      </c>
      <c r="M329" s="98" t="s">
        <v>2292</v>
      </c>
      <c r="N329" s="139" t="s">
        <v>25</v>
      </c>
      <c r="O329" s="139" t="s">
        <v>2290</v>
      </c>
      <c r="P329" s="99"/>
    </row>
    <row r="330" s="5" customFormat="1" ht="30" customHeight="1" outlineLevel="1" spans="1:16">
      <c r="A330" s="95"/>
      <c r="B330" s="94"/>
      <c r="C330" s="95"/>
      <c r="D330" s="95"/>
      <c r="E330" s="94"/>
      <c r="F330" s="97" t="s">
        <v>582</v>
      </c>
      <c r="G330" s="29" t="s">
        <v>2293</v>
      </c>
      <c r="H330" s="96" t="s">
        <v>2294</v>
      </c>
      <c r="I330" s="97" t="s">
        <v>582</v>
      </c>
      <c r="J330" s="29" t="str">
        <f>INDEX(数据元说明!A:F,MATCH(I330,数据元说明!C:C,0),2)</f>
        <v>003004</v>
      </c>
      <c r="K330" s="98" t="str">
        <f>INDEX(数据元说明!A:F,MATCH(I330,数据元说明!C:C,0),5)</f>
        <v>总账会计科目编号在科目结构中所对应的级次。</v>
      </c>
      <c r="L330" s="29" t="str">
        <f>INDEX(数据元说明!A:F,MATCH(I330,数据元说明!C:C,0),6)</f>
        <v>I..2</v>
      </c>
      <c r="M330" s="98" t="s">
        <v>2295</v>
      </c>
      <c r="N330" s="33"/>
      <c r="O330" s="33"/>
      <c r="P330" s="33"/>
    </row>
    <row r="331" s="81" customFormat="1" ht="30" customHeight="1" outlineLevel="1" spans="1:16">
      <c r="A331" s="154"/>
      <c r="B331" s="155"/>
      <c r="C331" s="156"/>
      <c r="D331" s="156"/>
      <c r="E331" s="155"/>
      <c r="F331" s="157" t="s">
        <v>2296</v>
      </c>
      <c r="G331" s="43" t="s">
        <v>2297</v>
      </c>
      <c r="H331" s="153" t="s">
        <v>2298</v>
      </c>
      <c r="I331" s="157" t="s">
        <v>574</v>
      </c>
      <c r="J331" s="43" t="str">
        <f>INDEX(数据元说明!A:F,MATCH(I331,数据元说明!C:C,0),2)</f>
        <v>003002</v>
      </c>
      <c r="K331" s="158" t="str">
        <f>INDEX(数据元说明!A:F,MATCH(I331,数据元说明!C:C,0),5)</f>
        <v>机构实际使用的总账会计科目编码。</v>
      </c>
      <c r="L331" s="43" t="str">
        <f>INDEX(数据元说明!A:F,MATCH(I331,数据元说明!C:C,0),6)</f>
        <v>C..200</v>
      </c>
      <c r="M331" s="158" t="s">
        <v>2299</v>
      </c>
      <c r="N331" s="129" t="s">
        <v>25</v>
      </c>
      <c r="O331" s="139" t="s">
        <v>2290</v>
      </c>
      <c r="P331" s="139"/>
    </row>
    <row r="332" s="81" customFormat="1" ht="30" customHeight="1" outlineLevel="1" spans="1:16">
      <c r="A332" s="134"/>
      <c r="B332" s="47"/>
      <c r="C332" s="39"/>
      <c r="D332" s="39"/>
      <c r="E332" s="47"/>
      <c r="F332" s="135" t="s">
        <v>2300</v>
      </c>
      <c r="G332" s="136" t="s">
        <v>2301</v>
      </c>
      <c r="H332" s="153" t="s">
        <v>2302</v>
      </c>
      <c r="I332" s="157" t="s">
        <v>578</v>
      </c>
      <c r="J332" s="43" t="str">
        <f>INDEX(数据元说明!A:F,MATCH(I332,数据元说明!C:C,0),2)</f>
        <v>003003</v>
      </c>
      <c r="K332" s="158" t="str">
        <f>INDEX(数据元说明!A:F,MATCH(I332,数据元说明!C:C,0),5)</f>
        <v>机构实际使用的总账会计科目编码对应的名称。</v>
      </c>
      <c r="L332" s="43" t="str">
        <f>INDEX(数据元说明!A:F,MATCH(I332,数据元说明!C:C,0),6)</f>
        <v>C..200</v>
      </c>
      <c r="M332" s="158" t="s">
        <v>2303</v>
      </c>
      <c r="N332" s="129" t="s">
        <v>25</v>
      </c>
      <c r="O332" s="139" t="s">
        <v>2290</v>
      </c>
      <c r="P332" s="140"/>
    </row>
    <row r="333" s="86" customFormat="1" ht="30" customHeight="1" outlineLevel="1" spans="1:16">
      <c r="A333" s="134"/>
      <c r="B333" s="47"/>
      <c r="C333" s="39"/>
      <c r="D333" s="39"/>
      <c r="E333" s="47"/>
      <c r="F333" s="135" t="s">
        <v>2304</v>
      </c>
      <c r="G333" s="136" t="s">
        <v>2305</v>
      </c>
      <c r="H333" s="153" t="s">
        <v>2306</v>
      </c>
      <c r="I333" s="157" t="s">
        <v>604</v>
      </c>
      <c r="J333" s="43" t="str">
        <f>INDEX(数据元说明!A:F,MATCH(I333,数据元说明!C:C,0),2)</f>
        <v>003009</v>
      </c>
      <c r="K333" s="158" t="str">
        <f>INDEX(数据元说明!A:F,MATCH(I333,数据元说明!C:C,0),5)</f>
        <v>借，贷，借贷并列。</v>
      </c>
      <c r="L333" s="43" t="str">
        <f>INDEX(数据元说明!A:F,MATCH(I333,数据元说明!C:C,0),6)</f>
        <v>C..12</v>
      </c>
      <c r="M333" s="158" t="s">
        <v>2307</v>
      </c>
      <c r="N333" s="164" t="s">
        <v>57</v>
      </c>
      <c r="O333" s="139"/>
      <c r="P333" s="140"/>
    </row>
    <row r="334" s="86" customFormat="1" ht="30" customHeight="1" outlineLevel="1" spans="1:16">
      <c r="A334" s="39"/>
      <c r="B334" s="47"/>
      <c r="C334" s="39"/>
      <c r="D334" s="39"/>
      <c r="E334" s="47"/>
      <c r="F334" s="135" t="s">
        <v>2308</v>
      </c>
      <c r="G334" s="136" t="s">
        <v>2309</v>
      </c>
      <c r="H334" s="153" t="s">
        <v>2310</v>
      </c>
      <c r="I334" s="157" t="s">
        <v>587</v>
      </c>
      <c r="J334" s="43" t="str">
        <f>INDEX(数据元说明!A:F,MATCH(I334,数据元说明!C:C,0),2)</f>
        <v>003005</v>
      </c>
      <c r="K334" s="158" t="str">
        <f>INDEX(数据元说明!A:F,MATCH(I334,数据元说明!C:C,0),5)</f>
        <v>资产、负债、所有者权益、损益、资产负债共同类、表外、其他。</v>
      </c>
      <c r="L334" s="43" t="str">
        <f>INDEX(数据元说明!A:F,MATCH(I334,数据元说明!C:C,0),6)</f>
        <v>C..30</v>
      </c>
      <c r="M334" s="158" t="s">
        <v>2311</v>
      </c>
      <c r="N334" s="129" t="s">
        <v>25</v>
      </c>
      <c r="O334" s="139" t="s">
        <v>1613</v>
      </c>
      <c r="P334" s="140"/>
    </row>
    <row r="335" s="86" customFormat="1" ht="30" customHeight="1" outlineLevel="1" spans="1:16">
      <c r="A335" s="39"/>
      <c r="B335" s="47"/>
      <c r="C335" s="39"/>
      <c r="D335" s="39"/>
      <c r="E335" s="47"/>
      <c r="F335" s="135" t="s">
        <v>2312</v>
      </c>
      <c r="G335" s="136" t="s">
        <v>2313</v>
      </c>
      <c r="H335" s="153" t="s">
        <v>2314</v>
      </c>
      <c r="I335" s="157" t="s">
        <v>591</v>
      </c>
      <c r="J335" s="43" t="str">
        <f>INDEX(数据元说明!A:F,MATCH(I335,数据元说明!C:C,0),2)</f>
        <v>003006</v>
      </c>
      <c r="K335" s="158" t="str">
        <f>INDEX(数据元说明!A:F,MATCH(I335,数据元说明!C:C,0),5)</f>
        <v>资产类业务子类：1现金，2贵金属，3存放中央银行款项，4存放同业款项，5应收利息，6贷款，7贸易融资，8贴现及买断式转贴现，9其他贷款，10拆放同业，11其他应收款，12投资，13买入返售资产，14长期待摊费用，15固定资产原价，16减：累计折旧，17固定资产净值，18固定资产清理，19在建工程，20无形资产，21抵债资产，22递延所得税资产，23其他资产，24各项资产减值损失准备。
负债类业务子类：25单位存款，26储蓄存款，27向中央银行借款，28同业存放款项，29同业拆入，30卖出回购款项，31汇出汇款，32应解汇款，33存入保证金，34应付利息，35应交税费，36应付职工薪酬，37应付福利费，38应付股利，39其他应付款，40预提费用，41递延收益，42预计负债，43转贷款资金，44应付债券，45其他负债，46递延所得税负债。
所有者权益类业务子类：47实收资本，48资本公积，49盈余公积，50一般风险准备，51信托赔偿准备，52未分配利润，53其他综合收益，54其他权益工具。
损益类业务子类：55利息收入，56利息支出，57手续费及佣金收入，58手续费及佣金支出，59投资损益，60公允价值变动损益，61汇兑损益，62资产处置损益，63其他业务收入，64营业支出，65营业外收入，66营业外支出，67资产减值损失，68所得税，69少数股东损益。
表外业务类别：70承兑汇票，71跟单信用证，72保函，73信用风险仍在银行的销售与购买协议，74其他担保类业务，75可随时无条件撤销的贷款承诺，76不可无条件撤销的贷款承诺，77未使用的信用卡授信额度，78其他承诺，79发行非保本理财产品，80委托贷款，81委托投资，82代理代销业务，83资产托管，84其他金融资产服务业务，85金融衍生品类。</v>
      </c>
      <c r="L335" s="43" t="str">
        <f>INDEX(数据元说明!A:F,MATCH(I335,数据元说明!C:C,0),6)</f>
        <v>C..200</v>
      </c>
      <c r="M335" s="158" t="s">
        <v>2315</v>
      </c>
      <c r="N335" s="129" t="s">
        <v>25</v>
      </c>
      <c r="O335" s="139" t="s">
        <v>1613</v>
      </c>
      <c r="P335" s="140"/>
    </row>
    <row r="336" s="5" customFormat="1" ht="30" customHeight="1" outlineLevel="1" spans="1:16">
      <c r="A336" s="95"/>
      <c r="B336" s="94"/>
      <c r="C336" s="95"/>
      <c r="D336" s="95"/>
      <c r="E336" s="94"/>
      <c r="F336" s="97" t="s">
        <v>1574</v>
      </c>
      <c r="G336" s="29" t="s">
        <v>1575</v>
      </c>
      <c r="H336" s="96" t="s">
        <v>2316</v>
      </c>
      <c r="I336" s="97" t="s">
        <v>302</v>
      </c>
      <c r="J336" s="29" t="str">
        <f>INDEX(数据元说明!A:F,MATCH(I336,数据元说明!C:C,0),2)</f>
        <v>001005</v>
      </c>
      <c r="K336" s="98" t="str">
        <f>INDEX(数据元说明!A:F,MATCH(I336,数据元说明!C:C,0),5)</f>
        <v>YYYYMMDD，默认值99991231。</v>
      </c>
      <c r="L336" s="29" t="str">
        <f>INDEX(数据元说明!A:F,MATCH(I336,数据元说明!C:C,0),6)</f>
        <v>C8</v>
      </c>
      <c r="M336" s="98" t="s">
        <v>1577</v>
      </c>
      <c r="N336" s="99"/>
      <c r="O336" s="99"/>
      <c r="P336" s="99"/>
    </row>
    <row r="337" s="61" customFormat="1" ht="30" customHeight="1" spans="1:16">
      <c r="A337" s="125"/>
      <c r="B337" s="34"/>
      <c r="C337" s="19" t="s">
        <v>84</v>
      </c>
      <c r="D337" s="24" t="s">
        <v>85</v>
      </c>
      <c r="E337" s="126">
        <v>403</v>
      </c>
      <c r="F337" s="127"/>
      <c r="G337" s="126"/>
      <c r="H337" s="126"/>
      <c r="I337" s="127"/>
      <c r="J337" s="126"/>
      <c r="K337" s="152"/>
      <c r="L337" s="126"/>
      <c r="M337" s="128" t="str">
        <f>INDEX(表结构总览!E:H,MATCH(D337,表结构总览!E:E,0),4)</f>
        <v>指金融机构吸收的所有以个人名义存入的活期存款。报送范围：参照1104报表G01_III中[2.2.1个人活期存款]除去信用卡溢缴款部分填报。个体工商户的存款属于个人存款。信用卡业务不在本表中填报。以活期存款账号为最小颗粒报送，如账户注销或终结，在报送该账户最终状态后的次月可不再报送。</v>
      </c>
      <c r="N337" s="129" t="s">
        <v>25</v>
      </c>
      <c r="O337" s="139" t="s">
        <v>449</v>
      </c>
      <c r="P337" s="33"/>
    </row>
    <row r="338" s="61" customFormat="1" ht="30" customHeight="1" outlineLevel="1" spans="1:16">
      <c r="A338" s="130"/>
      <c r="B338" s="36"/>
      <c r="C338" s="25"/>
      <c r="D338" s="25"/>
      <c r="E338" s="36"/>
      <c r="F338" s="131" t="s">
        <v>325</v>
      </c>
      <c r="G338" s="31" t="s">
        <v>1520</v>
      </c>
      <c r="H338" s="132" t="s">
        <v>2317</v>
      </c>
      <c r="I338" s="131" t="s">
        <v>325</v>
      </c>
      <c r="J338" s="31" t="str">
        <f>INDEX(数据元说明!A:F,MATCH(I338,数据元说明!C:C,0),2)</f>
        <v>001010</v>
      </c>
      <c r="K338" s="133" t="str">
        <f>INDEX(数据元说明!A:F,MATCH(I338,数据元说明!C:C,0),5)</f>
        <v>12位人行支付行号或SWIFT行号。</v>
      </c>
      <c r="L338" s="31" t="str">
        <f>INDEX(数据元说明!A:F,MATCH(I338,数据元说明!C:C,0),6)</f>
        <v>C..30</v>
      </c>
      <c r="M338" s="133" t="s">
        <v>2318</v>
      </c>
      <c r="N338" s="99"/>
      <c r="O338" s="99"/>
      <c r="P338" s="99"/>
    </row>
    <row r="339" s="81" customFormat="1" ht="30" customHeight="1" outlineLevel="1" spans="1:16">
      <c r="A339" s="134"/>
      <c r="B339" s="47"/>
      <c r="C339" s="39"/>
      <c r="D339" s="39"/>
      <c r="E339" s="47"/>
      <c r="F339" s="135" t="s">
        <v>329</v>
      </c>
      <c r="G339" s="136" t="s">
        <v>1526</v>
      </c>
      <c r="H339" s="137" t="s">
        <v>2319</v>
      </c>
      <c r="I339" s="135" t="s">
        <v>329</v>
      </c>
      <c r="J339" s="136" t="str">
        <f>INDEX(数据元说明!A:F,MATCH(I339,数据元说明!C:C,0),2)</f>
        <v>001011</v>
      </c>
      <c r="K339" s="138" t="str">
        <f>INDEX(数据元说明!A:F,MATCH(I339,数据元说明!C:C,0),5)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39" s="136" t="str">
        <f>INDEX(数据元说明!A:F,MATCH(I339,数据元说明!C:C,0),6)</f>
        <v>C..30</v>
      </c>
      <c r="M339" s="138" t="s">
        <v>2320</v>
      </c>
      <c r="N339" s="129" t="s">
        <v>25</v>
      </c>
      <c r="O339" s="129" t="s">
        <v>449</v>
      </c>
      <c r="P339" s="139"/>
    </row>
    <row r="340" s="61" customFormat="1" ht="30" customHeight="1" outlineLevel="1" spans="1:16">
      <c r="A340" s="130"/>
      <c r="B340" s="36"/>
      <c r="C340" s="25"/>
      <c r="D340" s="25"/>
      <c r="E340" s="36"/>
      <c r="F340" s="131" t="s">
        <v>333</v>
      </c>
      <c r="G340" s="31" t="s">
        <v>1523</v>
      </c>
      <c r="H340" s="132" t="s">
        <v>2321</v>
      </c>
      <c r="I340" s="131" t="s">
        <v>333</v>
      </c>
      <c r="J340" s="31" t="str">
        <f>INDEX(数据元说明!A:F,MATCH(I340,数据元说明!C:C,0),2)</f>
        <v>001012</v>
      </c>
      <c r="K340" s="133" t="str">
        <f>INDEX(数据元说明!A:F,MATCH(I340,数据元说明!C:C,0),5)</f>
        <v>银行内部机构号。应具有标识机构的唯一性。</v>
      </c>
      <c r="L340" s="31" t="str">
        <f>INDEX(数据元说明!A:F,MATCH(I340,数据元说明!C:C,0),6)</f>
        <v>C..30</v>
      </c>
      <c r="M340" s="133" t="s">
        <v>2322</v>
      </c>
      <c r="N340" s="99"/>
      <c r="O340" s="99"/>
      <c r="P340" s="99"/>
    </row>
    <row r="341" s="61" customFormat="1" ht="30" customHeight="1" outlineLevel="1" spans="1:16">
      <c r="A341" s="130"/>
      <c r="B341" s="36"/>
      <c r="C341" s="25"/>
      <c r="D341" s="25"/>
      <c r="E341" s="36"/>
      <c r="F341" s="135" t="s">
        <v>1532</v>
      </c>
      <c r="G341" s="136" t="s">
        <v>1533</v>
      </c>
      <c r="H341" s="137" t="s">
        <v>2323</v>
      </c>
      <c r="I341" s="135" t="s">
        <v>282</v>
      </c>
      <c r="J341" s="136" t="str">
        <f>INDEX(数据元说明!A:F,MATCH(I341,数据元说明!C:C,0),2)</f>
        <v>001001</v>
      </c>
      <c r="K341" s="138" t="str">
        <f>INDEX(数据元说明!A:F,MATCH(I341,数据元说明!C:C,0),5)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341" s="136" t="str">
        <f>INDEX(数据元说明!A:F,MATCH(I341,数据元说明!C:C,0),6)</f>
        <v>C..400</v>
      </c>
      <c r="M341" s="138" t="s">
        <v>2324</v>
      </c>
      <c r="N341" s="139" t="s">
        <v>25</v>
      </c>
      <c r="O341" s="139" t="s">
        <v>280</v>
      </c>
      <c r="P341" s="140" t="s">
        <v>1588</v>
      </c>
    </row>
    <row r="342" s="81" customFormat="1" ht="30" customHeight="1" outlineLevel="1" spans="1:16">
      <c r="A342" s="134"/>
      <c r="B342" s="47"/>
      <c r="C342" s="39"/>
      <c r="D342" s="39"/>
      <c r="E342" s="47"/>
      <c r="F342" s="135" t="s">
        <v>2325</v>
      </c>
      <c r="G342" s="136" t="s">
        <v>2326</v>
      </c>
      <c r="H342" s="137" t="s">
        <v>2327</v>
      </c>
      <c r="I342" s="135" t="s">
        <v>574</v>
      </c>
      <c r="J342" s="136" t="str">
        <f>INDEX(数据元说明!A:F,MATCH(I342,数据元说明!C:C,0),2)</f>
        <v>003002</v>
      </c>
      <c r="K342" s="138" t="str">
        <f>INDEX(数据元说明!A:F,MATCH(I342,数据元说明!C:C,0),5)</f>
        <v>机构实际使用的总账会计科目编码。</v>
      </c>
      <c r="L342" s="136" t="str">
        <f>INDEX(数据元说明!A:F,MATCH(I342,数据元说明!C:C,0),6)</f>
        <v>C..200</v>
      </c>
      <c r="M342" s="138" t="s">
        <v>2328</v>
      </c>
      <c r="N342" s="139" t="s">
        <v>25</v>
      </c>
      <c r="O342" s="139" t="s">
        <v>1516</v>
      </c>
      <c r="P342" s="140"/>
    </row>
    <row r="343" s="81" customFormat="1" ht="30" customHeight="1" outlineLevel="1" spans="1:16">
      <c r="A343" s="134"/>
      <c r="B343" s="47"/>
      <c r="C343" s="39"/>
      <c r="D343" s="39"/>
      <c r="E343" s="47"/>
      <c r="F343" s="135" t="s">
        <v>2329</v>
      </c>
      <c r="G343" s="136" t="s">
        <v>2330</v>
      </c>
      <c r="H343" s="137" t="s">
        <v>2331</v>
      </c>
      <c r="I343" s="135" t="s">
        <v>578</v>
      </c>
      <c r="J343" s="136" t="str">
        <f>INDEX(数据元说明!A:F,MATCH(I343,数据元说明!C:C,0),2)</f>
        <v>003003</v>
      </c>
      <c r="K343" s="138" t="str">
        <f>INDEX(数据元说明!A:F,MATCH(I343,数据元说明!C:C,0),5)</f>
        <v>机构实际使用的总账会计科目编码对应的名称。</v>
      </c>
      <c r="L343" s="136" t="str">
        <f>INDEX(数据元说明!A:F,MATCH(I343,数据元说明!C:C,0),6)</f>
        <v>C..200</v>
      </c>
      <c r="M343" s="138" t="s">
        <v>2328</v>
      </c>
      <c r="N343" s="139" t="s">
        <v>25</v>
      </c>
      <c r="O343" s="139" t="s">
        <v>449</v>
      </c>
      <c r="P343" s="140"/>
    </row>
    <row r="344" s="61" customFormat="1" ht="30" customHeight="1" outlineLevel="1" spans="1:16">
      <c r="A344" s="130"/>
      <c r="B344" s="36"/>
      <c r="C344" s="25"/>
      <c r="D344" s="25"/>
      <c r="E344" s="36"/>
      <c r="F344" s="131" t="s">
        <v>453</v>
      </c>
      <c r="G344" s="31" t="s">
        <v>1680</v>
      </c>
      <c r="H344" s="132" t="s">
        <v>2332</v>
      </c>
      <c r="I344" s="131" t="s">
        <v>453</v>
      </c>
      <c r="J344" s="31" t="str">
        <f>INDEX(数据元说明!A:F,MATCH(I344,数据元说明!C:C,0),2)</f>
        <v>002001</v>
      </c>
      <c r="K344" s="133" t="str">
        <f>INDEX(数据元说明!A:F,MATCH(I344,数据元说明!C:C,0),5)</f>
        <v>银行自定义的唯一识别客户的标识。供应链融资的填写供应链融资编码。</v>
      </c>
      <c r="L344" s="31" t="str">
        <f>INDEX(数据元说明!A:F,MATCH(I344,数据元说明!C:C,0),6)</f>
        <v>C..60</v>
      </c>
      <c r="M344" s="133" t="s">
        <v>2333</v>
      </c>
      <c r="N344" s="33" t="s">
        <v>25</v>
      </c>
      <c r="O344" s="99"/>
      <c r="P344" s="33" t="s">
        <v>1588</v>
      </c>
    </row>
    <row r="345" s="81" customFormat="1" ht="30" customHeight="1" outlineLevel="1" spans="1:16">
      <c r="A345" s="134"/>
      <c r="B345" s="47"/>
      <c r="C345" s="39"/>
      <c r="D345" s="39"/>
      <c r="E345" s="47"/>
      <c r="F345" s="135" t="s">
        <v>628</v>
      </c>
      <c r="G345" s="136" t="s">
        <v>2334</v>
      </c>
      <c r="H345" s="137" t="s">
        <v>2335</v>
      </c>
      <c r="I345" s="135" t="s">
        <v>628</v>
      </c>
      <c r="J345" s="136" t="str">
        <f>INDEX(数据元说明!A:F,MATCH(I345,数据元说明!C:C,0),2)</f>
        <v>003015</v>
      </c>
      <c r="K345" s="138" t="str">
        <f>INDEX(数据元说明!A:F,MATCH(I345,数据元说明!C:C,0),5)</f>
        <v>账户归属者的名称。如果客户为个人，则为隐私，银行机构变形，变形规则见《采集技术接口说明》。客户是境内涉密机构的，账户名称填报为“*********”。其他情况，则为非隐私，不做变形。</v>
      </c>
      <c r="L345" s="136" t="str">
        <f>INDEX(数据元说明!A:F,MATCH(I345,数据元说明!C:C,0),6)</f>
        <v>C..400</v>
      </c>
      <c r="M345" s="138" t="s">
        <v>2336</v>
      </c>
      <c r="N345" s="139" t="s">
        <v>25</v>
      </c>
      <c r="O345" s="139" t="s">
        <v>449</v>
      </c>
      <c r="P345" s="140"/>
    </row>
    <row r="346" s="61" customFormat="1" ht="30" customHeight="1" outlineLevel="1" spans="1:16">
      <c r="A346" s="130"/>
      <c r="B346" s="36"/>
      <c r="C346" s="25"/>
      <c r="D346" s="25"/>
      <c r="E346" s="36"/>
      <c r="F346" s="131" t="s">
        <v>2131</v>
      </c>
      <c r="G346" s="31" t="s">
        <v>2132</v>
      </c>
      <c r="H346" s="132" t="s">
        <v>2337</v>
      </c>
      <c r="I346" s="131" t="s">
        <v>570</v>
      </c>
      <c r="J346" s="31" t="str">
        <f>INDEX(数据元说明!A:F,MATCH(I346,数据元说明!C:C,0),2)</f>
        <v>003001</v>
      </c>
      <c r="K346" s="133" t="str">
        <f>INDEX(数据元说明!A:F,MATCH(I346,数据元说明!C:C,0),5)</f>
        <v>系统内最细一级的账号，无唯一性约束，不需要和序号、子序号等做拼接。</v>
      </c>
      <c r="L346" s="31" t="str">
        <f>INDEX(数据元说明!A:F,MATCH(I346,数据元说明!C:C,0),6)</f>
        <v>C..60</v>
      </c>
      <c r="M346" s="133" t="s">
        <v>1525</v>
      </c>
      <c r="N346" s="33" t="s">
        <v>25</v>
      </c>
      <c r="O346" s="99"/>
      <c r="P346" s="33" t="s">
        <v>1588</v>
      </c>
    </row>
    <row r="347" s="81" customFormat="1" ht="44" customHeight="1" outlineLevel="1" spans="1:16">
      <c r="A347" s="134"/>
      <c r="B347" s="47"/>
      <c r="C347" s="39"/>
      <c r="D347" s="39"/>
      <c r="E347" s="47"/>
      <c r="F347" s="135" t="s">
        <v>632</v>
      </c>
      <c r="G347" s="136" t="s">
        <v>2338</v>
      </c>
      <c r="H347" s="137" t="s">
        <v>2339</v>
      </c>
      <c r="I347" s="135" t="s">
        <v>632</v>
      </c>
      <c r="J347" s="136" t="str">
        <f>INDEX(数据元说明!A:F,MATCH(I347,数据元说明!C:C,0),2)</f>
        <v>003016</v>
      </c>
      <c r="K347" s="138" t="str">
        <f>INDEX(数据元说明!A:F,MATCH(I347,数据元说明!C:C,0),5)</f>
        <v>个人活期存款账户的类别。I类户，II类户，III类户，外汇账户，其他-银行自定义。无法以枚举类型填报的，以“其他-XX”填报，其中“XX”为银行自定义类型。</v>
      </c>
      <c r="L347" s="136" t="str">
        <f>INDEX(数据元说明!A:F,MATCH(I347,数据元说明!C:C,0),6)</f>
        <v>C..60</v>
      </c>
      <c r="M347" s="138"/>
      <c r="N347" s="139" t="s">
        <v>25</v>
      </c>
      <c r="O347" s="139" t="s">
        <v>275</v>
      </c>
      <c r="P347" s="140" t="s">
        <v>1606</v>
      </c>
    </row>
    <row r="348" s="61" customFormat="1" ht="30" customHeight="1" outlineLevel="1" spans="1:16">
      <c r="A348" s="130"/>
      <c r="B348" s="36"/>
      <c r="C348" s="25"/>
      <c r="D348" s="25"/>
      <c r="E348" s="36"/>
      <c r="F348" s="131" t="s">
        <v>2340</v>
      </c>
      <c r="G348" s="31" t="s">
        <v>2341</v>
      </c>
      <c r="H348" s="132" t="s">
        <v>2342</v>
      </c>
      <c r="I348" s="131" t="s">
        <v>287</v>
      </c>
      <c r="J348" s="31" t="str">
        <f>INDEX(数据元说明!A:F,MATCH(I348,数据元说明!C:C,0),2)</f>
        <v>001002</v>
      </c>
      <c r="K348" s="133" t="str">
        <f>INDEX(数据元说明!A:F,MATCH(I348,数据元说明!C:C,0),5)</f>
        <v>是，否。</v>
      </c>
      <c r="L348" s="31" t="str">
        <f>INDEX(数据元说明!A:F,MATCH(I348,数据元说明!C:C,0),6)</f>
        <v>C3</v>
      </c>
      <c r="M348" s="133"/>
      <c r="N348" s="99"/>
      <c r="O348" s="99"/>
      <c r="P348" s="99"/>
    </row>
    <row r="349" s="61" customFormat="1" ht="30" customHeight="1" outlineLevel="1" spans="1:16">
      <c r="A349" s="130"/>
      <c r="B349" s="36"/>
      <c r="C349" s="25"/>
      <c r="D349" s="25"/>
      <c r="E349" s="36"/>
      <c r="F349" s="131" t="s">
        <v>660</v>
      </c>
      <c r="G349" s="31" t="s">
        <v>2343</v>
      </c>
      <c r="H349" s="132" t="s">
        <v>2344</v>
      </c>
      <c r="I349" s="131" t="s">
        <v>660</v>
      </c>
      <c r="J349" s="31" t="str">
        <f>INDEX(数据元说明!A:F,MATCH(I349,数据元说明!C:C,0),2)</f>
        <v>003023</v>
      </c>
      <c r="K349" s="133" t="str">
        <f>INDEX(数据元说明!A:F,MATCH(I349,数据元说明!C:C,0),5)</f>
        <v>百分比为单位，即%，如4.5%填报为4.5。</v>
      </c>
      <c r="L349" s="31" t="str">
        <f>INDEX(数据元说明!A:F,MATCH(I349,数据元说明!C:C,0),6)</f>
        <v>D10.4</v>
      </c>
      <c r="M349" s="133"/>
      <c r="N349" s="99"/>
      <c r="O349" s="99"/>
      <c r="P349" s="99"/>
    </row>
    <row r="350" s="61" customFormat="1" ht="30" customHeight="1" outlineLevel="1" spans="1:16">
      <c r="A350" s="130"/>
      <c r="B350" s="36"/>
      <c r="C350" s="25"/>
      <c r="D350" s="25"/>
      <c r="E350" s="36"/>
      <c r="F350" s="131" t="s">
        <v>624</v>
      </c>
      <c r="G350" s="31" t="s">
        <v>1989</v>
      </c>
      <c r="H350" s="132" t="s">
        <v>2345</v>
      </c>
      <c r="I350" s="131" t="s">
        <v>624</v>
      </c>
      <c r="J350" s="31" t="str">
        <f>INDEX(数据元说明!A:F,MATCH(I350,数据元说明!C:C,0),2)</f>
        <v>003014</v>
      </c>
      <c r="K350" s="133" t="str">
        <f>INDEX(数据元说明!A:F,MATCH(I350,数据元说明!C:C,0),5)</f>
        <v>遵循《GB/T 12406 表示货币和资金的代码》的字母代码，如CNY。上述文件所列币种无法涵盖的，允许银行自定义填报。多个币种合计折算为人民币（本外币合计）的，填报为BWB。</v>
      </c>
      <c r="L350" s="31" t="str">
        <f>INDEX(数据元说明!A:F,MATCH(I350,数据元说明!C:C,0),6)</f>
        <v>C3</v>
      </c>
      <c r="M350" s="133" t="s">
        <v>1525</v>
      </c>
      <c r="N350" s="33" t="s">
        <v>25</v>
      </c>
      <c r="O350" s="99"/>
      <c r="P350" s="33" t="s">
        <v>1588</v>
      </c>
    </row>
    <row r="351" s="61" customFormat="1" ht="30" customHeight="1" outlineLevel="1" spans="1:16">
      <c r="A351" s="130"/>
      <c r="B351" s="36"/>
      <c r="C351" s="25"/>
      <c r="D351" s="25"/>
      <c r="E351" s="36"/>
      <c r="F351" s="131" t="s">
        <v>2346</v>
      </c>
      <c r="G351" s="31" t="s">
        <v>2347</v>
      </c>
      <c r="H351" s="132" t="s">
        <v>2348</v>
      </c>
      <c r="I351" s="131" t="s">
        <v>613</v>
      </c>
      <c r="J351" s="31" t="str">
        <f>INDEX(数据元说明!A:F,MATCH(I351,数据元说明!C:C,0),2)</f>
        <v>003011</v>
      </c>
      <c r="K351" s="133" t="str">
        <f>INDEX(数据元说明!A:F,MATCH(I351,数据元说明!C:C,0),5)</f>
        <v>与币种相对应金额。</v>
      </c>
      <c r="L351" s="31" t="str">
        <f>INDEX(数据元说明!A:F,MATCH(I351,数据元说明!C:C,0),6)</f>
        <v>D20.2</v>
      </c>
      <c r="M351" s="133" t="s">
        <v>2349</v>
      </c>
      <c r="N351" s="99"/>
      <c r="O351" s="99"/>
      <c r="P351" s="99"/>
    </row>
    <row r="352" s="61" customFormat="1" ht="30" customHeight="1" outlineLevel="1" spans="1:16">
      <c r="A352" s="130"/>
      <c r="B352" s="36"/>
      <c r="C352" s="25"/>
      <c r="D352" s="25"/>
      <c r="E352" s="36"/>
      <c r="F352" s="131" t="s">
        <v>2350</v>
      </c>
      <c r="G352" s="31" t="s">
        <v>2351</v>
      </c>
      <c r="H352" s="132" t="s">
        <v>2352</v>
      </c>
      <c r="I352" s="131" t="s">
        <v>302</v>
      </c>
      <c r="J352" s="31" t="str">
        <f>INDEX(数据元说明!A:F,MATCH(I352,数据元说明!C:C,0),2)</f>
        <v>001005</v>
      </c>
      <c r="K352" s="133" t="str">
        <f>INDEX(数据元说明!A:F,MATCH(I352,数据元说明!C:C,0),5)</f>
        <v>YYYYMMDD，默认值99991231。</v>
      </c>
      <c r="L352" s="31" t="str">
        <f>INDEX(数据元说明!A:F,MATCH(I352,数据元说明!C:C,0),6)</f>
        <v>C8</v>
      </c>
      <c r="M352" s="133" t="s">
        <v>2353</v>
      </c>
      <c r="N352" s="99"/>
      <c r="O352" s="99"/>
      <c r="P352" s="99"/>
    </row>
    <row r="353" s="61" customFormat="1" ht="30" customHeight="1" outlineLevel="1" spans="1:16">
      <c r="A353" s="184"/>
      <c r="B353" s="185"/>
      <c r="C353" s="186"/>
      <c r="D353" s="186"/>
      <c r="E353" s="185"/>
      <c r="F353" s="131" t="s">
        <v>2354</v>
      </c>
      <c r="G353" s="31" t="s">
        <v>2355</v>
      </c>
      <c r="H353" s="132" t="s">
        <v>2356</v>
      </c>
      <c r="I353" s="131" t="s">
        <v>368</v>
      </c>
      <c r="J353" s="31" t="str">
        <f>INDEX(数据元说明!A:F,MATCH(I353,数据元说明!C:C,0),2)</f>
        <v>001021</v>
      </c>
      <c r="K353" s="133" t="str">
        <f>INDEX(数据元说明!A:F,MATCH(I353,数据元说明!C:C,0),5)</f>
        <v>柜员编号，银行自定义。</v>
      </c>
      <c r="L353" s="31" t="str">
        <f>INDEX(数据元说明!A:F,MATCH(I353,数据元说明!C:C,0),6)</f>
        <v>C..30</v>
      </c>
      <c r="M353" s="163" t="s">
        <v>2151</v>
      </c>
      <c r="N353" s="99"/>
      <c r="O353" s="99"/>
      <c r="P353" s="99"/>
    </row>
    <row r="354" s="61" customFormat="1" ht="30" customHeight="1" outlineLevel="1" spans="1:16">
      <c r="A354" s="184"/>
      <c r="B354" s="185"/>
      <c r="C354" s="25"/>
      <c r="D354" s="25"/>
      <c r="E354" s="36"/>
      <c r="F354" s="131" t="s">
        <v>2357</v>
      </c>
      <c r="G354" s="31" t="s">
        <v>2358</v>
      </c>
      <c r="H354" s="132" t="s">
        <v>2359</v>
      </c>
      <c r="I354" s="131" t="s">
        <v>302</v>
      </c>
      <c r="J354" s="31" t="str">
        <f>INDEX(数据元说明!A:F,MATCH(I354,数据元说明!C:C,0),2)</f>
        <v>001005</v>
      </c>
      <c r="K354" s="133" t="str">
        <f>INDEX(数据元说明!A:F,MATCH(I354,数据元说明!C:C,0),5)</f>
        <v>YYYYMMDD，默认值99991231。</v>
      </c>
      <c r="L354" s="31" t="str">
        <f>INDEX(数据元说明!A:F,MATCH(I354,数据元说明!C:C,0),6)</f>
        <v>C8</v>
      </c>
      <c r="M354" s="133"/>
      <c r="N354" s="99"/>
      <c r="O354" s="99"/>
      <c r="P354" s="99"/>
    </row>
    <row r="355" s="81" customFormat="1" ht="30" customHeight="1" outlineLevel="1" spans="1:16">
      <c r="A355" s="141"/>
      <c r="B355" s="142"/>
      <c r="C355" s="39"/>
      <c r="D355" s="39"/>
      <c r="E355" s="47"/>
      <c r="F355" s="135" t="s">
        <v>2360</v>
      </c>
      <c r="G355" s="136" t="s">
        <v>2361</v>
      </c>
      <c r="H355" s="137" t="s">
        <v>2362</v>
      </c>
      <c r="I355" s="135" t="s">
        <v>302</v>
      </c>
      <c r="J355" s="136" t="str">
        <f>INDEX(数据元说明!A:F,MATCH(I355,数据元说明!C:C,0),2)</f>
        <v>001005</v>
      </c>
      <c r="K355" s="138" t="str">
        <f>INDEX(数据元说明!A:F,MATCH(I355,数据元说明!C:C,0),5)</f>
        <v>YYYYMMDD，默认值99991231。</v>
      </c>
      <c r="L355" s="136" t="str">
        <f>INDEX(数据元说明!A:F,MATCH(I355,数据元说明!C:C,0),6)</f>
        <v>C8</v>
      </c>
      <c r="M355" s="138" t="s">
        <v>2363</v>
      </c>
      <c r="N355" s="139" t="s">
        <v>25</v>
      </c>
      <c r="O355" s="140"/>
      <c r="P355" s="139" t="s">
        <v>1606</v>
      </c>
    </row>
    <row r="356" s="61" customFormat="1" ht="30" customHeight="1" outlineLevel="1" spans="1:16">
      <c r="A356" s="184"/>
      <c r="B356" s="185"/>
      <c r="C356" s="25"/>
      <c r="D356" s="25"/>
      <c r="E356" s="36"/>
      <c r="F356" s="131" t="s">
        <v>640</v>
      </c>
      <c r="G356" s="31" t="s">
        <v>2364</v>
      </c>
      <c r="H356" s="132" t="s">
        <v>2365</v>
      </c>
      <c r="I356" s="131" t="s">
        <v>640</v>
      </c>
      <c r="J356" s="31" t="str">
        <f>INDEX(数据元说明!A:F,MATCH(I356,数据元说明!C:C,0),2)</f>
        <v>003018</v>
      </c>
      <c r="K356" s="133" t="str">
        <f>INDEX(数据元说明!A:F,MATCH(I356,数据元说明!C:C,0),5)</f>
        <v>人民币，钞，汇，可钞可汇等。</v>
      </c>
      <c r="L356" s="31" t="str">
        <f>INDEX(数据元说明!A:F,MATCH(I356,数据元说明!C:C,0),6)</f>
        <v>C..12</v>
      </c>
      <c r="M356" s="133" t="s">
        <v>1525</v>
      </c>
      <c r="N356" s="99"/>
      <c r="O356" s="99"/>
      <c r="P356" s="99"/>
    </row>
    <row r="357" s="81" customFormat="1" ht="30" customHeight="1" outlineLevel="1" spans="1:16">
      <c r="A357" s="141"/>
      <c r="B357" s="142"/>
      <c r="C357" s="39"/>
      <c r="D357" s="39"/>
      <c r="E357" s="47"/>
      <c r="F357" s="135" t="s">
        <v>636</v>
      </c>
      <c r="G357" s="136" t="s">
        <v>2366</v>
      </c>
      <c r="H357" s="137" t="s">
        <v>2367</v>
      </c>
      <c r="I357" s="135" t="s">
        <v>636</v>
      </c>
      <c r="J357" s="136" t="str">
        <f>INDEX(数据元说明!A:F,MATCH(I357,数据元说明!C:C,0),2)</f>
        <v>003017</v>
      </c>
      <c r="K357" s="138" t="str">
        <f>INDEX(数据元说明!A:F,MATCH(I357,数据元说明!C:C,0),5)</f>
        <v>正常，预销户，销户，逾期，冻结，止付，已转让，其他-银行自定义。无法以枚举类型填报的，以“其他-XX”填报，其中“XX”为银行自定义类型。</v>
      </c>
      <c r="L357" s="136" t="str">
        <f>INDEX(数据元说明!A:F,MATCH(I357,数据元说明!C:C,0),6)</f>
        <v>C..30</v>
      </c>
      <c r="M357" s="138"/>
      <c r="N357" s="140" t="s">
        <v>25</v>
      </c>
      <c r="O357" s="139" t="s">
        <v>275</v>
      </c>
      <c r="P357" s="140" t="s">
        <v>1606</v>
      </c>
    </row>
    <row r="358" s="82" customFormat="1" ht="71" outlineLevel="1" spans="1:16">
      <c r="A358" s="144"/>
      <c r="B358" s="145"/>
      <c r="C358" s="146"/>
      <c r="D358" s="146"/>
      <c r="E358" s="145"/>
      <c r="F358" s="147" t="s">
        <v>449</v>
      </c>
      <c r="G358" s="148" t="s">
        <v>1571</v>
      </c>
      <c r="H358" s="148" t="s">
        <v>2368</v>
      </c>
      <c r="I358" s="147" t="s">
        <v>449</v>
      </c>
      <c r="J358" s="148" t="str">
        <f>INDEX(数据元说明!A:F,MATCH(I358,数据元说明!C:C,0),2)</f>
        <v>001040</v>
      </c>
      <c r="K358" s="149" t="str">
        <f>INDEX(数据元说明!A:F,MATCH(I358,数据元说明!C:C,0),5)</f>
        <v>银行自定义。</v>
      </c>
      <c r="L358" s="148" t="str">
        <f>INDEX(数据元说明!A:F,MATCH(I358,数据元说明!C:C,0),6)</f>
        <v>C..600</v>
      </c>
      <c r="M358" s="149" t="s">
        <v>1573</v>
      </c>
      <c r="N358" s="143" t="s">
        <v>57</v>
      </c>
      <c r="O358" s="151"/>
      <c r="P358" s="151"/>
    </row>
    <row r="359" s="61" customFormat="1" ht="30" customHeight="1" outlineLevel="1" spans="1:16">
      <c r="A359" s="130"/>
      <c r="B359" s="36"/>
      <c r="C359" s="25"/>
      <c r="D359" s="25"/>
      <c r="E359" s="36"/>
      <c r="F359" s="131" t="s">
        <v>1574</v>
      </c>
      <c r="G359" s="31" t="s">
        <v>1575</v>
      </c>
      <c r="H359" s="132" t="s">
        <v>2369</v>
      </c>
      <c r="I359" s="131" t="s">
        <v>302</v>
      </c>
      <c r="J359" s="31" t="str">
        <f>INDEX(数据元说明!A:F,MATCH(I359,数据元说明!C:C,0),2)</f>
        <v>001005</v>
      </c>
      <c r="K359" s="133" t="str">
        <f>INDEX(数据元说明!A:F,MATCH(I359,数据元说明!C:C,0),5)</f>
        <v>YYYYMMDD，默认值99991231。</v>
      </c>
      <c r="L359" s="31" t="str">
        <f>INDEX(数据元说明!A:F,MATCH(I359,数据元说明!C:C,0),6)</f>
        <v>C8</v>
      </c>
      <c r="M359" s="133" t="s">
        <v>1577</v>
      </c>
      <c r="N359" s="99"/>
      <c r="O359" s="99"/>
      <c r="P359" s="99"/>
    </row>
    <row r="360" s="61" customFormat="1" ht="30" customHeight="1" spans="1:16">
      <c r="A360" s="165"/>
      <c r="B360" s="166"/>
      <c r="C360" s="19" t="s">
        <v>87</v>
      </c>
      <c r="D360" s="24" t="s">
        <v>88</v>
      </c>
      <c r="E360" s="126">
        <v>404</v>
      </c>
      <c r="F360" s="127"/>
      <c r="G360" s="126"/>
      <c r="H360" s="126"/>
      <c r="I360" s="127"/>
      <c r="J360" s="126"/>
      <c r="K360" s="152"/>
      <c r="L360" s="126"/>
      <c r="M360" s="128" t="str">
        <f>INDEX(表结构总览!E:H,MATCH(D360,表结构总览!E:E,0),4)</f>
        <v>除计息、扣利息税外，所有影响个人活期存款账户余额变动的交易信息，不包括查询交易。</v>
      </c>
      <c r="N360" s="139" t="s">
        <v>25</v>
      </c>
      <c r="O360" s="220"/>
      <c r="P360" s="99"/>
    </row>
    <row r="361" s="87" customFormat="1" ht="30" customHeight="1" spans="1:16">
      <c r="A361" s="141"/>
      <c r="B361" s="142"/>
      <c r="C361" s="39"/>
      <c r="D361" s="40"/>
      <c r="E361" s="47"/>
      <c r="F361" s="135" t="s">
        <v>702</v>
      </c>
      <c r="G361" s="136" t="s">
        <v>2370</v>
      </c>
      <c r="H361" s="137" t="s">
        <v>2371</v>
      </c>
      <c r="I361" s="135" t="s">
        <v>702</v>
      </c>
      <c r="J361" s="136" t="str">
        <f>INDEX(数据元说明!A:F,MATCH(I361,数据元说明!C:C,0),2)</f>
        <v>004001</v>
      </c>
      <c r="K361" s="138" t="str">
        <f>INDEX(数据元说明!A:F,MATCH(I361,数据元说明!C:C,0),5)</f>
        <v>唯一标识该笔交易的编号，银行自定义。可以是业务编号，也可以是交易系统中使用的时间戳，如：时间戳(纳秒)：1530027865231834600。</v>
      </c>
      <c r="L361" s="136" t="str">
        <f>INDEX(数据元说明!A:F,MATCH(I361,数据元说明!C:C,0),6)</f>
        <v>C..100</v>
      </c>
      <c r="M361" s="138" t="s">
        <v>1587</v>
      </c>
      <c r="N361" s="143" t="s">
        <v>57</v>
      </c>
      <c r="O361" s="221"/>
      <c r="P361" s="140"/>
    </row>
    <row r="362" ht="30" customHeight="1" outlineLevel="1" spans="1:16">
      <c r="A362" s="159"/>
      <c r="B362" s="160"/>
      <c r="E362" s="94"/>
      <c r="F362" s="97" t="s">
        <v>325</v>
      </c>
      <c r="G362" s="29" t="s">
        <v>1520</v>
      </c>
      <c r="H362" s="132" t="s">
        <v>2372</v>
      </c>
      <c r="I362" s="97" t="s">
        <v>325</v>
      </c>
      <c r="J362" s="29" t="str">
        <f>INDEX(数据元说明!A:F,MATCH(I362,数据元说明!C:C,0),2)</f>
        <v>001010</v>
      </c>
      <c r="K362" s="98" t="str">
        <f>INDEX(数据元说明!A:F,MATCH(I362,数据元说明!C:C,0),5)</f>
        <v>12位人行支付行号或SWIFT行号。</v>
      </c>
      <c r="L362" s="29" t="str">
        <f>INDEX(数据元说明!A:F,MATCH(I362,数据元说明!C:C,0),6)</f>
        <v>C..30</v>
      </c>
      <c r="M362" s="133" t="s">
        <v>2318</v>
      </c>
      <c r="P362" s="99"/>
    </row>
    <row r="363" s="81" customFormat="1" ht="30" customHeight="1" outlineLevel="1" spans="1:16">
      <c r="A363" s="134"/>
      <c r="B363" s="47"/>
      <c r="C363" s="39"/>
      <c r="D363" s="39"/>
      <c r="E363" s="47"/>
      <c r="F363" s="135" t="s">
        <v>329</v>
      </c>
      <c r="G363" s="136" t="s">
        <v>1526</v>
      </c>
      <c r="H363" s="137" t="s">
        <v>2373</v>
      </c>
      <c r="I363" s="135" t="s">
        <v>329</v>
      </c>
      <c r="J363" s="136" t="str">
        <f>INDEX(数据元说明!A:F,MATCH(I363,数据元说明!C:C,0),2)</f>
        <v>001011</v>
      </c>
      <c r="K363" s="138" t="str">
        <f>INDEX(数据元说明!A:F,MATCH(I363,数据元说明!C:C,0),5)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363" s="136" t="str">
        <f>INDEX(数据元说明!A:F,MATCH(I363,数据元说明!C:C,0),6)</f>
        <v>C..30</v>
      </c>
      <c r="M363" s="138" t="s">
        <v>2320</v>
      </c>
      <c r="N363" s="129" t="s">
        <v>25</v>
      </c>
      <c r="O363" s="129" t="s">
        <v>449</v>
      </c>
      <c r="P363" s="139"/>
    </row>
    <row r="364" ht="30" customHeight="1" outlineLevel="1" spans="1:16">
      <c r="A364" s="159"/>
      <c r="B364" s="160"/>
      <c r="E364" s="94"/>
      <c r="F364" s="97" t="s">
        <v>333</v>
      </c>
      <c r="G364" s="29" t="s">
        <v>1523</v>
      </c>
      <c r="H364" s="132" t="s">
        <v>2374</v>
      </c>
      <c r="I364" s="97" t="s">
        <v>333</v>
      </c>
      <c r="J364" s="29" t="str">
        <f>INDEX(数据元说明!A:F,MATCH(I364,数据元说明!C:C,0),2)</f>
        <v>001012</v>
      </c>
      <c r="K364" s="98" t="str">
        <f>INDEX(数据元说明!A:F,MATCH(I364,数据元说明!C:C,0),5)</f>
        <v>银行内部机构号。应具有标识机构的唯一性。</v>
      </c>
      <c r="L364" s="29" t="str">
        <f>INDEX(数据元说明!A:F,MATCH(I364,数据元说明!C:C,0),6)</f>
        <v>C..30</v>
      </c>
      <c r="M364" s="133" t="s">
        <v>2322</v>
      </c>
      <c r="P364" s="99"/>
    </row>
    <row r="365" ht="30" customHeight="1" outlineLevel="1" spans="1:16">
      <c r="A365" s="159"/>
      <c r="B365" s="160"/>
      <c r="E365" s="94"/>
      <c r="F365" s="97" t="s">
        <v>2375</v>
      </c>
      <c r="G365" s="29" t="s">
        <v>2376</v>
      </c>
      <c r="H365" s="132" t="s">
        <v>2377</v>
      </c>
      <c r="I365" s="97" t="s">
        <v>333</v>
      </c>
      <c r="J365" s="29" t="str">
        <f>INDEX(数据元说明!A:F,MATCH(I365,数据元说明!C:C,0),2)</f>
        <v>001012</v>
      </c>
      <c r="K365" s="98" t="str">
        <f>INDEX(数据元说明!A:F,MATCH(I365,数据元说明!C:C,0),5)</f>
        <v>银行内部机构号。应具有标识机构的唯一性。</v>
      </c>
      <c r="L365" s="29" t="str">
        <f>INDEX(数据元说明!A:F,MATCH(I365,数据元说明!C:C,0),6)</f>
        <v>C..30</v>
      </c>
      <c r="M365" s="133" t="s">
        <v>2378</v>
      </c>
      <c r="P365" s="99"/>
    </row>
    <row r="366" ht="30" customHeight="1" outlineLevel="1" spans="1:16">
      <c r="A366" s="159"/>
      <c r="B366" s="160"/>
      <c r="E366" s="94"/>
      <c r="F366" s="157" t="s">
        <v>1532</v>
      </c>
      <c r="G366" s="43" t="s">
        <v>1533</v>
      </c>
      <c r="H366" s="137" t="s">
        <v>2379</v>
      </c>
      <c r="I366" s="157" t="s">
        <v>282</v>
      </c>
      <c r="J366" s="43" t="str">
        <f>INDEX(数据元说明!A:F,MATCH(I366,数据元说明!C:C,0),2)</f>
        <v>001001</v>
      </c>
      <c r="K366" s="158" t="str">
        <f>INDEX(数据元说明!A:F,MATCH(I366,数据元说明!C:C,0),5)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366" s="43" t="str">
        <f>INDEX(数据元说明!A:F,MATCH(I366,数据元说明!C:C,0),6)</f>
        <v>C..400</v>
      </c>
      <c r="M366" s="138" t="s">
        <v>2324</v>
      </c>
      <c r="N366" s="139" t="s">
        <v>25</v>
      </c>
      <c r="O366" s="139" t="s">
        <v>280</v>
      </c>
      <c r="P366" s="140" t="s">
        <v>1588</v>
      </c>
    </row>
    <row r="367" s="81" customFormat="1" ht="30" customHeight="1" outlineLevel="1" spans="1:16">
      <c r="A367" s="167"/>
      <c r="B367" s="168"/>
      <c r="C367" s="156"/>
      <c r="D367" s="156"/>
      <c r="E367" s="155"/>
      <c r="F367" s="157" t="s">
        <v>2325</v>
      </c>
      <c r="G367" s="43" t="s">
        <v>2326</v>
      </c>
      <c r="H367" s="137" t="s">
        <v>2380</v>
      </c>
      <c r="I367" s="135" t="s">
        <v>574</v>
      </c>
      <c r="J367" s="43" t="str">
        <f>INDEX(数据元说明!A:F,MATCH(I367,数据元说明!C:C,0),2)</f>
        <v>003002</v>
      </c>
      <c r="K367" s="158" t="str">
        <f>INDEX(数据元说明!A:F,MATCH(I367,数据元说明!C:C,0),5)</f>
        <v>机构实际使用的总账会计科目编码。</v>
      </c>
      <c r="L367" s="43" t="str">
        <f>INDEX(数据元说明!A:F,MATCH(I367,数据元说明!C:C,0),6)</f>
        <v>C..200</v>
      </c>
      <c r="M367" s="138" t="s">
        <v>2328</v>
      </c>
      <c r="N367" s="139" t="s">
        <v>25</v>
      </c>
      <c r="O367" s="139" t="s">
        <v>1516</v>
      </c>
      <c r="P367" s="140"/>
    </row>
    <row r="368" s="81" customFormat="1" ht="30" customHeight="1" outlineLevel="1" spans="1:16">
      <c r="A368" s="167"/>
      <c r="B368" s="168"/>
      <c r="C368" s="156"/>
      <c r="D368" s="156"/>
      <c r="E368" s="155"/>
      <c r="F368" s="157" t="s">
        <v>2329</v>
      </c>
      <c r="G368" s="43" t="s">
        <v>2330</v>
      </c>
      <c r="H368" s="137" t="s">
        <v>2381</v>
      </c>
      <c r="I368" s="135" t="s">
        <v>578</v>
      </c>
      <c r="J368" s="43" t="str">
        <f>INDEX(数据元说明!A:F,MATCH(I368,数据元说明!C:C,0),2)</f>
        <v>003003</v>
      </c>
      <c r="K368" s="158" t="str">
        <f>INDEX(数据元说明!A:F,MATCH(I368,数据元说明!C:C,0),5)</f>
        <v>机构实际使用的总账会计科目编码对应的名称。</v>
      </c>
      <c r="L368" s="43" t="str">
        <f>INDEX(数据元说明!A:F,MATCH(I368,数据元说明!C:C,0),6)</f>
        <v>C..200</v>
      </c>
      <c r="M368" s="138" t="s">
        <v>2328</v>
      </c>
      <c r="N368" s="139" t="s">
        <v>25</v>
      </c>
      <c r="O368" s="139" t="s">
        <v>449</v>
      </c>
      <c r="P368" s="140"/>
    </row>
    <row r="369" s="61" customFormat="1" ht="30" customHeight="1" outlineLevel="1" spans="1:16">
      <c r="A369" s="159"/>
      <c r="B369" s="160"/>
      <c r="C369" s="95"/>
      <c r="D369" s="95"/>
      <c r="E369" s="94"/>
      <c r="F369" s="97" t="s">
        <v>453</v>
      </c>
      <c r="G369" s="29" t="s">
        <v>1680</v>
      </c>
      <c r="H369" s="132" t="s">
        <v>2382</v>
      </c>
      <c r="I369" s="97" t="s">
        <v>453</v>
      </c>
      <c r="J369" s="29" t="str">
        <f>INDEX(数据元说明!A:F,MATCH(I369,数据元说明!C:C,0),2)</f>
        <v>002001</v>
      </c>
      <c r="K369" s="98" t="str">
        <f>INDEX(数据元说明!A:F,MATCH(I369,数据元说明!C:C,0),5)</f>
        <v>银行自定义的唯一识别客户的标识。供应链融资的填写供应链融资编码。</v>
      </c>
      <c r="L369" s="29" t="str">
        <f>INDEX(数据元说明!A:F,MATCH(I369,数据元说明!C:C,0),6)</f>
        <v>C..60</v>
      </c>
      <c r="M369" s="98" t="s">
        <v>2333</v>
      </c>
      <c r="N369" s="33" t="s">
        <v>25</v>
      </c>
      <c r="O369" s="99"/>
      <c r="P369" s="33" t="s">
        <v>1588</v>
      </c>
    </row>
    <row r="370" s="81" customFormat="1" ht="30" customHeight="1" outlineLevel="1" spans="1:16">
      <c r="A370" s="167"/>
      <c r="B370" s="168"/>
      <c r="C370" s="176"/>
      <c r="D370" s="176"/>
      <c r="E370" s="168"/>
      <c r="F370" s="157" t="s">
        <v>628</v>
      </c>
      <c r="G370" s="43" t="s">
        <v>2334</v>
      </c>
      <c r="H370" s="137" t="s">
        <v>2383</v>
      </c>
      <c r="I370" s="157" t="s">
        <v>628</v>
      </c>
      <c r="J370" s="43" t="str">
        <f>INDEX(数据元说明!A:F,MATCH(I370,数据元说明!C:C,0),2)</f>
        <v>003015</v>
      </c>
      <c r="K370" s="158" t="str">
        <f>INDEX(数据元说明!A:F,MATCH(I370,数据元说明!C:C,0),5)</f>
        <v>账户归属者的名称。如果客户为个人，则为隐私，银行机构变形，变形规则见《采集技术接口说明》。客户是境内涉密机构的，账户名称填报为“*********”。其他情况，则为非隐私，不做变形。</v>
      </c>
      <c r="L370" s="43" t="str">
        <f>INDEX(数据元说明!A:F,MATCH(I370,数据元说明!C:C,0),6)</f>
        <v>C..400</v>
      </c>
      <c r="M370" s="162" t="s">
        <v>2336</v>
      </c>
      <c r="N370" s="139" t="s">
        <v>25</v>
      </c>
      <c r="O370" s="139" t="s">
        <v>449</v>
      </c>
      <c r="P370" s="140" t="s">
        <v>1588</v>
      </c>
    </row>
    <row r="371" s="81" customFormat="1" ht="30" customHeight="1" outlineLevel="1" spans="1:16">
      <c r="A371" s="154"/>
      <c r="B371" s="155"/>
      <c r="C371" s="156"/>
      <c r="D371" s="156"/>
      <c r="E371" s="155"/>
      <c r="F371" s="157" t="s">
        <v>457</v>
      </c>
      <c r="G371" s="43" t="s">
        <v>1592</v>
      </c>
      <c r="H371" s="137" t="s">
        <v>2384</v>
      </c>
      <c r="I371" s="157" t="s">
        <v>457</v>
      </c>
      <c r="J371" s="43" t="str">
        <f>INDEX(数据元说明!A:F,MATCH(I371,数据元说明!C:C,0),2)</f>
        <v>002002</v>
      </c>
      <c r="K371" s="158" t="str">
        <f>INDEX(数据元说明!A:F,MATCH(I371,数据元说明!C:C,0),5)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371" s="43" t="str">
        <f>INDEX(数据元说明!A:F,MATCH(I371,数据元说明!C:C,0),6)</f>
        <v>C..60</v>
      </c>
      <c r="M371" s="158"/>
      <c r="N371" s="143" t="s">
        <v>57</v>
      </c>
      <c r="O371" s="140"/>
      <c r="P371" s="205"/>
    </row>
    <row r="372" s="81" customFormat="1" ht="30" customHeight="1" outlineLevel="1" spans="1:16">
      <c r="A372" s="154"/>
      <c r="B372" s="155"/>
      <c r="C372" s="156"/>
      <c r="D372" s="156"/>
      <c r="E372" s="155"/>
      <c r="F372" s="157" t="s">
        <v>461</v>
      </c>
      <c r="G372" s="43" t="s">
        <v>1594</v>
      </c>
      <c r="H372" s="137" t="s">
        <v>2385</v>
      </c>
      <c r="I372" s="157" t="s">
        <v>461</v>
      </c>
      <c r="J372" s="43" t="str">
        <f>INDEX(数据元说明!A:F,MATCH(I372,数据元说明!C:C,0),2)</f>
        <v>002003</v>
      </c>
      <c r="K372" s="158" t="str">
        <f>INDEX(数据元说明!A:F,MATCH(I372,数据元说明!C:C,0),5)</f>
        <v>与证件类别对应的证件号码。涉及个人身份证件时需按照本规范给定规则进行脱敏处理。</v>
      </c>
      <c r="L372" s="43" t="str">
        <f>INDEX(数据元说明!A:F,MATCH(I372,数据元说明!C:C,0),6)</f>
        <v>C..70</v>
      </c>
      <c r="M372" s="158" t="s">
        <v>2386</v>
      </c>
      <c r="N372" s="143" t="s">
        <v>57</v>
      </c>
      <c r="O372" s="140"/>
      <c r="P372" s="205"/>
    </row>
    <row r="373" s="61" customFormat="1" ht="30" customHeight="1" outlineLevel="1" spans="1:16">
      <c r="A373" s="159"/>
      <c r="B373" s="160"/>
      <c r="C373" s="95"/>
      <c r="D373" s="95"/>
      <c r="E373" s="94"/>
      <c r="F373" s="97" t="s">
        <v>2131</v>
      </c>
      <c r="G373" s="29" t="s">
        <v>2132</v>
      </c>
      <c r="H373" s="132" t="s">
        <v>2387</v>
      </c>
      <c r="I373" s="97" t="s">
        <v>570</v>
      </c>
      <c r="J373" s="29" t="str">
        <f>INDEX(数据元说明!A:F,MATCH(I373,数据元说明!C:C,0),2)</f>
        <v>003001</v>
      </c>
      <c r="K373" s="98" t="str">
        <f>INDEX(数据元说明!A:F,MATCH(I373,数据元说明!C:C,0),5)</f>
        <v>系统内最细一级的账号，无唯一性约束，不需要和序号、子序号等做拼接。</v>
      </c>
      <c r="L373" s="29" t="str">
        <f>INDEX(数据元说明!A:F,MATCH(I373,数据元说明!C:C,0),6)</f>
        <v>C..60</v>
      </c>
      <c r="M373" s="98" t="s">
        <v>2388</v>
      </c>
      <c r="N373" s="33" t="s">
        <v>25</v>
      </c>
      <c r="O373" s="99"/>
      <c r="P373" s="33" t="s">
        <v>1588</v>
      </c>
    </row>
    <row r="374" s="61" customFormat="1" ht="30" customHeight="1" outlineLevel="1" spans="1:16">
      <c r="A374" s="184"/>
      <c r="B374" s="185"/>
      <c r="C374" s="186"/>
      <c r="D374" s="186"/>
      <c r="E374" s="185"/>
      <c r="F374" s="131" t="s">
        <v>697</v>
      </c>
      <c r="G374" s="31" t="s">
        <v>2389</v>
      </c>
      <c r="H374" s="132" t="s">
        <v>2390</v>
      </c>
      <c r="I374" s="131" t="s">
        <v>697</v>
      </c>
      <c r="J374" s="31" t="str">
        <f>INDEX(数据元说明!A:F,MATCH(I374,数据元说明!C:C,0),2)</f>
        <v>003032</v>
      </c>
      <c r="K374" s="133" t="str">
        <f>INDEX(数据元说明!A:F,MATCH(I374,数据元说明!C:C,0),5)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374" s="31" t="str">
        <f>INDEX(数据元说明!A:F,MATCH(I374,数据元说明!C:C,0),6)</f>
        <v>C..60</v>
      </c>
      <c r="M374" s="163"/>
      <c r="N374" s="33" t="s">
        <v>25</v>
      </c>
      <c r="O374" s="99"/>
      <c r="P374" s="33" t="s">
        <v>1588</v>
      </c>
    </row>
    <row r="375" s="81" customFormat="1" ht="30" customHeight="1" outlineLevel="1" spans="1:16">
      <c r="A375" s="167"/>
      <c r="B375" s="168"/>
      <c r="C375" s="176"/>
      <c r="D375" s="176"/>
      <c r="E375" s="168"/>
      <c r="F375" s="157" t="s">
        <v>706</v>
      </c>
      <c r="G375" s="43" t="s">
        <v>2391</v>
      </c>
      <c r="H375" s="137" t="s">
        <v>2392</v>
      </c>
      <c r="I375" s="157" t="s">
        <v>706</v>
      </c>
      <c r="J375" s="43" t="str">
        <f>INDEX(数据元说明!A:F,MATCH(I375,数据元说明!C:C,0),2)</f>
        <v>004002</v>
      </c>
      <c r="K375" s="158" t="str">
        <f>INDEX(数据元说明!A:F,MATCH(I375,数据元说明!C:C,0),5)</f>
        <v>转账，取现，存现，消费，代发，代扣，代缴，结息，批量交易，贷款发放，还款-还本，还款-还息，银证业务，投资理财，其他-银行自定义类型。无法以枚举类型填报的，以“其他-XX”报送，其中“XX”为银行自定义类型。</v>
      </c>
      <c r="L375" s="43" t="str">
        <f>INDEX(数据元说明!A:F,MATCH(I375,数据元说明!C:C,0),6)</f>
        <v>C..60</v>
      </c>
      <c r="M375" s="162"/>
      <c r="N375" s="140" t="s">
        <v>25</v>
      </c>
      <c r="O375" s="140" t="s">
        <v>275</v>
      </c>
      <c r="P375" s="140"/>
    </row>
    <row r="376" s="81" customFormat="1" ht="30" customHeight="1" outlineLevel="1" spans="1:16">
      <c r="A376" s="167"/>
      <c r="B376" s="168"/>
      <c r="C376" s="176"/>
      <c r="D376" s="176"/>
      <c r="E376" s="168"/>
      <c r="F376" s="157" t="s">
        <v>693</v>
      </c>
      <c r="G376" s="43" t="s">
        <v>2393</v>
      </c>
      <c r="H376" s="137" t="s">
        <v>2394</v>
      </c>
      <c r="I376" s="157" t="s">
        <v>693</v>
      </c>
      <c r="J376" s="43" t="str">
        <f>INDEX(数据元说明!A:F,MATCH(I376,数据元说明!C:C,0),2)</f>
        <v>003031</v>
      </c>
      <c r="K376" s="158" t="str">
        <f>INDEX(数据元说明!A:F,MATCH(I376,数据元说明!C:C,0),5)</f>
        <v>借，贷。</v>
      </c>
      <c r="L376" s="43" t="str">
        <f>INDEX(数据元说明!A:F,MATCH(I376,数据元说明!C:C,0),6)</f>
        <v>C3</v>
      </c>
      <c r="M376" s="162"/>
      <c r="N376" s="139" t="s">
        <v>25</v>
      </c>
      <c r="O376" s="139" t="s">
        <v>280</v>
      </c>
      <c r="P376" s="140" t="s">
        <v>1588</v>
      </c>
    </row>
    <row r="377" s="61" customFormat="1" ht="30" customHeight="1" outlineLevel="1" spans="1:16">
      <c r="A377" s="159"/>
      <c r="B377" s="160"/>
      <c r="C377" s="95"/>
      <c r="D377" s="95"/>
      <c r="E377" s="94"/>
      <c r="F377" s="97" t="s">
        <v>2395</v>
      </c>
      <c r="G377" s="29" t="s">
        <v>2396</v>
      </c>
      <c r="H377" s="132" t="s">
        <v>2397</v>
      </c>
      <c r="I377" s="97" t="s">
        <v>302</v>
      </c>
      <c r="J377" s="29" t="str">
        <f>INDEX(数据元说明!A:F,MATCH(I377,数据元说明!C:C,0),2)</f>
        <v>001005</v>
      </c>
      <c r="K377" s="98" t="str">
        <f>INDEX(数据元说明!A:F,MATCH(I377,数据元说明!C:C,0),5)</f>
        <v>YYYYMMDD，默认值99991231。</v>
      </c>
      <c r="L377" s="29" t="str">
        <f>INDEX(数据元说明!A:F,MATCH(I377,数据元说明!C:C,0),6)</f>
        <v>C8</v>
      </c>
      <c r="M377" s="98" t="s">
        <v>2398</v>
      </c>
      <c r="N377" s="220"/>
      <c r="O377" s="220"/>
      <c r="P377" s="220"/>
    </row>
    <row r="378" s="61" customFormat="1" ht="30" customHeight="1" outlineLevel="1" spans="1:16">
      <c r="A378" s="159"/>
      <c r="B378" s="160"/>
      <c r="C378" s="161"/>
      <c r="D378" s="161"/>
      <c r="E378" s="160"/>
      <c r="F378" s="97" t="s">
        <v>2399</v>
      </c>
      <c r="G378" s="29" t="s">
        <v>2400</v>
      </c>
      <c r="H378" s="132" t="s">
        <v>2401</v>
      </c>
      <c r="I378" s="97" t="s">
        <v>312</v>
      </c>
      <c r="J378" s="29" t="str">
        <f>INDEX(数据元说明!A:F,MATCH(I378,数据元说明!C:C,0),2)</f>
        <v>001007</v>
      </c>
      <c r="K378" s="98" t="str">
        <f>INDEX(数据元说明!A:F,MATCH(I378,数据元说明!C:C,0),5)</f>
        <v>24小时制时间，精确到秒。hhmmss，默认值000000。</v>
      </c>
      <c r="L378" s="29" t="str">
        <f>INDEX(数据元说明!A:F,MATCH(I378,数据元说明!C:C,0),6)</f>
        <v>C6</v>
      </c>
      <c r="M378" s="98" t="s">
        <v>2402</v>
      </c>
      <c r="N378" s="220"/>
      <c r="O378" s="220"/>
      <c r="P378" s="220"/>
    </row>
    <row r="379" s="61" customFormat="1" ht="30" customHeight="1" outlineLevel="1" spans="1:16">
      <c r="A379" s="159"/>
      <c r="B379" s="160"/>
      <c r="C379" s="161"/>
      <c r="D379" s="161"/>
      <c r="E379" s="160"/>
      <c r="F379" s="97" t="s">
        <v>624</v>
      </c>
      <c r="G379" s="29" t="s">
        <v>1989</v>
      </c>
      <c r="H379" s="132" t="s">
        <v>2403</v>
      </c>
      <c r="I379" s="97" t="s">
        <v>624</v>
      </c>
      <c r="J379" s="29" t="str">
        <f>INDEX(数据元说明!A:F,MATCH(I379,数据元说明!C:C,0),2)</f>
        <v>003014</v>
      </c>
      <c r="K379" s="98" t="str">
        <f>INDEX(数据元说明!A:F,MATCH(I379,数据元说明!C:C,0),5)</f>
        <v>遵循《GB/T 12406 表示货币和资金的代码》的字母代码，如CNY。上述文件所列币种无法涵盖的，允许银行自定义填报。多个币种合计折算为人民币（本外币合计）的，填报为BWB。</v>
      </c>
      <c r="L379" s="29" t="str">
        <f>INDEX(数据元说明!A:F,MATCH(I379,数据元说明!C:C,0),6)</f>
        <v>C3</v>
      </c>
      <c r="M379" s="217"/>
      <c r="N379" s="33" t="s">
        <v>25</v>
      </c>
      <c r="O379" s="99"/>
      <c r="P379" s="33" t="s">
        <v>1588</v>
      </c>
    </row>
    <row r="380" ht="30" customHeight="1" outlineLevel="1" spans="1:16">
      <c r="A380" s="159"/>
      <c r="B380" s="160"/>
      <c r="C380" s="161"/>
      <c r="D380" s="161"/>
      <c r="E380" s="160"/>
      <c r="F380" s="97" t="s">
        <v>2404</v>
      </c>
      <c r="G380" s="29" t="s">
        <v>2405</v>
      </c>
      <c r="H380" s="132" t="s">
        <v>2406</v>
      </c>
      <c r="I380" s="97" t="s">
        <v>609</v>
      </c>
      <c r="J380" s="29" t="str">
        <f>INDEX(数据元说明!A:F,MATCH(I380,数据元说明!C:C,0),2)</f>
        <v>003010</v>
      </c>
      <c r="K380" s="98" t="str">
        <f>INDEX(数据元说明!A:F,MATCH(I380,数据元说明!C:C,0),5)</f>
        <v>与币种相对应金额。</v>
      </c>
      <c r="L380" s="29" t="str">
        <f>INDEX(数据元说明!A:F,MATCH(I380,数据元说明!C:C,0),6)</f>
        <v>D20.2</v>
      </c>
      <c r="M380" s="217"/>
      <c r="P380" s="99"/>
    </row>
    <row r="381" ht="30" customHeight="1" outlineLevel="1" spans="1:16">
      <c r="A381" s="159"/>
      <c r="B381" s="160"/>
      <c r="C381" s="161"/>
      <c r="D381" s="161"/>
      <c r="E381" s="160"/>
      <c r="F381" s="97" t="s">
        <v>2407</v>
      </c>
      <c r="G381" s="29" t="s">
        <v>2408</v>
      </c>
      <c r="H381" s="132" t="s">
        <v>2409</v>
      </c>
      <c r="I381" s="97" t="s">
        <v>613</v>
      </c>
      <c r="J381" s="29" t="str">
        <f>INDEX(数据元说明!A:F,MATCH(I381,数据元说明!C:C,0),2)</f>
        <v>003011</v>
      </c>
      <c r="K381" s="98" t="str">
        <f>INDEX(数据元说明!A:F,MATCH(I381,数据元说明!C:C,0),5)</f>
        <v>与币种相对应金额。</v>
      </c>
      <c r="L381" s="29" t="str">
        <f>INDEX(数据元说明!A:F,MATCH(I381,数据元说明!C:C,0),6)</f>
        <v>D20.2</v>
      </c>
      <c r="M381" s="98" t="s">
        <v>2410</v>
      </c>
      <c r="P381" s="99"/>
    </row>
    <row r="382" s="81" customFormat="1" ht="30" customHeight="1" outlineLevel="1" spans="1:16">
      <c r="A382" s="167"/>
      <c r="B382" s="168"/>
      <c r="C382" s="176"/>
      <c r="D382" s="176"/>
      <c r="E382" s="168"/>
      <c r="F382" s="157" t="s">
        <v>2411</v>
      </c>
      <c r="G382" s="43" t="s">
        <v>2412</v>
      </c>
      <c r="H382" s="137" t="s">
        <v>2413</v>
      </c>
      <c r="I382" s="157" t="s">
        <v>697</v>
      </c>
      <c r="J382" s="43" t="str">
        <f>INDEX(数据元说明!A:F,MATCH(I382,数据元说明!C:C,0),2)</f>
        <v>003032</v>
      </c>
      <c r="K382" s="158" t="str">
        <f>INDEX(数据元说明!A:F,MATCH(I382,数据元说明!C:C,0),5)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382" s="43" t="str">
        <f>INDEX(数据元说明!A:F,MATCH(I382,数据元说明!C:C,0),6)</f>
        <v>C..60</v>
      </c>
      <c r="M382" s="158" t="s">
        <v>2414</v>
      </c>
      <c r="N382" s="139" t="s">
        <v>25</v>
      </c>
      <c r="O382" s="139" t="s">
        <v>449</v>
      </c>
      <c r="P382" s="139"/>
    </row>
    <row r="383" s="81" customFormat="1" ht="30" customHeight="1" outlineLevel="1" spans="1:16">
      <c r="A383" s="167"/>
      <c r="B383" s="168"/>
      <c r="C383" s="176"/>
      <c r="D383" s="176"/>
      <c r="E383" s="168"/>
      <c r="F383" s="157" t="s">
        <v>2415</v>
      </c>
      <c r="G383" s="43" t="s">
        <v>2416</v>
      </c>
      <c r="H383" s="137" t="s">
        <v>2417</v>
      </c>
      <c r="I383" s="157" t="s">
        <v>628</v>
      </c>
      <c r="J383" s="43" t="str">
        <f>INDEX(数据元说明!A:F,MATCH(I383,数据元说明!C:C,0),2)</f>
        <v>003015</v>
      </c>
      <c r="K383" s="158" t="str">
        <f>INDEX(数据元说明!A:F,MATCH(I383,数据元说明!C:C,0),5)</f>
        <v>账户归属者的名称。如果客户为个人，则为隐私，银行机构变形，变形规则见《采集技术接口说明》。客户是境内涉密机构的，账户名称填报为“*********”。其他情况，则为非隐私，不做变形。</v>
      </c>
      <c r="L383" s="43" t="str">
        <f>INDEX(数据元说明!A:F,MATCH(I383,数据元说明!C:C,0),6)</f>
        <v>C..400</v>
      </c>
      <c r="M383" s="158" t="s">
        <v>2418</v>
      </c>
      <c r="N383" s="139" t="s">
        <v>25</v>
      </c>
      <c r="O383" s="139" t="s">
        <v>1613</v>
      </c>
      <c r="P383" s="139"/>
    </row>
    <row r="384" s="81" customFormat="1" ht="30" customHeight="1" outlineLevel="1" spans="1:16">
      <c r="A384" s="167"/>
      <c r="B384" s="168"/>
      <c r="C384" s="176"/>
      <c r="D384" s="176"/>
      <c r="E384" s="168"/>
      <c r="F384" s="157" t="s">
        <v>2419</v>
      </c>
      <c r="G384" s="43" t="s">
        <v>2420</v>
      </c>
      <c r="H384" s="137" t="s">
        <v>2421</v>
      </c>
      <c r="I384" s="157" t="s">
        <v>325</v>
      </c>
      <c r="J384" s="43" t="str">
        <f>INDEX(数据元说明!A:F,MATCH(I384,数据元说明!C:C,0),2)</f>
        <v>001010</v>
      </c>
      <c r="K384" s="158" t="str">
        <f>INDEX(数据元说明!A:F,MATCH(I384,数据元说明!C:C,0),5)</f>
        <v>12位人行支付行号或SWIFT行号。</v>
      </c>
      <c r="L384" s="43" t="str">
        <f>INDEX(数据元说明!A:F,MATCH(I384,数据元说明!C:C,0),6)</f>
        <v>C..30</v>
      </c>
      <c r="M384" s="222" t="s">
        <v>2422</v>
      </c>
      <c r="N384" s="221" t="s">
        <v>25</v>
      </c>
      <c r="O384" s="221" t="s">
        <v>449</v>
      </c>
      <c r="P384" s="221"/>
    </row>
    <row r="385" s="81" customFormat="1" ht="30" customHeight="1" outlineLevel="1" spans="1:16">
      <c r="A385" s="167"/>
      <c r="B385" s="168"/>
      <c r="C385" s="176"/>
      <c r="D385" s="176"/>
      <c r="E385" s="168"/>
      <c r="F385" s="157" t="s">
        <v>2423</v>
      </c>
      <c r="G385" s="43" t="s">
        <v>2424</v>
      </c>
      <c r="H385" s="137" t="s">
        <v>2425</v>
      </c>
      <c r="I385" s="157" t="s">
        <v>282</v>
      </c>
      <c r="J385" s="43" t="str">
        <f>INDEX(数据元说明!A:F,MATCH(I385,数据元说明!C:C,0),2)</f>
        <v>001001</v>
      </c>
      <c r="K385" s="158" t="str">
        <f>INDEX(数据元说明!A:F,MATCH(I385,数据元说明!C:C,0),5)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385" s="43" t="str">
        <f>INDEX(数据元说明!A:F,MATCH(I385,数据元说明!C:C,0),6)</f>
        <v>C..400</v>
      </c>
      <c r="M385" s="222" t="s">
        <v>2426</v>
      </c>
      <c r="N385" s="221" t="s">
        <v>25</v>
      </c>
      <c r="O385" s="221" t="s">
        <v>1673</v>
      </c>
      <c r="P385" s="221"/>
    </row>
    <row r="386" s="81" customFormat="1" ht="30" customHeight="1" outlineLevel="1" spans="1:16">
      <c r="A386" s="167"/>
      <c r="B386" s="168"/>
      <c r="C386" s="176"/>
      <c r="D386" s="176"/>
      <c r="E386" s="168"/>
      <c r="F386" s="157" t="s">
        <v>718</v>
      </c>
      <c r="G386" s="43" t="s">
        <v>1779</v>
      </c>
      <c r="H386" s="137" t="s">
        <v>2427</v>
      </c>
      <c r="I386" s="157" t="s">
        <v>718</v>
      </c>
      <c r="J386" s="43" t="str">
        <f>INDEX(数据元说明!A:F,MATCH(I386,数据元说明!C:C,0),2)</f>
        <v>004005</v>
      </c>
      <c r="K386" s="158" t="str">
        <f>INDEX(数据元说明!A:F,MATCH(I386,数据元说明!C:C,0),5)</f>
        <v>银行自定义交易内容的简要描述。可以是转账凭证上的备注、附言。</v>
      </c>
      <c r="L386" s="43" t="str">
        <f>INDEX(数据元说明!A:F,MATCH(I386,数据元说明!C:C,0),6)</f>
        <v>C..400</v>
      </c>
      <c r="M386" s="162"/>
      <c r="N386" s="139" t="s">
        <v>25</v>
      </c>
      <c r="O386" s="139" t="s">
        <v>275</v>
      </c>
      <c r="P386" s="140" t="s">
        <v>1588</v>
      </c>
    </row>
    <row r="387" s="61" customFormat="1" ht="30" customHeight="1" outlineLevel="1" spans="1:16">
      <c r="A387" s="159"/>
      <c r="B387" s="160"/>
      <c r="C387" s="161"/>
      <c r="D387" s="161"/>
      <c r="E387" s="160"/>
      <c r="F387" s="97" t="s">
        <v>722</v>
      </c>
      <c r="G387" s="29" t="s">
        <v>2428</v>
      </c>
      <c r="H387" s="132" t="s">
        <v>2429</v>
      </c>
      <c r="I387" s="97" t="s">
        <v>722</v>
      </c>
      <c r="J387" s="29" t="str">
        <f>INDEX(数据元说明!A:F,MATCH(I387,数据元说明!C:C,0),2)</f>
        <v>004006</v>
      </c>
      <c r="K387" s="98" t="str">
        <f>INDEX(数据元说明!A:F,MATCH(I387,数据元说明!C:C,0),5)</f>
        <v>正常，冲补抹。</v>
      </c>
      <c r="L387" s="29" t="str">
        <f>INDEX(数据元说明!A:F,MATCH(I387,数据元说明!C:C,0),6)</f>
        <v>C..9</v>
      </c>
      <c r="M387" s="217" t="s">
        <v>2430</v>
      </c>
      <c r="N387" s="33" t="s">
        <v>25</v>
      </c>
      <c r="O387" s="99"/>
      <c r="P387" s="33" t="s">
        <v>1588</v>
      </c>
    </row>
    <row r="388" s="81" customFormat="1" ht="30" customHeight="1" outlineLevel="1" spans="1:16">
      <c r="A388" s="167"/>
      <c r="B388" s="168"/>
      <c r="C388" s="176"/>
      <c r="D388" s="176"/>
      <c r="E388" s="168"/>
      <c r="F388" s="157" t="s">
        <v>714</v>
      </c>
      <c r="G388" s="43" t="s">
        <v>2431</v>
      </c>
      <c r="H388" s="137" t="s">
        <v>2432</v>
      </c>
      <c r="I388" s="157" t="s">
        <v>714</v>
      </c>
      <c r="J388" s="43" t="str">
        <f>INDEX(数据元说明!A:F,MATCH(I388,数据元说明!C:C,0),2)</f>
        <v>004004</v>
      </c>
      <c r="K388" s="158" t="str">
        <f>INDEX(数据元说明!A:F,MATCH(I388,数据元说明!C:C,0),5)</f>
        <v>现，转。</v>
      </c>
      <c r="L388" s="43" t="str">
        <f>INDEX(数据元说明!A:F,MATCH(I388,数据元说明!C:C,0),6)</f>
        <v>C3</v>
      </c>
      <c r="M388" s="138" t="s">
        <v>2433</v>
      </c>
      <c r="N388" s="139" t="s">
        <v>25</v>
      </c>
      <c r="O388" s="139" t="s">
        <v>449</v>
      </c>
      <c r="P388" s="140"/>
    </row>
    <row r="389" s="81" customFormat="1" ht="30" customHeight="1" outlineLevel="1" spans="1:16">
      <c r="A389" s="167"/>
      <c r="B389" s="168"/>
      <c r="C389" s="176"/>
      <c r="D389" s="176"/>
      <c r="E389" s="168"/>
      <c r="F389" s="157" t="s">
        <v>710</v>
      </c>
      <c r="G389" s="43" t="s">
        <v>2434</v>
      </c>
      <c r="H389" s="137" t="s">
        <v>2435</v>
      </c>
      <c r="I389" s="157" t="s">
        <v>710</v>
      </c>
      <c r="J389" s="43" t="str">
        <f>INDEX(数据元说明!A:F,MATCH(I389,数据元说明!C:C,0),2)</f>
        <v>004003</v>
      </c>
      <c r="K389" s="158" t="str">
        <f>INDEX(数据元说明!A:F,MATCH(I389,数据元说明!C:C,0),5)</f>
        <v>柜面，ATM，VTM，POS，网银，手机银行，银联交易，三方支付-银行自定义，其他-银行自定义。交易类型为三方支付的，以“三方支付-XX”填报，其中“XX”为第三方支付平台名称。如无法以枚举类型填报，则以“其他-XX”填报，其中“XX”为银行自定义类型。</v>
      </c>
      <c r="L389" s="43" t="str">
        <f>INDEX(数据元说明!A:F,MATCH(I389,数据元说明!C:C,0),6)</f>
        <v>C..60</v>
      </c>
      <c r="M389" s="162" t="s">
        <v>2436</v>
      </c>
      <c r="N389" s="140" t="s">
        <v>25</v>
      </c>
      <c r="O389" s="139" t="s">
        <v>275</v>
      </c>
      <c r="P389" s="140" t="s">
        <v>1606</v>
      </c>
    </row>
    <row r="390" s="81" customFormat="1" ht="30" customHeight="1" outlineLevel="1" spans="1:16">
      <c r="A390" s="167"/>
      <c r="B390" s="168"/>
      <c r="C390" s="176"/>
      <c r="D390" s="176"/>
      <c r="E390" s="168"/>
      <c r="F390" s="157" t="s">
        <v>440</v>
      </c>
      <c r="G390" s="43" t="s">
        <v>2437</v>
      </c>
      <c r="H390" s="137" t="s">
        <v>2438</v>
      </c>
      <c r="I390" s="157" t="s">
        <v>440</v>
      </c>
      <c r="J390" s="43" t="str">
        <f>INDEX(数据元说明!A:F,MATCH(I390,数据元说明!C:C,0),2)</f>
        <v>001038</v>
      </c>
      <c r="K390" s="158" t="str">
        <f>INDEX(数据元说明!A:F,MATCH(I390,数据元说明!C:C,0),5)</f>
        <v>点分十进制格式表示的IPV4地址或者IPV6地址。</v>
      </c>
      <c r="L390" s="43" t="str">
        <f>INDEX(数据元说明!A:F,MATCH(I390,数据元说明!C:C,0),6)</f>
        <v>C..40</v>
      </c>
      <c r="M390" s="162" t="s">
        <v>2439</v>
      </c>
      <c r="N390" s="143" t="s">
        <v>57</v>
      </c>
      <c r="O390" s="139"/>
      <c r="P390" s="140"/>
    </row>
    <row r="391" s="81" customFormat="1" ht="30" customHeight="1" outlineLevel="1" spans="1:16">
      <c r="A391" s="167"/>
      <c r="B391" s="168"/>
      <c r="C391" s="176"/>
      <c r="D391" s="176"/>
      <c r="E391" s="168"/>
      <c r="F391" s="157" t="s">
        <v>445</v>
      </c>
      <c r="G391" s="43" t="s">
        <v>2440</v>
      </c>
      <c r="H391" s="137" t="s">
        <v>2441</v>
      </c>
      <c r="I391" s="157" t="s">
        <v>445</v>
      </c>
      <c r="J391" s="43" t="str">
        <f>INDEX(数据元说明!A:F,MATCH(I391,数据元说明!C:C,0),2)</f>
        <v>001039</v>
      </c>
      <c r="K391" s="158" t="str">
        <f>INDEX(数据元说明!A:F,MATCH(I391,数据元说明!C:C,0),5)</f>
        <v>网络设备唯一的网络标识：
1.可以是MAC地址，以12个16进制数表示（6个字节），每个字节以英文半角冒号（:）隔开。
2.若交易渠道为网银、手机银行，Android7.0以上系统可填报设备IMEI码；IOS7以上系统科填报UUID码，唯一对应设备即可。</v>
      </c>
      <c r="L391" s="43" t="str">
        <f>INDEX(数据元说明!A:F,MATCH(I391,数据元说明!C:C,0),6)</f>
        <v>C..60</v>
      </c>
      <c r="M391" s="162" t="s">
        <v>2442</v>
      </c>
      <c r="N391" s="143" t="s">
        <v>57</v>
      </c>
      <c r="O391" s="139"/>
      <c r="P391" s="140"/>
    </row>
    <row r="392" s="81" customFormat="1" ht="30" customHeight="1" outlineLevel="1" spans="1:16">
      <c r="A392" s="154"/>
      <c r="B392" s="155"/>
      <c r="C392" s="156"/>
      <c r="D392" s="156"/>
      <c r="E392" s="155"/>
      <c r="F392" s="157" t="s">
        <v>2443</v>
      </c>
      <c r="G392" s="43" t="s">
        <v>2444</v>
      </c>
      <c r="H392" s="137" t="s">
        <v>2445</v>
      </c>
      <c r="I392" s="157" t="s">
        <v>353</v>
      </c>
      <c r="J392" s="43" t="str">
        <f>INDEX(数据元说明!A:F,MATCH(I392,数据元说明!C:C,0),2)</f>
        <v>001017</v>
      </c>
      <c r="K392" s="158" t="str">
        <f>INDEX(数据元说明!A:F,MATCH(I392,数据元说明!C:C,0),5)</f>
        <v>姓名。</v>
      </c>
      <c r="L392" s="43" t="str">
        <f>INDEX(数据元说明!A:F,MATCH(I392,数据元说明!C:C,0),6)</f>
        <v>C..200</v>
      </c>
      <c r="M392" s="158" t="s">
        <v>2446</v>
      </c>
      <c r="N392" s="139" t="s">
        <v>25</v>
      </c>
      <c r="O392" s="139" t="s">
        <v>449</v>
      </c>
      <c r="P392" s="139"/>
    </row>
    <row r="393" s="81" customFormat="1" ht="30" customHeight="1" outlineLevel="1" spans="1:16">
      <c r="A393" s="134"/>
      <c r="B393" s="47"/>
      <c r="C393" s="39"/>
      <c r="D393" s="39"/>
      <c r="E393" s="47"/>
      <c r="F393" s="135" t="s">
        <v>2447</v>
      </c>
      <c r="G393" s="136" t="s">
        <v>2448</v>
      </c>
      <c r="H393" s="137" t="s">
        <v>2449</v>
      </c>
      <c r="I393" s="135" t="s">
        <v>457</v>
      </c>
      <c r="J393" s="136" t="str">
        <f>INDEX(数据元说明!A:F,MATCH(I393,数据元说明!C:C,0),2)</f>
        <v>002002</v>
      </c>
      <c r="K393" s="138" t="str">
        <f>INDEX(数据元说明!A:F,MATCH(I393,数据元说明!C:C,0),5)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393" s="136" t="str">
        <f>INDEX(数据元说明!A:F,MATCH(I393,数据元说明!C:C,0),6)</f>
        <v>C..60</v>
      </c>
      <c r="M393" s="138" t="s">
        <v>2450</v>
      </c>
      <c r="N393" s="139" t="s">
        <v>25</v>
      </c>
      <c r="O393" s="139" t="s">
        <v>449</v>
      </c>
      <c r="P393" s="139"/>
    </row>
    <row r="394" s="81" customFormat="1" ht="30" customHeight="1" outlineLevel="1" spans="1:16">
      <c r="A394" s="134"/>
      <c r="B394" s="47"/>
      <c r="C394" s="39"/>
      <c r="D394" s="39"/>
      <c r="E394" s="47"/>
      <c r="F394" s="135" t="s">
        <v>2451</v>
      </c>
      <c r="G394" s="136" t="s">
        <v>2452</v>
      </c>
      <c r="H394" s="137" t="s">
        <v>2453</v>
      </c>
      <c r="I394" s="135" t="s">
        <v>461</v>
      </c>
      <c r="J394" s="136" t="str">
        <f>INDEX(数据元说明!A:F,MATCH(I394,数据元说明!C:C,0),2)</f>
        <v>002003</v>
      </c>
      <c r="K394" s="138" t="str">
        <f>INDEX(数据元说明!A:F,MATCH(I394,数据元说明!C:C,0),5)</f>
        <v>与证件类别对应的证件号码。涉及个人身份证件时需按照本规范给定规则进行脱敏处理。</v>
      </c>
      <c r="L394" s="136" t="str">
        <f>INDEX(数据元说明!A:F,MATCH(I394,数据元说明!C:C,0),6)</f>
        <v>C..70</v>
      </c>
      <c r="M394" s="138" t="s">
        <v>2454</v>
      </c>
      <c r="N394" s="139" t="s">
        <v>25</v>
      </c>
      <c r="O394" s="139" t="s">
        <v>2455</v>
      </c>
      <c r="P394" s="139"/>
    </row>
    <row r="395" ht="30" customHeight="1" outlineLevel="1" spans="1:16">
      <c r="A395" s="159"/>
      <c r="B395" s="160"/>
      <c r="C395" s="161"/>
      <c r="D395" s="161"/>
      <c r="E395" s="160"/>
      <c r="F395" s="97" t="s">
        <v>2456</v>
      </c>
      <c r="G395" s="29" t="s">
        <v>2457</v>
      </c>
      <c r="H395" s="132" t="s">
        <v>2458</v>
      </c>
      <c r="I395" s="97" t="s">
        <v>368</v>
      </c>
      <c r="J395" s="29" t="str">
        <f>INDEX(数据元说明!A:F,MATCH(I395,数据元说明!C:C,0),2)</f>
        <v>001021</v>
      </c>
      <c r="K395" s="98" t="str">
        <f>INDEX(数据元说明!A:F,MATCH(I395,数据元说明!C:C,0),5)</f>
        <v>柜员编号，银行自定义。</v>
      </c>
      <c r="L395" s="29" t="str">
        <f>INDEX(数据元说明!A:F,MATCH(I395,数据元说明!C:C,0),6)</f>
        <v>C..30</v>
      </c>
      <c r="M395" s="163" t="s">
        <v>2151</v>
      </c>
      <c r="P395" s="99"/>
    </row>
    <row r="396" s="81" customFormat="1" ht="30" customHeight="1" outlineLevel="1" spans="1:16">
      <c r="A396" s="167"/>
      <c r="B396" s="168"/>
      <c r="C396" s="176"/>
      <c r="D396" s="176"/>
      <c r="E396" s="168"/>
      <c r="F396" s="157" t="s">
        <v>2459</v>
      </c>
      <c r="G396" s="43" t="s">
        <v>2460</v>
      </c>
      <c r="H396" s="137" t="s">
        <v>2461</v>
      </c>
      <c r="I396" s="157" t="s">
        <v>368</v>
      </c>
      <c r="J396" s="43" t="str">
        <f>INDEX(数据元说明!A:F,MATCH(I396,数据元说明!C:C,0),2)</f>
        <v>001021</v>
      </c>
      <c r="K396" s="158" t="str">
        <f>INDEX(数据元说明!A:F,MATCH(I396,数据元说明!C:C,0),5)</f>
        <v>柜员编号，银行自定义。</v>
      </c>
      <c r="L396" s="43" t="str">
        <f>INDEX(数据元说明!A:F,MATCH(I396,数据元说明!C:C,0),6)</f>
        <v>C..30</v>
      </c>
      <c r="M396" s="162" t="s">
        <v>2462</v>
      </c>
      <c r="N396" s="139" t="s">
        <v>25</v>
      </c>
      <c r="O396" s="139" t="s">
        <v>449</v>
      </c>
      <c r="P396" s="139"/>
    </row>
    <row r="397" s="82" customFormat="1" ht="71" outlineLevel="1" spans="1:16">
      <c r="A397" s="144"/>
      <c r="B397" s="145"/>
      <c r="C397" s="146"/>
      <c r="D397" s="146"/>
      <c r="E397" s="145"/>
      <c r="F397" s="147" t="s">
        <v>449</v>
      </c>
      <c r="G397" s="148" t="s">
        <v>1571</v>
      </c>
      <c r="H397" s="148" t="s">
        <v>2463</v>
      </c>
      <c r="I397" s="147" t="s">
        <v>449</v>
      </c>
      <c r="J397" s="148" t="str">
        <f>INDEX(数据元说明!A:F,MATCH(I397,数据元说明!C:C,0),2)</f>
        <v>001040</v>
      </c>
      <c r="K397" s="149" t="str">
        <f>INDEX(数据元说明!A:F,MATCH(I397,数据元说明!C:C,0),5)</f>
        <v>银行自定义。</v>
      </c>
      <c r="L397" s="148" t="str">
        <f>INDEX(数据元说明!A:F,MATCH(I397,数据元说明!C:C,0),6)</f>
        <v>C..600</v>
      </c>
      <c r="M397" s="149" t="s">
        <v>1573</v>
      </c>
      <c r="N397" s="143" t="s">
        <v>57</v>
      </c>
      <c r="O397" s="151"/>
      <c r="P397" s="151"/>
    </row>
    <row r="398" ht="30" customHeight="1" outlineLevel="1" spans="1:16">
      <c r="E398" s="94"/>
      <c r="F398" s="97" t="s">
        <v>1574</v>
      </c>
      <c r="G398" s="29" t="s">
        <v>1575</v>
      </c>
      <c r="H398" s="132" t="s">
        <v>2464</v>
      </c>
      <c r="I398" s="97" t="s">
        <v>302</v>
      </c>
      <c r="J398" s="29" t="str">
        <f>INDEX(数据元说明!A:F,MATCH(I398,数据元说明!C:C,0),2)</f>
        <v>001005</v>
      </c>
      <c r="K398" s="98" t="str">
        <f>INDEX(数据元说明!A:F,MATCH(I398,数据元说明!C:C,0),5)</f>
        <v>YYYYMMDD，默认值99991231。</v>
      </c>
      <c r="L398" s="29" t="str">
        <f>INDEX(数据元说明!A:F,MATCH(I398,数据元说明!C:C,0),6)</f>
        <v>C8</v>
      </c>
      <c r="M398" s="98" t="s">
        <v>1577</v>
      </c>
      <c r="P398" s="99"/>
    </row>
    <row r="399" s="61" customFormat="1" ht="30" customHeight="1" spans="1:16">
      <c r="A399" s="125"/>
      <c r="B399" s="34"/>
      <c r="C399" s="19" t="s">
        <v>90</v>
      </c>
      <c r="D399" s="24" t="s">
        <v>91</v>
      </c>
      <c r="E399" s="126">
        <v>405</v>
      </c>
      <c r="F399" s="127"/>
      <c r="G399" s="126"/>
      <c r="H399" s="126"/>
      <c r="I399" s="127"/>
      <c r="J399" s="126"/>
      <c r="K399" s="152"/>
      <c r="L399" s="126"/>
      <c r="M399" s="128" t="str">
        <f>INDEX(表结构总览!E:H,MATCH(D399,表结构总览!E:E,0),4)</f>
        <v>个人客户在银行机构开设的除活期存款账户以外其他所有以个人名义划入的存款账户信息，包括定期、定活两便、通知存款、机构性存款等多种非活期的账户信息。报送范围：参照1104报表G01_III[2.2 个人存款]-[2.2.1 个人活期存款]口径填报。个体工商户的存款属于个人存款。信用卡业务不在本表中填报。以定期存款账号为最小颗粒报送，如账户注销或终结，在报送该账户最终状态后的次月可不再报送。</v>
      </c>
      <c r="N399" s="139" t="s">
        <v>25</v>
      </c>
      <c r="O399" s="139" t="s">
        <v>449</v>
      </c>
      <c r="P399" s="33"/>
    </row>
    <row r="400" s="61" customFormat="1" ht="30" customHeight="1" outlineLevel="1" spans="1:16">
      <c r="A400" s="130"/>
      <c r="B400" s="36"/>
      <c r="C400" s="25"/>
      <c r="D400" s="25"/>
      <c r="E400" s="36"/>
      <c r="F400" s="131" t="s">
        <v>325</v>
      </c>
      <c r="G400" s="31" t="s">
        <v>1520</v>
      </c>
      <c r="H400" s="132" t="s">
        <v>2465</v>
      </c>
      <c r="I400" s="131" t="s">
        <v>325</v>
      </c>
      <c r="J400" s="31" t="str">
        <f>INDEX(数据元说明!A:F,MATCH(I400,数据元说明!C:C,0),2)</f>
        <v>001010</v>
      </c>
      <c r="K400" s="133" t="str">
        <f>INDEX(数据元说明!A:F,MATCH(I400,数据元说明!C:C,0),5)</f>
        <v>12位人行支付行号或SWIFT行号。</v>
      </c>
      <c r="L400" s="31" t="str">
        <f>INDEX(数据元说明!A:F,MATCH(I400,数据元说明!C:C,0),6)</f>
        <v>C..30</v>
      </c>
      <c r="M400" s="133" t="s">
        <v>2318</v>
      </c>
      <c r="N400" s="99"/>
      <c r="O400" s="99"/>
      <c r="P400" s="99"/>
    </row>
    <row r="401" s="81" customFormat="1" ht="30" customHeight="1" outlineLevel="1" spans="1:16">
      <c r="A401" s="134"/>
      <c r="B401" s="47"/>
      <c r="C401" s="39"/>
      <c r="D401" s="39"/>
      <c r="E401" s="47"/>
      <c r="F401" s="135" t="s">
        <v>329</v>
      </c>
      <c r="G401" s="136" t="s">
        <v>1526</v>
      </c>
      <c r="H401" s="137" t="s">
        <v>2466</v>
      </c>
      <c r="I401" s="135" t="s">
        <v>329</v>
      </c>
      <c r="J401" s="136" t="str">
        <f>INDEX(数据元说明!A:F,MATCH(I401,数据元说明!C:C,0),2)</f>
        <v>001011</v>
      </c>
      <c r="K401" s="138" t="str">
        <f>INDEX(数据元说明!A:F,MATCH(I401,数据元说明!C:C,0),5)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01" s="136" t="str">
        <f>INDEX(数据元说明!A:F,MATCH(I401,数据元说明!C:C,0),6)</f>
        <v>C..30</v>
      </c>
      <c r="M401" s="138" t="s">
        <v>2320</v>
      </c>
      <c r="N401" s="129" t="s">
        <v>25</v>
      </c>
      <c r="O401" s="129" t="s">
        <v>449</v>
      </c>
      <c r="P401" s="139"/>
    </row>
    <row r="402" s="61" customFormat="1" ht="30" customHeight="1" outlineLevel="1" spans="1:16">
      <c r="A402" s="130"/>
      <c r="B402" s="36"/>
      <c r="C402" s="25"/>
      <c r="D402" s="25"/>
      <c r="E402" s="36"/>
      <c r="F402" s="131" t="s">
        <v>333</v>
      </c>
      <c r="G402" s="31" t="s">
        <v>1523</v>
      </c>
      <c r="H402" s="132" t="s">
        <v>2467</v>
      </c>
      <c r="I402" s="131" t="s">
        <v>333</v>
      </c>
      <c r="J402" s="31" t="str">
        <f>INDEX(数据元说明!A:F,MATCH(I402,数据元说明!C:C,0),2)</f>
        <v>001012</v>
      </c>
      <c r="K402" s="133" t="str">
        <f>INDEX(数据元说明!A:F,MATCH(I402,数据元说明!C:C,0),5)</f>
        <v>银行内部机构号。应具有标识机构的唯一性。</v>
      </c>
      <c r="L402" s="31" t="str">
        <f>INDEX(数据元说明!A:F,MATCH(I402,数据元说明!C:C,0),6)</f>
        <v>C..30</v>
      </c>
      <c r="M402" s="133" t="s">
        <v>2322</v>
      </c>
      <c r="N402" s="99"/>
      <c r="O402" s="99"/>
      <c r="P402" s="99"/>
    </row>
    <row r="403" s="61" customFormat="1" ht="30" customHeight="1" outlineLevel="1" spans="1:16">
      <c r="A403" s="130"/>
      <c r="B403" s="36"/>
      <c r="C403" s="25"/>
      <c r="D403" s="25"/>
      <c r="E403" s="36"/>
      <c r="F403" s="135" t="s">
        <v>1532</v>
      </c>
      <c r="G403" s="136" t="s">
        <v>1533</v>
      </c>
      <c r="H403" s="137" t="s">
        <v>2468</v>
      </c>
      <c r="I403" s="135" t="s">
        <v>282</v>
      </c>
      <c r="J403" s="136" t="str">
        <f>INDEX(数据元说明!A:F,MATCH(I403,数据元说明!C:C,0),2)</f>
        <v>001001</v>
      </c>
      <c r="K403" s="138" t="str">
        <f>INDEX(数据元说明!A:F,MATCH(I403,数据元说明!C:C,0),5)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403" s="136" t="str">
        <f>INDEX(数据元说明!A:F,MATCH(I403,数据元说明!C:C,0),6)</f>
        <v>C..400</v>
      </c>
      <c r="M403" s="138" t="s">
        <v>2324</v>
      </c>
      <c r="N403" s="139" t="s">
        <v>25</v>
      </c>
      <c r="O403" s="139" t="s">
        <v>280</v>
      </c>
      <c r="P403" s="140" t="s">
        <v>1588</v>
      </c>
    </row>
    <row r="404" s="81" customFormat="1" ht="30" customHeight="1" outlineLevel="1" spans="1:16">
      <c r="A404" s="134"/>
      <c r="B404" s="47"/>
      <c r="C404" s="39"/>
      <c r="D404" s="39"/>
      <c r="E404" s="47"/>
      <c r="F404" s="135" t="s">
        <v>2325</v>
      </c>
      <c r="G404" s="136" t="s">
        <v>2326</v>
      </c>
      <c r="H404" s="137" t="s">
        <v>2469</v>
      </c>
      <c r="I404" s="135" t="s">
        <v>574</v>
      </c>
      <c r="J404" s="136" t="str">
        <f>INDEX(数据元说明!A:F,MATCH(I404,数据元说明!C:C,0),2)</f>
        <v>003002</v>
      </c>
      <c r="K404" s="138" t="str">
        <f>INDEX(数据元说明!A:F,MATCH(I404,数据元说明!C:C,0),5)</f>
        <v>机构实际使用的总账会计科目编码。</v>
      </c>
      <c r="L404" s="136" t="str">
        <f>INDEX(数据元说明!A:F,MATCH(I404,数据元说明!C:C,0),6)</f>
        <v>C..200</v>
      </c>
      <c r="M404" s="138" t="s">
        <v>2328</v>
      </c>
      <c r="N404" s="139" t="s">
        <v>25</v>
      </c>
      <c r="O404" s="139" t="s">
        <v>1516</v>
      </c>
      <c r="P404" s="140"/>
    </row>
    <row r="405" s="81" customFormat="1" ht="30" customHeight="1" outlineLevel="1" spans="1:16">
      <c r="A405" s="134"/>
      <c r="B405" s="47"/>
      <c r="C405" s="39"/>
      <c r="D405" s="39"/>
      <c r="E405" s="47"/>
      <c r="F405" s="135" t="s">
        <v>2329</v>
      </c>
      <c r="G405" s="136" t="s">
        <v>2330</v>
      </c>
      <c r="H405" s="137" t="s">
        <v>2470</v>
      </c>
      <c r="I405" s="135" t="s">
        <v>578</v>
      </c>
      <c r="J405" s="136" t="str">
        <f>INDEX(数据元说明!A:F,MATCH(I405,数据元说明!C:C,0),2)</f>
        <v>003003</v>
      </c>
      <c r="K405" s="138" t="str">
        <f>INDEX(数据元说明!A:F,MATCH(I405,数据元说明!C:C,0),5)</f>
        <v>机构实际使用的总账会计科目编码对应的名称。</v>
      </c>
      <c r="L405" s="136" t="str">
        <f>INDEX(数据元说明!A:F,MATCH(I405,数据元说明!C:C,0),6)</f>
        <v>C..200</v>
      </c>
      <c r="M405" s="138" t="s">
        <v>2328</v>
      </c>
      <c r="N405" s="139" t="s">
        <v>25</v>
      </c>
      <c r="O405" s="139" t="s">
        <v>449</v>
      </c>
      <c r="P405" s="140"/>
    </row>
    <row r="406" s="61" customFormat="1" ht="30" customHeight="1" outlineLevel="1" spans="1:16">
      <c r="A406" s="159"/>
      <c r="B406" s="160"/>
      <c r="C406" s="95"/>
      <c r="D406" s="95"/>
      <c r="E406" s="94"/>
      <c r="F406" s="97" t="s">
        <v>453</v>
      </c>
      <c r="G406" s="29" t="s">
        <v>1680</v>
      </c>
      <c r="H406" s="132" t="s">
        <v>2471</v>
      </c>
      <c r="I406" s="97" t="s">
        <v>453</v>
      </c>
      <c r="J406" s="29" t="str">
        <f>INDEX(数据元说明!A:F,MATCH(I406,数据元说明!C:C,0),2)</f>
        <v>002001</v>
      </c>
      <c r="K406" s="98" t="str">
        <f>INDEX(数据元说明!A:F,MATCH(I406,数据元说明!C:C,0),5)</f>
        <v>银行自定义的唯一识别客户的标识。供应链融资的填写供应链融资编码。</v>
      </c>
      <c r="L406" s="29" t="str">
        <f>INDEX(数据元说明!A:F,MATCH(I406,数据元说明!C:C,0),6)</f>
        <v>C..60</v>
      </c>
      <c r="M406" s="98" t="s">
        <v>2333</v>
      </c>
      <c r="N406" s="33" t="s">
        <v>25</v>
      </c>
      <c r="O406" s="99"/>
      <c r="P406" s="33" t="s">
        <v>1588</v>
      </c>
    </row>
    <row r="407" s="81" customFormat="1" ht="30" customHeight="1" outlineLevel="1" spans="1:16">
      <c r="A407" s="134"/>
      <c r="B407" s="47"/>
      <c r="C407" s="39"/>
      <c r="D407" s="39"/>
      <c r="E407" s="47"/>
      <c r="F407" s="135" t="s">
        <v>628</v>
      </c>
      <c r="G407" s="136" t="s">
        <v>2334</v>
      </c>
      <c r="H407" s="137" t="s">
        <v>2472</v>
      </c>
      <c r="I407" s="135" t="s">
        <v>628</v>
      </c>
      <c r="J407" s="136" t="str">
        <f>INDEX(数据元说明!A:F,MATCH(I407,数据元说明!C:C,0),2)</f>
        <v>003015</v>
      </c>
      <c r="K407" s="138" t="str">
        <f>INDEX(数据元说明!A:F,MATCH(I407,数据元说明!C:C,0),5)</f>
        <v>账户归属者的名称。如果客户为个人，则为隐私，银行机构变形，变形规则见《采集技术接口说明》。客户是境内涉密机构的，账户名称填报为“*********”。其他情况，则为非隐私，不做变形。</v>
      </c>
      <c r="L407" s="136" t="str">
        <f>INDEX(数据元说明!A:F,MATCH(I407,数据元说明!C:C,0),6)</f>
        <v>C..400</v>
      </c>
      <c r="M407" s="138" t="s">
        <v>2336</v>
      </c>
      <c r="N407" s="129" t="s">
        <v>25</v>
      </c>
      <c r="O407" s="129" t="s">
        <v>449</v>
      </c>
      <c r="P407" s="140"/>
    </row>
    <row r="408" s="61" customFormat="1" ht="30" customHeight="1" outlineLevel="1" spans="1:16">
      <c r="A408" s="130"/>
      <c r="B408" s="36"/>
      <c r="C408" s="25"/>
      <c r="D408" s="25"/>
      <c r="E408" s="36"/>
      <c r="F408" s="131" t="s">
        <v>2473</v>
      </c>
      <c r="G408" s="31" t="s">
        <v>2474</v>
      </c>
      <c r="H408" s="132" t="s">
        <v>2475</v>
      </c>
      <c r="I408" s="131" t="s">
        <v>570</v>
      </c>
      <c r="J408" s="31" t="str">
        <f>INDEX(数据元说明!A:F,MATCH(I408,数据元说明!C:C,0),2)</f>
        <v>003001</v>
      </c>
      <c r="K408" s="133" t="str">
        <f>INDEX(数据元说明!A:F,MATCH(I408,数据元说明!C:C,0),5)</f>
        <v>系统内最细一级的账号，无唯一性约束，不需要和序号、子序号等做拼接。</v>
      </c>
      <c r="L408" s="31" t="str">
        <f>INDEX(数据元说明!A:F,MATCH(I408,数据元说明!C:C,0),6)</f>
        <v>C..60</v>
      </c>
      <c r="M408" s="133" t="s">
        <v>1525</v>
      </c>
      <c r="N408" s="33" t="s">
        <v>25</v>
      </c>
      <c r="O408" s="99"/>
      <c r="P408" s="33" t="s">
        <v>1588</v>
      </c>
    </row>
    <row r="409" s="81" customFormat="1" ht="30" customHeight="1" outlineLevel="1" spans="1:16">
      <c r="A409" s="134"/>
      <c r="B409" s="47"/>
      <c r="C409" s="39"/>
      <c r="D409" s="39"/>
      <c r="E409" s="47"/>
      <c r="F409" s="135" t="s">
        <v>644</v>
      </c>
      <c r="G409" s="136" t="s">
        <v>2476</v>
      </c>
      <c r="H409" s="137" t="s">
        <v>2477</v>
      </c>
      <c r="I409" s="135" t="s">
        <v>644</v>
      </c>
      <c r="J409" s="136" t="str">
        <f>INDEX(数据元说明!A:F,MATCH(I409,数据元说明!C:C,0),2)</f>
        <v>003019</v>
      </c>
      <c r="K409" s="138" t="str">
        <f>INDEX(数据元说明!A:F,MATCH(I409,数据元说明!C:C,0),5)</f>
        <v>与1104报表G01_III中[2.2 个人存款]的分类保持一致，按照以下枚举值填报：个人定期存款，定活两便存款，个人通知存款，个人协议存款，个人协定存款，个人保证金存款，个人结构性存款（不含保本理财），个人其他存款。</v>
      </c>
      <c r="L409" s="136" t="str">
        <f>INDEX(数据元说明!A:F,MATCH(I409,数据元说明!C:C,0),6)</f>
        <v>C..60</v>
      </c>
      <c r="M409" s="138"/>
      <c r="N409" s="129" t="s">
        <v>25</v>
      </c>
      <c r="O409" s="129" t="s">
        <v>275</v>
      </c>
      <c r="P409" s="140"/>
    </row>
    <row r="410" s="61" customFormat="1" ht="30" customHeight="1" outlineLevel="1" spans="1:16">
      <c r="A410" s="130"/>
      <c r="B410" s="36"/>
      <c r="C410" s="25"/>
      <c r="D410" s="25"/>
      <c r="E410" s="36"/>
      <c r="F410" s="131" t="s">
        <v>648</v>
      </c>
      <c r="G410" s="31" t="s">
        <v>2478</v>
      </c>
      <c r="H410" s="132" t="s">
        <v>2479</v>
      </c>
      <c r="I410" s="131" t="s">
        <v>648</v>
      </c>
      <c r="J410" s="31" t="str">
        <f>INDEX(数据元说明!A:F,MATCH(I410,数据元说明!C:C,0),2)</f>
        <v>003020</v>
      </c>
      <c r="K410" s="133" t="str">
        <f>INDEX(数据元说明!A:F,MATCH(I410,数据元说明!C:C,0),5)</f>
        <v>1天通知，7天通知，1个月，3个月，6个月，12个月，18个月，24个月，36个月，60个月，72个月，80个月，不固定，其他期限。</v>
      </c>
      <c r="L410" s="31" t="str">
        <f>INDEX(数据元说明!A:F,MATCH(I410,数据元说明!C:C,0),6)</f>
        <v>C..20</v>
      </c>
      <c r="M410" s="133"/>
      <c r="N410" s="99"/>
      <c r="O410" s="99"/>
      <c r="P410" s="99"/>
    </row>
    <row r="411" s="61" customFormat="1" ht="30" customHeight="1" outlineLevel="1" spans="1:16">
      <c r="A411" s="130"/>
      <c r="B411" s="36"/>
      <c r="C411" s="25"/>
      <c r="D411" s="25"/>
      <c r="E411" s="36"/>
      <c r="F411" s="131" t="s">
        <v>2340</v>
      </c>
      <c r="G411" s="31" t="s">
        <v>2341</v>
      </c>
      <c r="H411" s="132" t="s">
        <v>2480</v>
      </c>
      <c r="I411" s="131" t="s">
        <v>287</v>
      </c>
      <c r="J411" s="31" t="str">
        <f>INDEX(数据元说明!A:F,MATCH(I411,数据元说明!C:C,0),2)</f>
        <v>001002</v>
      </c>
      <c r="K411" s="133" t="str">
        <f>INDEX(数据元说明!A:F,MATCH(I411,数据元说明!C:C,0),5)</f>
        <v>是，否。</v>
      </c>
      <c r="L411" s="31" t="str">
        <f>INDEX(数据元说明!A:F,MATCH(I411,数据元说明!C:C,0),6)</f>
        <v>C3</v>
      </c>
      <c r="M411" s="133"/>
      <c r="N411" s="33" t="s">
        <v>25</v>
      </c>
      <c r="O411" s="99"/>
      <c r="P411" s="33" t="s">
        <v>1588</v>
      </c>
    </row>
    <row r="412" s="61" customFormat="1" ht="30" customHeight="1" outlineLevel="1" spans="1:16">
      <c r="A412" s="130"/>
      <c r="B412" s="36"/>
      <c r="C412" s="25"/>
      <c r="D412" s="25"/>
      <c r="E412" s="36"/>
      <c r="F412" s="135" t="s">
        <v>660</v>
      </c>
      <c r="G412" s="136" t="s">
        <v>2343</v>
      </c>
      <c r="H412" s="137" t="s">
        <v>2481</v>
      </c>
      <c r="I412" s="135" t="s">
        <v>660</v>
      </c>
      <c r="J412" s="136" t="str">
        <f>INDEX(数据元说明!A:F,MATCH(I412,数据元说明!C:C,0),2)</f>
        <v>003023</v>
      </c>
      <c r="K412" s="138" t="str">
        <f>INDEX(数据元说明!A:F,MATCH(I412,数据元说明!C:C,0),5)</f>
        <v>百分比为单位，即%，如4.5%填报为4.5。</v>
      </c>
      <c r="L412" s="136" t="str">
        <f>INDEX(数据元说明!A:F,MATCH(I412,数据元说明!C:C,0),6)</f>
        <v>D10.4</v>
      </c>
      <c r="M412" s="138"/>
      <c r="N412" s="139" t="s">
        <v>25</v>
      </c>
      <c r="O412" s="140"/>
      <c r="P412" s="139" t="s">
        <v>25</v>
      </c>
    </row>
    <row r="413" s="61" customFormat="1" ht="30" customHeight="1" outlineLevel="1" spans="1:16">
      <c r="A413" s="130"/>
      <c r="B413" s="36"/>
      <c r="C413" s="25"/>
      <c r="D413" s="25"/>
      <c r="E413" s="36"/>
      <c r="F413" s="131" t="s">
        <v>624</v>
      </c>
      <c r="G413" s="31" t="s">
        <v>1989</v>
      </c>
      <c r="H413" s="132" t="s">
        <v>2482</v>
      </c>
      <c r="I413" s="131" t="s">
        <v>624</v>
      </c>
      <c r="J413" s="31" t="str">
        <f>INDEX(数据元说明!A:F,MATCH(I413,数据元说明!C:C,0),2)</f>
        <v>003014</v>
      </c>
      <c r="K413" s="133" t="str">
        <f>INDEX(数据元说明!A:F,MATCH(I413,数据元说明!C:C,0),5)</f>
        <v>遵循《GB/T 12406 表示货币和资金的代码》的字母代码，如CNY。上述文件所列币种无法涵盖的，允许银行自定义填报。多个币种合计折算为人民币（本外币合计）的，填报为BWB。</v>
      </c>
      <c r="L413" s="31" t="str">
        <f>INDEX(数据元说明!A:F,MATCH(I413,数据元说明!C:C,0),6)</f>
        <v>C3</v>
      </c>
      <c r="M413" s="133" t="s">
        <v>1525</v>
      </c>
      <c r="N413" s="33" t="s">
        <v>25</v>
      </c>
      <c r="O413" s="99"/>
      <c r="P413" s="33" t="s">
        <v>1588</v>
      </c>
    </row>
    <row r="414" s="61" customFormat="1" ht="30" customHeight="1" outlineLevel="1" spans="1:16">
      <c r="A414" s="130"/>
      <c r="B414" s="36"/>
      <c r="C414" s="25"/>
      <c r="D414" s="25"/>
      <c r="E414" s="36"/>
      <c r="F414" s="131" t="s">
        <v>2483</v>
      </c>
      <c r="G414" s="31" t="s">
        <v>2484</v>
      </c>
      <c r="H414" s="132" t="s">
        <v>2485</v>
      </c>
      <c r="I414" s="131" t="s">
        <v>609</v>
      </c>
      <c r="J414" s="31" t="str">
        <f>INDEX(数据元说明!A:F,MATCH(I414,数据元说明!C:C,0),2)</f>
        <v>003010</v>
      </c>
      <c r="K414" s="133" t="str">
        <f>INDEX(数据元说明!A:F,MATCH(I414,数据元说明!C:C,0),5)</f>
        <v>与币种相对应金额。</v>
      </c>
      <c r="L414" s="31" t="str">
        <f>INDEX(数据元说明!A:F,MATCH(I414,数据元说明!C:C,0),6)</f>
        <v>D20.2</v>
      </c>
      <c r="M414" s="133"/>
      <c r="N414" s="99"/>
      <c r="O414" s="99"/>
      <c r="P414" s="99"/>
    </row>
    <row r="415" s="61" customFormat="1" ht="30" customHeight="1" outlineLevel="1" spans="1:16">
      <c r="A415" s="130"/>
      <c r="B415" s="36"/>
      <c r="C415" s="25"/>
      <c r="D415" s="25"/>
      <c r="E415" s="36"/>
      <c r="F415" s="131" t="s">
        <v>2346</v>
      </c>
      <c r="G415" s="31" t="s">
        <v>2347</v>
      </c>
      <c r="H415" s="132" t="s">
        <v>2486</v>
      </c>
      <c r="I415" s="131" t="s">
        <v>613</v>
      </c>
      <c r="J415" s="31" t="str">
        <f>INDEX(数据元说明!A:F,MATCH(I415,数据元说明!C:C,0),2)</f>
        <v>003011</v>
      </c>
      <c r="K415" s="133" t="str">
        <f>INDEX(数据元说明!A:F,MATCH(I415,数据元说明!C:C,0),5)</f>
        <v>与币种相对应金额。</v>
      </c>
      <c r="L415" s="31" t="str">
        <f>INDEX(数据元说明!A:F,MATCH(I415,数据元说明!C:C,0),6)</f>
        <v>D20.2</v>
      </c>
      <c r="M415" s="133" t="s">
        <v>2349</v>
      </c>
      <c r="N415" s="99"/>
      <c r="O415" s="99"/>
      <c r="P415" s="99"/>
    </row>
    <row r="416" s="81" customFormat="1" ht="30" customHeight="1" outlineLevel="1" spans="1:16">
      <c r="A416" s="134"/>
      <c r="B416" s="47"/>
      <c r="C416" s="39"/>
      <c r="D416" s="39"/>
      <c r="E416" s="47"/>
      <c r="F416" s="135" t="s">
        <v>2350</v>
      </c>
      <c r="G416" s="136" t="s">
        <v>2351</v>
      </c>
      <c r="H416" s="137" t="s">
        <v>2487</v>
      </c>
      <c r="I416" s="135" t="s">
        <v>302</v>
      </c>
      <c r="J416" s="136" t="str">
        <f>INDEX(数据元说明!A:F,MATCH(I416,数据元说明!C:C,0),2)</f>
        <v>001005</v>
      </c>
      <c r="K416" s="138" t="str">
        <f>INDEX(数据元说明!A:F,MATCH(I416,数据元说明!C:C,0),5)</f>
        <v>YYYYMMDD，默认值99991231。</v>
      </c>
      <c r="L416" s="136" t="str">
        <f>INDEX(数据元说明!A:F,MATCH(I416,数据元说明!C:C,0),6)</f>
        <v>C8</v>
      </c>
      <c r="M416" s="138" t="s">
        <v>2353</v>
      </c>
      <c r="N416" s="140" t="s">
        <v>25</v>
      </c>
      <c r="O416" s="140"/>
      <c r="P416" s="140" t="s">
        <v>1606</v>
      </c>
    </row>
    <row r="417" s="61" customFormat="1" ht="30" customHeight="1" outlineLevel="1" spans="1:16">
      <c r="A417" s="184"/>
      <c r="B417" s="185"/>
      <c r="C417" s="186"/>
      <c r="D417" s="186"/>
      <c r="E417" s="185"/>
      <c r="F417" s="131" t="s">
        <v>2354</v>
      </c>
      <c r="G417" s="31" t="s">
        <v>2355</v>
      </c>
      <c r="H417" s="132" t="s">
        <v>2488</v>
      </c>
      <c r="I417" s="131" t="s">
        <v>368</v>
      </c>
      <c r="J417" s="31" t="str">
        <f>INDEX(数据元说明!A:F,MATCH(I417,数据元说明!C:C,0),2)</f>
        <v>001021</v>
      </c>
      <c r="K417" s="133" t="str">
        <f>INDEX(数据元说明!A:F,MATCH(I417,数据元说明!C:C,0),5)</f>
        <v>柜员编号，银行自定义。</v>
      </c>
      <c r="L417" s="31" t="str">
        <f>INDEX(数据元说明!A:F,MATCH(I417,数据元说明!C:C,0),6)</f>
        <v>C..30</v>
      </c>
      <c r="M417" s="163" t="s">
        <v>2151</v>
      </c>
      <c r="N417" s="99"/>
      <c r="O417" s="99"/>
      <c r="P417" s="99"/>
    </row>
    <row r="418" s="81" customFormat="1" ht="30" customHeight="1" outlineLevel="1" spans="1:16">
      <c r="A418" s="134"/>
      <c r="B418" s="47"/>
      <c r="C418" s="39"/>
      <c r="D418" s="39"/>
      <c r="E418" s="47"/>
      <c r="F418" s="135" t="s">
        <v>2360</v>
      </c>
      <c r="G418" s="136" t="s">
        <v>2361</v>
      </c>
      <c r="H418" s="137" t="s">
        <v>2489</v>
      </c>
      <c r="I418" s="135" t="s">
        <v>302</v>
      </c>
      <c r="J418" s="136" t="str">
        <f>INDEX(数据元说明!A:F,MATCH(I418,数据元说明!C:C,0),2)</f>
        <v>001005</v>
      </c>
      <c r="K418" s="138" t="str">
        <f>INDEX(数据元说明!A:F,MATCH(I418,数据元说明!C:C,0),5)</f>
        <v>YYYYMMDD，默认值99991231。</v>
      </c>
      <c r="L418" s="136" t="str">
        <f>INDEX(数据元说明!A:F,MATCH(I418,数据元说明!C:C,0),6)</f>
        <v>C8</v>
      </c>
      <c r="M418" s="138" t="s">
        <v>2363</v>
      </c>
      <c r="N418" s="139" t="s">
        <v>25</v>
      </c>
      <c r="O418" s="140"/>
      <c r="P418" s="139" t="s">
        <v>1606</v>
      </c>
    </row>
    <row r="419" s="81" customFormat="1" ht="30" customHeight="1" outlineLevel="1" spans="1:16">
      <c r="A419" s="134"/>
      <c r="B419" s="47"/>
      <c r="C419" s="39"/>
      <c r="D419" s="39"/>
      <c r="E419" s="47"/>
      <c r="F419" s="135" t="s">
        <v>2490</v>
      </c>
      <c r="G419" s="136" t="s">
        <v>2491</v>
      </c>
      <c r="H419" s="137" t="s">
        <v>2492</v>
      </c>
      <c r="I419" s="135" t="s">
        <v>302</v>
      </c>
      <c r="J419" s="136" t="str">
        <f>INDEX(数据元说明!A:F,MATCH(I419,数据元说明!C:C,0),2)</f>
        <v>001005</v>
      </c>
      <c r="K419" s="138" t="str">
        <f>INDEX(数据元说明!A:F,MATCH(I419,数据元说明!C:C,0),5)</f>
        <v>YYYYMMDD，默认值99991231。</v>
      </c>
      <c r="L419" s="136" t="str">
        <f>INDEX(数据元说明!A:F,MATCH(I419,数据元说明!C:C,0),6)</f>
        <v>C8</v>
      </c>
      <c r="M419" s="138" t="s">
        <v>2493</v>
      </c>
      <c r="N419" s="140" t="s">
        <v>25</v>
      </c>
      <c r="O419" s="139" t="s">
        <v>2494</v>
      </c>
      <c r="P419" s="140"/>
    </row>
    <row r="420" s="61" customFormat="1" ht="30" customHeight="1" outlineLevel="1" spans="1:16">
      <c r="A420" s="130"/>
      <c r="B420" s="36"/>
      <c r="C420" s="25"/>
      <c r="D420" s="25"/>
      <c r="E420" s="36"/>
      <c r="F420" s="131" t="s">
        <v>2357</v>
      </c>
      <c r="G420" s="31" t="s">
        <v>2358</v>
      </c>
      <c r="H420" s="132" t="s">
        <v>2495</v>
      </c>
      <c r="I420" s="131" t="s">
        <v>302</v>
      </c>
      <c r="J420" s="31" t="str">
        <f>INDEX(数据元说明!A:F,MATCH(I420,数据元说明!C:C,0),2)</f>
        <v>001005</v>
      </c>
      <c r="K420" s="133" t="str">
        <f>INDEX(数据元说明!A:F,MATCH(I420,数据元说明!C:C,0),5)</f>
        <v>YYYYMMDD，默认值99991231。</v>
      </c>
      <c r="L420" s="31" t="str">
        <f>INDEX(数据元说明!A:F,MATCH(I420,数据元说明!C:C,0),6)</f>
        <v>C8</v>
      </c>
      <c r="M420" s="133"/>
      <c r="N420" s="99"/>
      <c r="O420" s="99"/>
      <c r="P420" s="99"/>
    </row>
    <row r="421" s="61" customFormat="1" ht="30" customHeight="1" outlineLevel="1" spans="1:16">
      <c r="A421" s="130"/>
      <c r="B421" s="36"/>
      <c r="C421" s="25"/>
      <c r="D421" s="25"/>
      <c r="E421" s="36"/>
      <c r="F421" s="131" t="s">
        <v>640</v>
      </c>
      <c r="G421" s="31" t="s">
        <v>2364</v>
      </c>
      <c r="H421" s="132" t="s">
        <v>2496</v>
      </c>
      <c r="I421" s="131" t="s">
        <v>640</v>
      </c>
      <c r="J421" s="31" t="str">
        <f>INDEX(数据元说明!A:F,MATCH(I421,数据元说明!C:C,0),2)</f>
        <v>003018</v>
      </c>
      <c r="K421" s="133" t="str">
        <f>INDEX(数据元说明!A:F,MATCH(I421,数据元说明!C:C,0),5)</f>
        <v>人民币，钞，汇，可钞可汇等。</v>
      </c>
      <c r="L421" s="31" t="str">
        <f>INDEX(数据元说明!A:F,MATCH(I421,数据元说明!C:C,0),6)</f>
        <v>C..12</v>
      </c>
      <c r="M421" s="133" t="s">
        <v>1525</v>
      </c>
      <c r="N421" s="99"/>
      <c r="O421" s="99"/>
      <c r="P421" s="99"/>
    </row>
    <row r="422" s="81" customFormat="1" ht="30" customHeight="1" outlineLevel="1" spans="1:16">
      <c r="A422" s="134"/>
      <c r="B422" s="47"/>
      <c r="C422" s="39"/>
      <c r="D422" s="39"/>
      <c r="E422" s="47"/>
      <c r="F422" s="135" t="s">
        <v>636</v>
      </c>
      <c r="G422" s="136" t="s">
        <v>2366</v>
      </c>
      <c r="H422" s="137" t="s">
        <v>2497</v>
      </c>
      <c r="I422" s="135" t="s">
        <v>636</v>
      </c>
      <c r="J422" s="136" t="str">
        <f>INDEX(数据元说明!A:F,MATCH(I422,数据元说明!C:C,0),2)</f>
        <v>003017</v>
      </c>
      <c r="K422" s="138" t="str">
        <f>INDEX(数据元说明!A:F,MATCH(I422,数据元说明!C:C,0),5)</f>
        <v>正常，预销户，销户，逾期，冻结，止付，已转让，其他-银行自定义。无法以枚举类型填报的，以“其他-XX”填报，其中“XX”为银行自定义类型。</v>
      </c>
      <c r="L422" s="136" t="str">
        <f>INDEX(数据元说明!A:F,MATCH(I422,数据元说明!C:C,0),6)</f>
        <v>C..30</v>
      </c>
      <c r="M422" s="138"/>
      <c r="N422" s="140" t="s">
        <v>25</v>
      </c>
      <c r="O422" s="139" t="s">
        <v>275</v>
      </c>
      <c r="P422" s="140" t="s">
        <v>1606</v>
      </c>
    </row>
    <row r="423" s="82" customFormat="1" ht="71" outlineLevel="1" spans="1:16">
      <c r="A423" s="144"/>
      <c r="B423" s="145"/>
      <c r="C423" s="146"/>
      <c r="D423" s="146"/>
      <c r="E423" s="145"/>
      <c r="F423" s="147" t="s">
        <v>449</v>
      </c>
      <c r="G423" s="148" t="s">
        <v>1571</v>
      </c>
      <c r="H423" s="148" t="s">
        <v>2498</v>
      </c>
      <c r="I423" s="147" t="s">
        <v>449</v>
      </c>
      <c r="J423" s="148" t="str">
        <f>INDEX(数据元说明!A:F,MATCH(I423,数据元说明!C:C,0),2)</f>
        <v>001040</v>
      </c>
      <c r="K423" s="149" t="str">
        <f>INDEX(数据元说明!A:F,MATCH(I423,数据元说明!C:C,0),5)</f>
        <v>银行自定义。</v>
      </c>
      <c r="L423" s="148" t="str">
        <f>INDEX(数据元说明!A:F,MATCH(I423,数据元说明!C:C,0),6)</f>
        <v>C..600</v>
      </c>
      <c r="M423" s="149" t="s">
        <v>1573</v>
      </c>
      <c r="N423" s="143" t="s">
        <v>57</v>
      </c>
      <c r="O423" s="151"/>
      <c r="P423" s="151"/>
    </row>
    <row r="424" s="61" customFormat="1" ht="30" customHeight="1" outlineLevel="1" spans="1:16">
      <c r="A424" s="130"/>
      <c r="B424" s="36"/>
      <c r="C424" s="25"/>
      <c r="D424" s="25"/>
      <c r="E424" s="36"/>
      <c r="F424" s="131" t="s">
        <v>1574</v>
      </c>
      <c r="G424" s="31" t="s">
        <v>1575</v>
      </c>
      <c r="H424" s="132" t="s">
        <v>2499</v>
      </c>
      <c r="I424" s="131" t="s">
        <v>302</v>
      </c>
      <c r="J424" s="31" t="str">
        <f>INDEX(数据元说明!A:F,MATCH(I424,数据元说明!C:C,0),2)</f>
        <v>001005</v>
      </c>
      <c r="K424" s="133" t="str">
        <f>INDEX(数据元说明!A:F,MATCH(I424,数据元说明!C:C,0),5)</f>
        <v>YYYYMMDD，默认值99991231。</v>
      </c>
      <c r="L424" s="31" t="str">
        <f>INDEX(数据元说明!A:F,MATCH(I424,数据元说明!C:C,0),6)</f>
        <v>C8</v>
      </c>
      <c r="M424" s="133" t="s">
        <v>1577</v>
      </c>
      <c r="N424" s="99"/>
      <c r="O424" s="99"/>
      <c r="P424" s="99"/>
    </row>
    <row r="425" s="61" customFormat="1" ht="30" customHeight="1" spans="1:16">
      <c r="A425" s="125"/>
      <c r="B425" s="34"/>
      <c r="C425" s="19" t="s">
        <v>93</v>
      </c>
      <c r="D425" s="24" t="s">
        <v>94</v>
      </c>
      <c r="E425" s="126">
        <v>406</v>
      </c>
      <c r="F425" s="127"/>
      <c r="G425" s="126"/>
      <c r="H425" s="126"/>
      <c r="I425" s="127"/>
      <c r="J425" s="126"/>
      <c r="K425" s="152"/>
      <c r="L425" s="126"/>
      <c r="M425" s="128" t="str">
        <f>INDEX(表结构总览!E:H,MATCH(D425,表结构总览!E:E,0),4)</f>
        <v>除计息、扣利息税外，所有影响个人定期存款账户余额变动的交易信息，不包括查询交易。</v>
      </c>
      <c r="N425" s="139" t="s">
        <v>25</v>
      </c>
      <c r="O425" s="33"/>
      <c r="P425" s="33"/>
    </row>
    <row r="426" s="87" customFormat="1" ht="30" customHeight="1" spans="1:16">
      <c r="A426" s="141"/>
      <c r="B426" s="142"/>
      <c r="C426" s="39"/>
      <c r="D426" s="40"/>
      <c r="E426" s="47"/>
      <c r="F426" s="135" t="s">
        <v>702</v>
      </c>
      <c r="G426" s="136" t="s">
        <v>2370</v>
      </c>
      <c r="H426" s="137" t="s">
        <v>2500</v>
      </c>
      <c r="I426" s="135" t="s">
        <v>702</v>
      </c>
      <c r="J426" s="136" t="str">
        <f>INDEX(数据元说明!A:F,MATCH(I426,数据元说明!C:C,0),2)</f>
        <v>004001</v>
      </c>
      <c r="K426" s="138" t="str">
        <f>INDEX(数据元说明!A:F,MATCH(I426,数据元说明!C:C,0),5)</f>
        <v>唯一标识该笔交易的编号，银行自定义。可以是业务编号，也可以是交易系统中使用的时间戳，如：时间戳(纳秒)：1530027865231834600。</v>
      </c>
      <c r="L426" s="136" t="str">
        <f>INDEX(数据元说明!A:F,MATCH(I426,数据元说明!C:C,0),6)</f>
        <v>C..100</v>
      </c>
      <c r="M426" s="138" t="s">
        <v>1587</v>
      </c>
      <c r="N426" s="143" t="s">
        <v>57</v>
      </c>
      <c r="O426" s="221"/>
      <c r="P426" s="140"/>
    </row>
    <row r="427" ht="30" customHeight="1" outlineLevel="1" spans="1:16">
      <c r="A427" s="159"/>
      <c r="B427" s="160"/>
      <c r="C427" s="161"/>
      <c r="D427" s="161"/>
      <c r="E427" s="160"/>
      <c r="F427" s="97" t="s">
        <v>325</v>
      </c>
      <c r="G427" s="29" t="s">
        <v>1520</v>
      </c>
      <c r="H427" s="132" t="s">
        <v>2501</v>
      </c>
      <c r="I427" s="97" t="s">
        <v>325</v>
      </c>
      <c r="J427" s="29" t="str">
        <f>INDEX(数据元说明!A:F,MATCH(I427,数据元说明!C:C,0),2)</f>
        <v>001010</v>
      </c>
      <c r="K427" s="98" t="str">
        <f>INDEX(数据元说明!A:F,MATCH(I427,数据元说明!C:C,0),5)</f>
        <v>12位人行支付行号或SWIFT行号。</v>
      </c>
      <c r="L427" s="29" t="str">
        <f>INDEX(数据元说明!A:F,MATCH(I427,数据元说明!C:C,0),6)</f>
        <v>C..30</v>
      </c>
      <c r="M427" s="133" t="s">
        <v>2318</v>
      </c>
      <c r="P427" s="99"/>
    </row>
    <row r="428" s="81" customFormat="1" ht="30" customHeight="1" outlineLevel="1" spans="1:16">
      <c r="A428" s="134"/>
      <c r="B428" s="47"/>
      <c r="C428" s="39"/>
      <c r="D428" s="39"/>
      <c r="E428" s="47"/>
      <c r="F428" s="135" t="s">
        <v>329</v>
      </c>
      <c r="G428" s="136" t="s">
        <v>1526</v>
      </c>
      <c r="H428" s="137" t="s">
        <v>2502</v>
      </c>
      <c r="I428" s="135" t="s">
        <v>329</v>
      </c>
      <c r="J428" s="136" t="str">
        <f>INDEX(数据元说明!A:F,MATCH(I428,数据元说明!C:C,0),2)</f>
        <v>001011</v>
      </c>
      <c r="K428" s="138" t="str">
        <f>INDEX(数据元说明!A:F,MATCH(I428,数据元说明!C:C,0),5)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28" s="136" t="str">
        <f>INDEX(数据元说明!A:F,MATCH(I428,数据元说明!C:C,0),6)</f>
        <v>C..30</v>
      </c>
      <c r="M428" s="138" t="s">
        <v>2320</v>
      </c>
      <c r="N428" s="129" t="s">
        <v>25</v>
      </c>
      <c r="O428" s="129" t="s">
        <v>449</v>
      </c>
      <c r="P428" s="139"/>
    </row>
    <row r="429" ht="30" customHeight="1" outlineLevel="1" spans="1:16">
      <c r="A429" s="159"/>
      <c r="B429" s="160"/>
      <c r="E429" s="94"/>
      <c r="F429" s="97" t="s">
        <v>333</v>
      </c>
      <c r="G429" s="29" t="s">
        <v>1523</v>
      </c>
      <c r="H429" s="132" t="s">
        <v>2503</v>
      </c>
      <c r="I429" s="97" t="s">
        <v>333</v>
      </c>
      <c r="J429" s="29" t="str">
        <f>INDEX(数据元说明!A:F,MATCH(I429,数据元说明!C:C,0),2)</f>
        <v>001012</v>
      </c>
      <c r="K429" s="98" t="str">
        <f>INDEX(数据元说明!A:F,MATCH(I429,数据元说明!C:C,0),5)</f>
        <v>银行内部机构号。应具有标识机构的唯一性。</v>
      </c>
      <c r="L429" s="29" t="str">
        <f>INDEX(数据元说明!A:F,MATCH(I429,数据元说明!C:C,0),6)</f>
        <v>C..30</v>
      </c>
      <c r="M429" s="133" t="s">
        <v>2322</v>
      </c>
      <c r="P429" s="99"/>
    </row>
    <row r="430" s="61" customFormat="1" ht="30" customHeight="1" outlineLevel="1" spans="1:16">
      <c r="A430" s="159"/>
      <c r="B430" s="160"/>
      <c r="C430" s="95"/>
      <c r="D430" s="95"/>
      <c r="E430" s="94"/>
      <c r="F430" s="97" t="s">
        <v>2375</v>
      </c>
      <c r="G430" s="29" t="s">
        <v>2376</v>
      </c>
      <c r="H430" s="132" t="s">
        <v>2504</v>
      </c>
      <c r="I430" s="97" t="s">
        <v>333</v>
      </c>
      <c r="J430" s="29" t="str">
        <f>INDEX(数据元说明!A:F,MATCH(I430,数据元说明!C:C,0),2)</f>
        <v>001012</v>
      </c>
      <c r="K430" s="98" t="str">
        <f>INDEX(数据元说明!A:F,MATCH(I430,数据元说明!C:C,0),5)</f>
        <v>银行内部机构号。应具有标识机构的唯一性。</v>
      </c>
      <c r="L430" s="29" t="str">
        <f>INDEX(数据元说明!A:F,MATCH(I430,数据元说明!C:C,0),6)</f>
        <v>C..30</v>
      </c>
      <c r="M430" s="133" t="s">
        <v>2378</v>
      </c>
      <c r="N430" s="99"/>
      <c r="O430" s="99"/>
      <c r="P430" s="99"/>
    </row>
    <row r="431" ht="30" customHeight="1" outlineLevel="1" spans="1:16">
      <c r="A431" s="159"/>
      <c r="B431" s="160"/>
      <c r="C431" s="161"/>
      <c r="D431" s="161"/>
      <c r="E431" s="160"/>
      <c r="F431" s="157" t="s">
        <v>1532</v>
      </c>
      <c r="G431" s="43" t="s">
        <v>1533</v>
      </c>
      <c r="H431" s="137" t="s">
        <v>2505</v>
      </c>
      <c r="I431" s="157" t="s">
        <v>282</v>
      </c>
      <c r="J431" s="43" t="str">
        <f>INDEX(数据元说明!A:F,MATCH(I431,数据元说明!C:C,0),2)</f>
        <v>001001</v>
      </c>
      <c r="K431" s="158" t="str">
        <f>INDEX(数据元说明!A:F,MATCH(I431,数据元说明!C:C,0),5)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431" s="43" t="str">
        <f>INDEX(数据元说明!A:F,MATCH(I431,数据元说明!C:C,0),6)</f>
        <v>C..400</v>
      </c>
      <c r="M431" s="138" t="s">
        <v>2324</v>
      </c>
      <c r="N431" s="139" t="s">
        <v>25</v>
      </c>
      <c r="O431" s="139" t="s">
        <v>280</v>
      </c>
      <c r="P431" s="140" t="s">
        <v>1588</v>
      </c>
    </row>
    <row r="432" s="81" customFormat="1" ht="30" customHeight="1" outlineLevel="1" spans="1:16">
      <c r="A432" s="167"/>
      <c r="B432" s="168"/>
      <c r="C432" s="176"/>
      <c r="D432" s="176"/>
      <c r="E432" s="168"/>
      <c r="F432" s="157" t="s">
        <v>2325</v>
      </c>
      <c r="G432" s="43" t="s">
        <v>2326</v>
      </c>
      <c r="H432" s="137" t="s">
        <v>2506</v>
      </c>
      <c r="I432" s="135" t="s">
        <v>574</v>
      </c>
      <c r="J432" s="43" t="str">
        <f>INDEX(数据元说明!A:F,MATCH(I432,数据元说明!C:C,0),2)</f>
        <v>003002</v>
      </c>
      <c r="K432" s="158" t="str">
        <f>INDEX(数据元说明!A:F,MATCH(I432,数据元说明!C:C,0),5)</f>
        <v>机构实际使用的总账会计科目编码。</v>
      </c>
      <c r="L432" s="43" t="str">
        <f>INDEX(数据元说明!A:F,MATCH(I432,数据元说明!C:C,0),6)</f>
        <v>C..200</v>
      </c>
      <c r="M432" s="138" t="s">
        <v>2328</v>
      </c>
      <c r="N432" s="139" t="s">
        <v>25</v>
      </c>
      <c r="O432" s="139" t="s">
        <v>1516</v>
      </c>
      <c r="P432" s="140"/>
    </row>
    <row r="433" s="81" customFormat="1" ht="30" customHeight="1" outlineLevel="1" spans="1:16">
      <c r="A433" s="167"/>
      <c r="B433" s="168"/>
      <c r="C433" s="176"/>
      <c r="D433" s="176"/>
      <c r="E433" s="168"/>
      <c r="F433" s="157" t="s">
        <v>2329</v>
      </c>
      <c r="G433" s="43" t="s">
        <v>2330</v>
      </c>
      <c r="H433" s="137" t="s">
        <v>2507</v>
      </c>
      <c r="I433" s="135" t="s">
        <v>578</v>
      </c>
      <c r="J433" s="43" t="str">
        <f>INDEX(数据元说明!A:F,MATCH(I433,数据元说明!C:C,0),2)</f>
        <v>003003</v>
      </c>
      <c r="K433" s="158" t="str">
        <f>INDEX(数据元说明!A:F,MATCH(I433,数据元说明!C:C,0),5)</f>
        <v>机构实际使用的总账会计科目编码对应的名称。</v>
      </c>
      <c r="L433" s="43" t="str">
        <f>INDEX(数据元说明!A:F,MATCH(I433,数据元说明!C:C,0),6)</f>
        <v>C..200</v>
      </c>
      <c r="M433" s="138" t="s">
        <v>2328</v>
      </c>
      <c r="N433" s="139" t="s">
        <v>25</v>
      </c>
      <c r="O433" s="139" t="s">
        <v>449</v>
      </c>
      <c r="P433" s="140"/>
    </row>
    <row r="434" s="61" customFormat="1" ht="30" customHeight="1" outlineLevel="1" spans="1:16">
      <c r="A434" s="159"/>
      <c r="B434" s="160"/>
      <c r="C434" s="161"/>
      <c r="D434" s="161"/>
      <c r="E434" s="160"/>
      <c r="F434" s="97" t="s">
        <v>453</v>
      </c>
      <c r="G434" s="29" t="s">
        <v>1680</v>
      </c>
      <c r="H434" s="132" t="s">
        <v>2508</v>
      </c>
      <c r="I434" s="97" t="s">
        <v>453</v>
      </c>
      <c r="J434" s="29" t="str">
        <f>INDEX(数据元说明!A:F,MATCH(I434,数据元说明!C:C,0),2)</f>
        <v>002001</v>
      </c>
      <c r="K434" s="98" t="str">
        <f>INDEX(数据元说明!A:F,MATCH(I434,数据元说明!C:C,0),5)</f>
        <v>银行自定义的唯一识别客户的标识。供应链融资的填写供应链融资编码。</v>
      </c>
      <c r="L434" s="29" t="str">
        <f>INDEX(数据元说明!A:F,MATCH(I434,数据元说明!C:C,0),6)</f>
        <v>C..60</v>
      </c>
      <c r="M434" s="98" t="s">
        <v>2333</v>
      </c>
      <c r="N434" s="33" t="s">
        <v>25</v>
      </c>
      <c r="O434" s="99"/>
      <c r="P434" s="33" t="s">
        <v>1588</v>
      </c>
    </row>
    <row r="435" s="81" customFormat="1" ht="30" customHeight="1" outlineLevel="1" spans="1:16">
      <c r="A435" s="167"/>
      <c r="B435" s="168"/>
      <c r="C435" s="176"/>
      <c r="D435" s="176"/>
      <c r="E435" s="168"/>
      <c r="F435" s="157" t="s">
        <v>628</v>
      </c>
      <c r="G435" s="43" t="s">
        <v>2334</v>
      </c>
      <c r="H435" s="137" t="s">
        <v>2509</v>
      </c>
      <c r="I435" s="157" t="s">
        <v>628</v>
      </c>
      <c r="J435" s="43" t="str">
        <f>INDEX(数据元说明!A:F,MATCH(I435,数据元说明!C:C,0),2)</f>
        <v>003015</v>
      </c>
      <c r="K435" s="158" t="str">
        <f>INDEX(数据元说明!A:F,MATCH(I435,数据元说明!C:C,0),5)</f>
        <v>账户归属者的名称。如果客户为个人，则为隐私，银行机构变形，变形规则见《采集技术接口说明》。客户是境内涉密机构的，账户名称填报为“*********”。其他情况，则为非隐私，不做变形。</v>
      </c>
      <c r="L435" s="43" t="str">
        <f>INDEX(数据元说明!A:F,MATCH(I435,数据元说明!C:C,0),6)</f>
        <v>C..400</v>
      </c>
      <c r="M435" s="162" t="s">
        <v>2336</v>
      </c>
      <c r="N435" s="139" t="s">
        <v>25</v>
      </c>
      <c r="O435" s="139" t="s">
        <v>449</v>
      </c>
      <c r="P435" s="140" t="s">
        <v>1588</v>
      </c>
    </row>
    <row r="436" s="81" customFormat="1" ht="30" customHeight="1" outlineLevel="1" spans="1:16">
      <c r="A436" s="134"/>
      <c r="B436" s="47"/>
      <c r="C436" s="39"/>
      <c r="D436" s="39"/>
      <c r="E436" s="47"/>
      <c r="F436" s="135" t="s">
        <v>457</v>
      </c>
      <c r="G436" s="136" t="s">
        <v>1592</v>
      </c>
      <c r="H436" s="137" t="s">
        <v>2510</v>
      </c>
      <c r="I436" s="135" t="s">
        <v>457</v>
      </c>
      <c r="J436" s="136" t="str">
        <f>INDEX(数据元说明!A:F,MATCH(I436,数据元说明!C:C,0),2)</f>
        <v>002002</v>
      </c>
      <c r="K436" s="138" t="str">
        <f>INDEX(数据元说明!A:F,MATCH(I436,数据元说明!C:C,0),5)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436" s="136" t="str">
        <f>INDEX(数据元说明!A:F,MATCH(I436,数据元说明!C:C,0),6)</f>
        <v>C..60</v>
      </c>
      <c r="M436" s="138"/>
      <c r="N436" s="129" t="s">
        <v>57</v>
      </c>
      <c r="O436" s="140"/>
      <c r="P436" s="205"/>
    </row>
    <row r="437" s="81" customFormat="1" ht="30" customHeight="1" outlineLevel="1" spans="1:16">
      <c r="A437" s="154"/>
      <c r="B437" s="155"/>
      <c r="C437" s="156"/>
      <c r="D437" s="156"/>
      <c r="E437" s="155"/>
      <c r="F437" s="157" t="s">
        <v>461</v>
      </c>
      <c r="G437" s="43" t="s">
        <v>1594</v>
      </c>
      <c r="H437" s="137" t="s">
        <v>2511</v>
      </c>
      <c r="I437" s="157" t="s">
        <v>461</v>
      </c>
      <c r="J437" s="43" t="str">
        <f>INDEX(数据元说明!A:F,MATCH(I437,数据元说明!C:C,0),2)</f>
        <v>002003</v>
      </c>
      <c r="K437" s="158" t="str">
        <f>INDEX(数据元说明!A:F,MATCH(I437,数据元说明!C:C,0),5)</f>
        <v>与证件类别对应的证件号码。涉及个人身份证件时需按照本规范给定规则进行脱敏处理。</v>
      </c>
      <c r="L437" s="43" t="str">
        <f>INDEX(数据元说明!A:F,MATCH(I437,数据元说明!C:C,0),6)</f>
        <v>C..70</v>
      </c>
      <c r="M437" s="158" t="s">
        <v>2386</v>
      </c>
      <c r="N437" s="143" t="s">
        <v>57</v>
      </c>
      <c r="O437" s="140"/>
      <c r="P437" s="205"/>
    </row>
    <row r="438" s="61" customFormat="1" ht="30" customHeight="1" outlineLevel="1" spans="1:16">
      <c r="A438" s="93"/>
      <c r="B438" s="94"/>
      <c r="C438" s="95"/>
      <c r="D438" s="95"/>
      <c r="E438" s="94"/>
      <c r="F438" s="97" t="s">
        <v>2473</v>
      </c>
      <c r="G438" s="29" t="s">
        <v>2474</v>
      </c>
      <c r="H438" s="132" t="s">
        <v>2512</v>
      </c>
      <c r="I438" s="97" t="s">
        <v>570</v>
      </c>
      <c r="J438" s="29" t="str">
        <f>INDEX(数据元说明!A:F,MATCH(I438,数据元说明!C:C,0),2)</f>
        <v>003001</v>
      </c>
      <c r="K438" s="98" t="str">
        <f>INDEX(数据元说明!A:F,MATCH(I438,数据元说明!C:C,0),5)</f>
        <v>系统内最细一级的账号，无唯一性约束，不需要和序号、子序号等做拼接。</v>
      </c>
      <c r="L438" s="29" t="str">
        <f>INDEX(数据元说明!A:F,MATCH(I438,数据元说明!C:C,0),6)</f>
        <v>C..60</v>
      </c>
      <c r="M438" s="98" t="s">
        <v>2513</v>
      </c>
      <c r="N438" s="33" t="s">
        <v>25</v>
      </c>
      <c r="O438" s="99"/>
      <c r="P438" s="33" t="s">
        <v>1588</v>
      </c>
    </row>
    <row r="439" s="81" customFormat="1" ht="30" customHeight="1" outlineLevel="1" spans="1:16">
      <c r="A439" s="167"/>
      <c r="B439" s="168"/>
      <c r="C439" s="176"/>
      <c r="D439" s="176"/>
      <c r="E439" s="168"/>
      <c r="F439" s="157" t="s">
        <v>706</v>
      </c>
      <c r="G439" s="43" t="s">
        <v>2391</v>
      </c>
      <c r="H439" s="137" t="s">
        <v>2514</v>
      </c>
      <c r="I439" s="157" t="s">
        <v>706</v>
      </c>
      <c r="J439" s="43" t="str">
        <f>INDEX(数据元说明!A:F,MATCH(I439,数据元说明!C:C,0),2)</f>
        <v>004002</v>
      </c>
      <c r="K439" s="158" t="str">
        <f>INDEX(数据元说明!A:F,MATCH(I439,数据元说明!C:C,0),5)</f>
        <v>转账，取现，存现，消费，代发，代扣，代缴，结息，批量交易，贷款发放，还款-还本，还款-还息，银证业务，投资理财，其他-银行自定义类型。无法以枚举类型填报的，以“其他-XX”报送，其中“XX”为银行自定义类型。</v>
      </c>
      <c r="L439" s="43" t="str">
        <f>INDEX(数据元说明!A:F,MATCH(I439,数据元说明!C:C,0),6)</f>
        <v>C..60</v>
      </c>
      <c r="M439" s="162"/>
      <c r="N439" s="140" t="s">
        <v>25</v>
      </c>
      <c r="O439" s="140" t="s">
        <v>275</v>
      </c>
      <c r="P439" s="140"/>
    </row>
    <row r="440" s="81" customFormat="1" ht="30" customHeight="1" outlineLevel="1" spans="1:16">
      <c r="A440" s="141"/>
      <c r="B440" s="142"/>
      <c r="C440" s="39"/>
      <c r="D440" s="39"/>
      <c r="E440" s="47"/>
      <c r="F440" s="135" t="s">
        <v>693</v>
      </c>
      <c r="G440" s="136" t="s">
        <v>2393</v>
      </c>
      <c r="H440" s="137" t="s">
        <v>2515</v>
      </c>
      <c r="I440" s="135" t="s">
        <v>693</v>
      </c>
      <c r="J440" s="136" t="str">
        <f>INDEX(数据元说明!A:F,MATCH(I440,数据元说明!C:C,0),2)</f>
        <v>003031</v>
      </c>
      <c r="K440" s="138" t="str">
        <f>INDEX(数据元说明!A:F,MATCH(I440,数据元说明!C:C,0),5)</f>
        <v>借，贷。</v>
      </c>
      <c r="L440" s="136" t="str">
        <f>INDEX(数据元说明!A:F,MATCH(I440,数据元说明!C:C,0),6)</f>
        <v>C3</v>
      </c>
      <c r="M440" s="138"/>
      <c r="N440" s="139" t="s">
        <v>25</v>
      </c>
      <c r="O440" s="139" t="s">
        <v>280</v>
      </c>
      <c r="P440" s="140" t="s">
        <v>1588</v>
      </c>
    </row>
    <row r="441" s="61" customFormat="1" ht="30" customHeight="1" outlineLevel="1" spans="1:16">
      <c r="A441" s="159"/>
      <c r="B441" s="160"/>
      <c r="C441" s="161"/>
      <c r="D441" s="161"/>
      <c r="E441" s="160"/>
      <c r="F441" s="97" t="s">
        <v>2395</v>
      </c>
      <c r="G441" s="29" t="s">
        <v>2396</v>
      </c>
      <c r="H441" s="132" t="s">
        <v>2516</v>
      </c>
      <c r="I441" s="97" t="s">
        <v>302</v>
      </c>
      <c r="J441" s="29" t="str">
        <f>INDEX(数据元说明!A:F,MATCH(I441,数据元说明!C:C,0),2)</f>
        <v>001005</v>
      </c>
      <c r="K441" s="98" t="str">
        <f>INDEX(数据元说明!A:F,MATCH(I441,数据元说明!C:C,0),5)</f>
        <v>YYYYMMDD，默认值99991231。</v>
      </c>
      <c r="L441" s="29" t="str">
        <f>INDEX(数据元说明!A:F,MATCH(I441,数据元说明!C:C,0),6)</f>
        <v>C8</v>
      </c>
      <c r="M441" s="98" t="s">
        <v>2398</v>
      </c>
      <c r="N441" s="220"/>
      <c r="O441" s="220"/>
      <c r="P441" s="220"/>
    </row>
    <row r="442" s="61" customFormat="1" ht="30" customHeight="1" outlineLevel="1" spans="1:16">
      <c r="A442" s="159"/>
      <c r="B442" s="160"/>
      <c r="C442" s="161"/>
      <c r="D442" s="161"/>
      <c r="E442" s="160"/>
      <c r="F442" s="97" t="s">
        <v>2399</v>
      </c>
      <c r="G442" s="29" t="s">
        <v>2400</v>
      </c>
      <c r="H442" s="132" t="s">
        <v>2517</v>
      </c>
      <c r="I442" s="97" t="s">
        <v>312</v>
      </c>
      <c r="J442" s="29" t="str">
        <f>INDEX(数据元说明!A:F,MATCH(I442,数据元说明!C:C,0),2)</f>
        <v>001007</v>
      </c>
      <c r="K442" s="98" t="str">
        <f>INDEX(数据元说明!A:F,MATCH(I442,数据元说明!C:C,0),5)</f>
        <v>24小时制时间，精确到秒。hhmmss，默认值000000。</v>
      </c>
      <c r="L442" s="29" t="str">
        <f>INDEX(数据元说明!A:F,MATCH(I442,数据元说明!C:C,0),6)</f>
        <v>C6</v>
      </c>
      <c r="M442" s="98" t="s">
        <v>2402</v>
      </c>
      <c r="N442" s="220"/>
      <c r="O442" s="220"/>
      <c r="P442" s="220"/>
    </row>
    <row r="443" s="61" customFormat="1" ht="30" customHeight="1" outlineLevel="1" spans="1:16">
      <c r="A443" s="159"/>
      <c r="B443" s="160"/>
      <c r="C443" s="161"/>
      <c r="D443" s="161"/>
      <c r="E443" s="160"/>
      <c r="F443" s="97" t="s">
        <v>624</v>
      </c>
      <c r="G443" s="29" t="s">
        <v>1989</v>
      </c>
      <c r="H443" s="132" t="s">
        <v>2518</v>
      </c>
      <c r="I443" s="97" t="s">
        <v>624</v>
      </c>
      <c r="J443" s="29" t="str">
        <f>INDEX(数据元说明!A:F,MATCH(I443,数据元说明!C:C,0),2)</f>
        <v>003014</v>
      </c>
      <c r="K443" s="98" t="str">
        <f>INDEX(数据元说明!A:F,MATCH(I443,数据元说明!C:C,0),5)</f>
        <v>遵循《GB/T 12406 表示货币和资金的代码》的字母代码，如CNY。上述文件所列币种无法涵盖的，允许银行自定义填报。多个币种合计折算为人民币（本外币合计）的，填报为BWB。</v>
      </c>
      <c r="L443" s="29" t="str">
        <f>INDEX(数据元说明!A:F,MATCH(I443,数据元说明!C:C,0),6)</f>
        <v>C3</v>
      </c>
      <c r="M443" s="217"/>
      <c r="N443" s="33" t="s">
        <v>25</v>
      </c>
      <c r="O443" s="99"/>
      <c r="P443" s="33" t="s">
        <v>1588</v>
      </c>
    </row>
    <row r="444" ht="30" customHeight="1" outlineLevel="1" spans="1:16">
      <c r="A444" s="159"/>
      <c r="B444" s="160"/>
      <c r="C444" s="161"/>
      <c r="D444" s="161"/>
      <c r="E444" s="160"/>
      <c r="F444" s="97" t="s">
        <v>2404</v>
      </c>
      <c r="G444" s="29" t="s">
        <v>2405</v>
      </c>
      <c r="H444" s="132" t="s">
        <v>2519</v>
      </c>
      <c r="I444" s="97" t="s">
        <v>609</v>
      </c>
      <c r="J444" s="29" t="str">
        <f>INDEX(数据元说明!A:F,MATCH(I444,数据元说明!C:C,0),2)</f>
        <v>003010</v>
      </c>
      <c r="K444" s="98" t="str">
        <f>INDEX(数据元说明!A:F,MATCH(I444,数据元说明!C:C,0),5)</f>
        <v>与币种相对应金额。</v>
      </c>
      <c r="L444" s="29" t="str">
        <f>INDEX(数据元说明!A:F,MATCH(I444,数据元说明!C:C,0),6)</f>
        <v>D20.2</v>
      </c>
      <c r="M444" s="217"/>
      <c r="P444" s="99"/>
    </row>
    <row r="445" ht="30" customHeight="1" outlineLevel="1" spans="1:16">
      <c r="A445" s="159"/>
      <c r="B445" s="160"/>
      <c r="C445" s="161"/>
      <c r="D445" s="161"/>
      <c r="E445" s="160"/>
      <c r="F445" s="97" t="s">
        <v>2407</v>
      </c>
      <c r="G445" s="29" t="s">
        <v>2408</v>
      </c>
      <c r="H445" s="132" t="s">
        <v>2520</v>
      </c>
      <c r="I445" s="97" t="s">
        <v>613</v>
      </c>
      <c r="J445" s="29" t="str">
        <f>INDEX(数据元说明!A:F,MATCH(I445,数据元说明!C:C,0),2)</f>
        <v>003011</v>
      </c>
      <c r="K445" s="98" t="str">
        <f>INDEX(数据元说明!A:F,MATCH(I445,数据元说明!C:C,0),5)</f>
        <v>与币种相对应金额。</v>
      </c>
      <c r="L445" s="29" t="str">
        <f>INDEX(数据元说明!A:F,MATCH(I445,数据元说明!C:C,0),6)</f>
        <v>D20.2</v>
      </c>
      <c r="M445" s="98" t="s">
        <v>2410</v>
      </c>
      <c r="P445" s="99"/>
    </row>
    <row r="446" s="81" customFormat="1" ht="30" customHeight="1" outlineLevel="1" spans="1:16">
      <c r="A446" s="167"/>
      <c r="B446" s="168"/>
      <c r="C446" s="176"/>
      <c r="D446" s="176"/>
      <c r="E446" s="168"/>
      <c r="F446" s="157" t="s">
        <v>2411</v>
      </c>
      <c r="G446" s="43" t="s">
        <v>2412</v>
      </c>
      <c r="H446" s="137" t="s">
        <v>2521</v>
      </c>
      <c r="I446" s="157" t="s">
        <v>697</v>
      </c>
      <c r="J446" s="43" t="str">
        <f>INDEX(数据元说明!A:F,MATCH(I446,数据元说明!C:C,0),2)</f>
        <v>003032</v>
      </c>
      <c r="K446" s="158" t="str">
        <f>INDEX(数据元说明!A:F,MATCH(I446,数据元说明!C:C,0),5)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446" s="43" t="str">
        <f>INDEX(数据元说明!A:F,MATCH(I446,数据元说明!C:C,0),6)</f>
        <v>C..60</v>
      </c>
      <c r="M446" s="158" t="s">
        <v>2522</v>
      </c>
      <c r="N446" s="221" t="s">
        <v>25</v>
      </c>
      <c r="O446" s="221" t="s">
        <v>449</v>
      </c>
      <c r="P446" s="221"/>
    </row>
    <row r="447" s="81" customFormat="1" ht="30" customHeight="1" outlineLevel="1" spans="1:16">
      <c r="A447" s="167"/>
      <c r="B447" s="168"/>
      <c r="C447" s="176"/>
      <c r="D447" s="176"/>
      <c r="E447" s="168"/>
      <c r="F447" s="157" t="s">
        <v>2415</v>
      </c>
      <c r="G447" s="43" t="s">
        <v>2416</v>
      </c>
      <c r="H447" s="137" t="s">
        <v>2523</v>
      </c>
      <c r="I447" s="157" t="s">
        <v>628</v>
      </c>
      <c r="J447" s="43" t="str">
        <f>INDEX(数据元说明!A:F,MATCH(I447,数据元说明!C:C,0),2)</f>
        <v>003015</v>
      </c>
      <c r="K447" s="158" t="str">
        <f>INDEX(数据元说明!A:F,MATCH(I447,数据元说明!C:C,0),5)</f>
        <v>账户归属者的名称。如果客户为个人，则为隐私，银行机构变形，变形规则见《采集技术接口说明》。客户是境内涉密机构的，账户名称填报为“*********”。其他情况，则为非隐私，不做变形。</v>
      </c>
      <c r="L447" s="43" t="str">
        <f>INDEX(数据元说明!A:F,MATCH(I447,数据元说明!C:C,0),6)</f>
        <v>C..400</v>
      </c>
      <c r="M447" s="158" t="s">
        <v>2418</v>
      </c>
      <c r="N447" s="139" t="s">
        <v>25</v>
      </c>
      <c r="O447" s="139" t="s">
        <v>1613</v>
      </c>
      <c r="P447" s="139"/>
    </row>
    <row r="448" s="81" customFormat="1" ht="30" customHeight="1" outlineLevel="1" spans="1:16">
      <c r="A448" s="167"/>
      <c r="B448" s="168"/>
      <c r="C448" s="176"/>
      <c r="D448" s="176"/>
      <c r="E448" s="168"/>
      <c r="F448" s="157" t="s">
        <v>2419</v>
      </c>
      <c r="G448" s="43" t="s">
        <v>2420</v>
      </c>
      <c r="H448" s="137" t="s">
        <v>2524</v>
      </c>
      <c r="I448" s="157" t="s">
        <v>325</v>
      </c>
      <c r="J448" s="43" t="str">
        <f>INDEX(数据元说明!A:F,MATCH(I448,数据元说明!C:C,0),2)</f>
        <v>001010</v>
      </c>
      <c r="K448" s="158" t="str">
        <f>INDEX(数据元说明!A:F,MATCH(I448,数据元说明!C:C,0),5)</f>
        <v>12位人行支付行号或SWIFT行号。</v>
      </c>
      <c r="L448" s="43" t="str">
        <f>INDEX(数据元说明!A:F,MATCH(I448,数据元说明!C:C,0),6)</f>
        <v>C..30</v>
      </c>
      <c r="M448" s="222" t="s">
        <v>2422</v>
      </c>
      <c r="N448" s="221" t="s">
        <v>25</v>
      </c>
      <c r="O448" s="221" t="s">
        <v>449</v>
      </c>
      <c r="P448" s="221"/>
    </row>
    <row r="449" s="81" customFormat="1" ht="30" customHeight="1" outlineLevel="1" spans="1:16">
      <c r="A449" s="167"/>
      <c r="B449" s="168"/>
      <c r="C449" s="176"/>
      <c r="D449" s="176"/>
      <c r="E449" s="168"/>
      <c r="F449" s="157" t="s">
        <v>2423</v>
      </c>
      <c r="G449" s="43" t="s">
        <v>2424</v>
      </c>
      <c r="H449" s="137" t="s">
        <v>2525</v>
      </c>
      <c r="I449" s="157" t="s">
        <v>282</v>
      </c>
      <c r="J449" s="43" t="str">
        <f>INDEX(数据元说明!A:F,MATCH(I449,数据元说明!C:C,0),2)</f>
        <v>001001</v>
      </c>
      <c r="K449" s="158" t="str">
        <f>INDEX(数据元说明!A:F,MATCH(I449,数据元说明!C:C,0),5)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449" s="43" t="str">
        <f>INDEX(数据元说明!A:F,MATCH(I449,数据元说明!C:C,0),6)</f>
        <v>C..400</v>
      </c>
      <c r="M449" s="222" t="s">
        <v>2426</v>
      </c>
      <c r="N449" s="221" t="s">
        <v>25</v>
      </c>
      <c r="O449" s="221" t="s">
        <v>1673</v>
      </c>
      <c r="P449" s="221"/>
    </row>
    <row r="450" s="81" customFormat="1" ht="30" customHeight="1" outlineLevel="1" spans="1:16">
      <c r="A450" s="141"/>
      <c r="B450" s="142"/>
      <c r="C450" s="39"/>
      <c r="D450" s="39"/>
      <c r="E450" s="47"/>
      <c r="F450" s="135" t="s">
        <v>718</v>
      </c>
      <c r="G450" s="136" t="s">
        <v>1779</v>
      </c>
      <c r="H450" s="137" t="s">
        <v>2526</v>
      </c>
      <c r="I450" s="135" t="s">
        <v>718</v>
      </c>
      <c r="J450" s="136" t="str">
        <f>INDEX(数据元说明!A:F,MATCH(I450,数据元说明!C:C,0),2)</f>
        <v>004005</v>
      </c>
      <c r="K450" s="138" t="str">
        <f>INDEX(数据元说明!A:F,MATCH(I450,数据元说明!C:C,0),5)</f>
        <v>银行自定义交易内容的简要描述。可以是转账凭证上的备注、附言。</v>
      </c>
      <c r="L450" s="136" t="str">
        <f>INDEX(数据元说明!A:F,MATCH(I450,数据元说明!C:C,0),6)</f>
        <v>C..400</v>
      </c>
      <c r="M450" s="138"/>
      <c r="N450" s="139" t="s">
        <v>25</v>
      </c>
      <c r="O450" s="139" t="s">
        <v>275</v>
      </c>
      <c r="P450" s="140" t="s">
        <v>1588</v>
      </c>
    </row>
    <row r="451" s="61" customFormat="1" ht="30" customHeight="1" outlineLevel="1" spans="1:16">
      <c r="A451" s="184"/>
      <c r="B451" s="185"/>
      <c r="C451" s="25"/>
      <c r="D451" s="25"/>
      <c r="E451" s="36"/>
      <c r="F451" s="131" t="s">
        <v>722</v>
      </c>
      <c r="G451" s="31" t="s">
        <v>2428</v>
      </c>
      <c r="H451" s="132" t="s">
        <v>2527</v>
      </c>
      <c r="I451" s="131" t="s">
        <v>722</v>
      </c>
      <c r="J451" s="31" t="str">
        <f>INDEX(数据元说明!A:F,MATCH(I451,数据元说明!C:C,0),2)</f>
        <v>004006</v>
      </c>
      <c r="K451" s="133" t="str">
        <f>INDEX(数据元说明!A:F,MATCH(I451,数据元说明!C:C,0),5)</f>
        <v>正常，冲补抹。</v>
      </c>
      <c r="L451" s="31" t="str">
        <f>INDEX(数据元说明!A:F,MATCH(I451,数据元说明!C:C,0),6)</f>
        <v>C..9</v>
      </c>
      <c r="M451" s="133" t="s">
        <v>2430</v>
      </c>
      <c r="N451" s="33" t="s">
        <v>25</v>
      </c>
      <c r="O451" s="99"/>
      <c r="P451" s="33" t="s">
        <v>1588</v>
      </c>
    </row>
    <row r="452" s="81" customFormat="1" ht="30" customHeight="1" outlineLevel="1" spans="1:16">
      <c r="A452" s="141"/>
      <c r="B452" s="142"/>
      <c r="C452" s="39"/>
      <c r="D452" s="39"/>
      <c r="E452" s="47"/>
      <c r="F452" s="135" t="s">
        <v>714</v>
      </c>
      <c r="G452" s="136" t="s">
        <v>2431</v>
      </c>
      <c r="H452" s="137" t="s">
        <v>2528</v>
      </c>
      <c r="I452" s="135" t="s">
        <v>714</v>
      </c>
      <c r="J452" s="136" t="str">
        <f>INDEX(数据元说明!A:F,MATCH(I452,数据元说明!C:C,0),2)</f>
        <v>004004</v>
      </c>
      <c r="K452" s="138" t="str">
        <f>INDEX(数据元说明!A:F,MATCH(I452,数据元说明!C:C,0),5)</f>
        <v>现，转。</v>
      </c>
      <c r="L452" s="136" t="str">
        <f>INDEX(数据元说明!A:F,MATCH(I452,数据元说明!C:C,0),6)</f>
        <v>C3</v>
      </c>
      <c r="M452" s="138" t="s">
        <v>2433</v>
      </c>
      <c r="N452" s="139" t="s">
        <v>25</v>
      </c>
      <c r="O452" s="139" t="s">
        <v>449</v>
      </c>
      <c r="P452" s="140"/>
    </row>
    <row r="453" s="81" customFormat="1" ht="30" customHeight="1" outlineLevel="1" spans="1:16">
      <c r="A453" s="141"/>
      <c r="B453" s="142"/>
      <c r="C453" s="39"/>
      <c r="D453" s="39"/>
      <c r="E453" s="47"/>
      <c r="F453" s="135" t="s">
        <v>2529</v>
      </c>
      <c r="G453" s="136" t="s">
        <v>2530</v>
      </c>
      <c r="H453" s="137" t="s">
        <v>2531</v>
      </c>
      <c r="I453" s="135" t="s">
        <v>287</v>
      </c>
      <c r="J453" s="136" t="str">
        <f>INDEX(数据元说明!A:F,MATCH(I453,数据元说明!C:C,0),2)</f>
        <v>001002</v>
      </c>
      <c r="K453" s="138" t="str">
        <f>INDEX(数据元说明!A:F,MATCH(I453,数据元说明!C:C,0),5)</f>
        <v>是，否。</v>
      </c>
      <c r="L453" s="136" t="str">
        <f>INDEX(数据元说明!A:F,MATCH(I453,数据元说明!C:C,0),6)</f>
        <v>C3</v>
      </c>
      <c r="M453" s="138"/>
      <c r="N453" s="140" t="s">
        <v>25</v>
      </c>
      <c r="O453" s="140" t="s">
        <v>1513</v>
      </c>
      <c r="P453" s="140"/>
    </row>
    <row r="454" s="81" customFormat="1" ht="30" customHeight="1" outlineLevel="1" spans="1:16">
      <c r="A454" s="141"/>
      <c r="B454" s="142"/>
      <c r="C454" s="39"/>
      <c r="D454" s="39"/>
      <c r="E454" s="47"/>
      <c r="F454" s="135" t="s">
        <v>710</v>
      </c>
      <c r="G454" s="136" t="s">
        <v>2434</v>
      </c>
      <c r="H454" s="137" t="s">
        <v>2532</v>
      </c>
      <c r="I454" s="135" t="s">
        <v>710</v>
      </c>
      <c r="J454" s="136" t="str">
        <f>INDEX(数据元说明!A:F,MATCH(I454,数据元说明!C:C,0),2)</f>
        <v>004003</v>
      </c>
      <c r="K454" s="138" t="str">
        <f>INDEX(数据元说明!A:F,MATCH(I454,数据元说明!C:C,0),5)</f>
        <v>柜面，ATM，VTM，POS，网银，手机银行，银联交易，三方支付-银行自定义，其他-银行自定义。交易类型为三方支付的，以“三方支付-XX”填报，其中“XX”为第三方支付平台名称。如无法以枚举类型填报，则以“其他-XX”填报，其中“XX”为银行自定义类型。</v>
      </c>
      <c r="L454" s="136" t="str">
        <f>INDEX(数据元说明!A:F,MATCH(I454,数据元说明!C:C,0),6)</f>
        <v>C..60</v>
      </c>
      <c r="M454" s="162" t="s">
        <v>2436</v>
      </c>
      <c r="N454" s="140" t="s">
        <v>25</v>
      </c>
      <c r="O454" s="139" t="s">
        <v>275</v>
      </c>
      <c r="P454" s="140" t="s">
        <v>1606</v>
      </c>
    </row>
    <row r="455" s="81" customFormat="1" ht="30" customHeight="1" outlineLevel="1" spans="1:16">
      <c r="A455" s="134"/>
      <c r="B455" s="47"/>
      <c r="C455" s="39"/>
      <c r="D455" s="39"/>
      <c r="E455" s="47"/>
      <c r="F455" s="135" t="s">
        <v>2443</v>
      </c>
      <c r="G455" s="136" t="s">
        <v>2444</v>
      </c>
      <c r="H455" s="137" t="s">
        <v>2533</v>
      </c>
      <c r="I455" s="135" t="s">
        <v>353</v>
      </c>
      <c r="J455" s="136" t="str">
        <f>INDEX(数据元说明!A:F,MATCH(I455,数据元说明!C:C,0),2)</f>
        <v>001017</v>
      </c>
      <c r="K455" s="138" t="str">
        <f>INDEX(数据元说明!A:F,MATCH(I455,数据元说明!C:C,0),5)</f>
        <v>姓名。</v>
      </c>
      <c r="L455" s="136" t="str">
        <f>INDEX(数据元说明!A:F,MATCH(I455,数据元说明!C:C,0),6)</f>
        <v>C..200</v>
      </c>
      <c r="M455" s="158" t="s">
        <v>2534</v>
      </c>
      <c r="N455" s="139" t="s">
        <v>25</v>
      </c>
      <c r="O455" s="139" t="s">
        <v>449</v>
      </c>
      <c r="P455" s="139"/>
    </row>
    <row r="456" s="61" customFormat="1" ht="30" customHeight="1" outlineLevel="1" spans="1:16">
      <c r="A456" s="130"/>
      <c r="B456" s="36"/>
      <c r="C456" s="25"/>
      <c r="D456" s="25"/>
      <c r="E456" s="36"/>
      <c r="F456" s="131" t="s">
        <v>2447</v>
      </c>
      <c r="G456" s="31" t="s">
        <v>2448</v>
      </c>
      <c r="H456" s="132" t="s">
        <v>2535</v>
      </c>
      <c r="I456" s="131" t="s">
        <v>457</v>
      </c>
      <c r="J456" s="31" t="str">
        <f>INDEX(数据元说明!A:F,MATCH(I456,数据元说明!C:C,0),2)</f>
        <v>002002</v>
      </c>
      <c r="K456" s="133" t="str">
        <f>INDEX(数据元说明!A:F,MATCH(I456,数据元说明!C:C,0),5)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456" s="31" t="str">
        <f>INDEX(数据元说明!A:F,MATCH(I456,数据元说明!C:C,0),6)</f>
        <v>C..60</v>
      </c>
      <c r="M456" s="133" t="s">
        <v>2450</v>
      </c>
      <c r="N456" s="33"/>
      <c r="O456" s="33"/>
      <c r="P456" s="33"/>
    </row>
    <row r="457" s="81" customFormat="1" ht="30" customHeight="1" outlineLevel="1" spans="1:16">
      <c r="A457" s="134"/>
      <c r="B457" s="47"/>
      <c r="C457" s="39"/>
      <c r="D457" s="39"/>
      <c r="E457" s="47"/>
      <c r="F457" s="135" t="s">
        <v>2451</v>
      </c>
      <c r="G457" s="136" t="s">
        <v>2452</v>
      </c>
      <c r="H457" s="137" t="s">
        <v>2536</v>
      </c>
      <c r="I457" s="135" t="s">
        <v>461</v>
      </c>
      <c r="J457" s="136" t="str">
        <f>INDEX(数据元说明!A:F,MATCH(I457,数据元说明!C:C,0),2)</f>
        <v>002003</v>
      </c>
      <c r="K457" s="138" t="str">
        <f>INDEX(数据元说明!A:F,MATCH(I457,数据元说明!C:C,0),5)</f>
        <v>与证件类别对应的证件号码。涉及个人身份证件时需按照本规范给定规则进行脱敏处理。</v>
      </c>
      <c r="L457" s="136" t="str">
        <f>INDEX(数据元说明!A:F,MATCH(I457,数据元说明!C:C,0),6)</f>
        <v>C..70</v>
      </c>
      <c r="M457" s="138" t="s">
        <v>2454</v>
      </c>
      <c r="N457" s="139" t="s">
        <v>25</v>
      </c>
      <c r="O457" s="139" t="s">
        <v>280</v>
      </c>
      <c r="P457" s="139"/>
    </row>
    <row r="458" s="61" customFormat="1" ht="30" customHeight="1" outlineLevel="1" spans="1:16">
      <c r="A458" s="184"/>
      <c r="B458" s="185"/>
      <c r="C458" s="25"/>
      <c r="D458" s="25"/>
      <c r="E458" s="36"/>
      <c r="F458" s="131" t="s">
        <v>2456</v>
      </c>
      <c r="G458" s="31" t="s">
        <v>2457</v>
      </c>
      <c r="H458" s="132" t="s">
        <v>2537</v>
      </c>
      <c r="I458" s="131" t="s">
        <v>368</v>
      </c>
      <c r="J458" s="31" t="str">
        <f>INDEX(数据元说明!A:F,MATCH(I458,数据元说明!C:C,0),2)</f>
        <v>001021</v>
      </c>
      <c r="K458" s="133" t="str">
        <f>INDEX(数据元说明!A:F,MATCH(I458,数据元说明!C:C,0),5)</f>
        <v>柜员编号，银行自定义。</v>
      </c>
      <c r="L458" s="31" t="str">
        <f>INDEX(数据元说明!A:F,MATCH(I458,数据元说明!C:C,0),6)</f>
        <v>C..30</v>
      </c>
      <c r="M458" s="163" t="s">
        <v>2151</v>
      </c>
      <c r="N458" s="99"/>
      <c r="O458" s="99"/>
      <c r="P458" s="99"/>
    </row>
    <row r="459" s="61" customFormat="1" ht="30" customHeight="1" outlineLevel="1" spans="1:16">
      <c r="A459" s="184"/>
      <c r="B459" s="185"/>
      <c r="C459" s="25"/>
      <c r="D459" s="25"/>
      <c r="E459" s="36"/>
      <c r="F459" s="131" t="s">
        <v>2459</v>
      </c>
      <c r="G459" s="31" t="s">
        <v>2460</v>
      </c>
      <c r="H459" s="132" t="s">
        <v>2538</v>
      </c>
      <c r="I459" s="131" t="s">
        <v>368</v>
      </c>
      <c r="J459" s="31" t="str">
        <f>INDEX(数据元说明!A:F,MATCH(I459,数据元说明!C:C,0),2)</f>
        <v>001021</v>
      </c>
      <c r="K459" s="133" t="str">
        <f>INDEX(数据元说明!A:F,MATCH(I459,数据元说明!C:C,0),5)</f>
        <v>柜员编号，银行自定义。</v>
      </c>
      <c r="L459" s="31" t="str">
        <f>INDEX(数据元说明!A:F,MATCH(I459,数据元说明!C:C,0),6)</f>
        <v>C..30</v>
      </c>
      <c r="M459" s="163" t="s">
        <v>2462</v>
      </c>
      <c r="N459" s="99"/>
      <c r="O459" s="99"/>
      <c r="P459" s="99"/>
    </row>
    <row r="460" s="82" customFormat="1" ht="71" outlineLevel="1" spans="1:16">
      <c r="A460" s="144"/>
      <c r="B460" s="145"/>
      <c r="C460" s="146"/>
      <c r="D460" s="146"/>
      <c r="E460" s="145"/>
      <c r="F460" s="147" t="s">
        <v>449</v>
      </c>
      <c r="G460" s="148" t="s">
        <v>1571</v>
      </c>
      <c r="H460" s="148" t="s">
        <v>2539</v>
      </c>
      <c r="I460" s="147" t="s">
        <v>449</v>
      </c>
      <c r="J460" s="148" t="str">
        <f>INDEX(数据元说明!A:F,MATCH(I460,数据元说明!C:C,0),2)</f>
        <v>001040</v>
      </c>
      <c r="K460" s="149" t="str">
        <f>INDEX(数据元说明!A:F,MATCH(I460,数据元说明!C:C,0),5)</f>
        <v>银行自定义。</v>
      </c>
      <c r="L460" s="148" t="str">
        <f>INDEX(数据元说明!A:F,MATCH(I460,数据元说明!C:C,0),6)</f>
        <v>C..600</v>
      </c>
      <c r="M460" s="149" t="s">
        <v>1573</v>
      </c>
      <c r="N460" s="143" t="s">
        <v>57</v>
      </c>
      <c r="O460" s="151"/>
      <c r="P460" s="151"/>
    </row>
    <row r="461" s="61" customFormat="1" ht="30" customHeight="1" outlineLevel="1" spans="1:16">
      <c r="A461" s="130"/>
      <c r="B461" s="36"/>
      <c r="C461" s="25"/>
      <c r="D461" s="25"/>
      <c r="E461" s="36"/>
      <c r="F461" s="131" t="s">
        <v>1574</v>
      </c>
      <c r="G461" s="31" t="s">
        <v>1575</v>
      </c>
      <c r="H461" s="132" t="s">
        <v>2540</v>
      </c>
      <c r="I461" s="131" t="s">
        <v>302</v>
      </c>
      <c r="J461" s="31" t="str">
        <f>INDEX(数据元说明!A:F,MATCH(I461,数据元说明!C:C,0),2)</f>
        <v>001005</v>
      </c>
      <c r="K461" s="133" t="str">
        <f>INDEX(数据元说明!A:F,MATCH(I461,数据元说明!C:C,0),5)</f>
        <v>YYYYMMDD，默认值99991231。</v>
      </c>
      <c r="L461" s="31" t="str">
        <f>INDEX(数据元说明!A:F,MATCH(I461,数据元说明!C:C,0),6)</f>
        <v>C8</v>
      </c>
      <c r="M461" s="133" t="s">
        <v>1577</v>
      </c>
      <c r="N461" s="99"/>
      <c r="O461" s="99"/>
      <c r="P461" s="99"/>
    </row>
    <row r="462" s="61" customFormat="1" ht="30" customHeight="1" spans="1:16">
      <c r="A462" s="165"/>
      <c r="B462" s="166"/>
      <c r="C462" s="19" t="s">
        <v>96</v>
      </c>
      <c r="D462" s="24" t="s">
        <v>97</v>
      </c>
      <c r="E462" s="126">
        <v>407</v>
      </c>
      <c r="F462" s="127"/>
      <c r="G462" s="126"/>
      <c r="H462" s="126"/>
      <c r="I462" s="127"/>
      <c r="J462" s="126"/>
      <c r="K462" s="152"/>
      <c r="L462" s="126"/>
      <c r="M462" s="128" t="str">
        <f>INDEX(表结构总览!E:H,MATCH(D462,表结构总览!E:E,0),4)</f>
        <v>指银行机构吸收的除个人以外的机构（包括企业、事业单位、机关、社会团体、同业机构等）开立的所有活期存款账户信息。报送范围：参照1104报表G01_III中[2.1.1单位活期存款]以及财政部门、金融机构（同业）活期存款填报。按照人行账户管理办法划分标准，包括所有对公类活期账户余额（含同业账户）。以活期存款账号为最小颗粒报送，如账户注销或终结，在报送该账户最终状态后的次月可不再报送。</v>
      </c>
      <c r="N462" s="129" t="s">
        <v>25</v>
      </c>
      <c r="O462" s="129" t="s">
        <v>449</v>
      </c>
      <c r="P462" s="33"/>
    </row>
    <row r="463" ht="30" customHeight="1" outlineLevel="1" spans="1:16">
      <c r="E463" s="94"/>
      <c r="F463" s="97" t="s">
        <v>325</v>
      </c>
      <c r="G463" s="29" t="s">
        <v>1520</v>
      </c>
      <c r="H463" s="96" t="s">
        <v>2541</v>
      </c>
      <c r="I463" s="97" t="s">
        <v>325</v>
      </c>
      <c r="J463" s="29" t="str">
        <f>INDEX(数据元说明!A:F,MATCH(I463,数据元说明!C:C,0),2)</f>
        <v>001010</v>
      </c>
      <c r="K463" s="98" t="str">
        <f>INDEX(数据元说明!A:F,MATCH(I463,数据元说明!C:C,0),5)</f>
        <v>12位人行支付行号或SWIFT行号。</v>
      </c>
      <c r="L463" s="29" t="str">
        <f>INDEX(数据元说明!A:F,MATCH(I463,数据元说明!C:C,0),6)</f>
        <v>C..30</v>
      </c>
      <c r="M463" s="98" t="s">
        <v>2318</v>
      </c>
      <c r="P463" s="99"/>
    </row>
    <row r="464" s="81" customFormat="1" ht="30" customHeight="1" outlineLevel="1" spans="1:16">
      <c r="A464" s="134"/>
      <c r="B464" s="47"/>
      <c r="C464" s="39"/>
      <c r="D464" s="39"/>
      <c r="E464" s="47"/>
      <c r="F464" s="135" t="s">
        <v>329</v>
      </c>
      <c r="G464" s="136" t="s">
        <v>1526</v>
      </c>
      <c r="H464" s="153" t="s">
        <v>2542</v>
      </c>
      <c r="I464" s="135" t="s">
        <v>329</v>
      </c>
      <c r="J464" s="136" t="str">
        <f>INDEX(数据元说明!A:F,MATCH(I464,数据元说明!C:C,0),2)</f>
        <v>001011</v>
      </c>
      <c r="K464" s="138" t="str">
        <f>INDEX(数据元说明!A:F,MATCH(I464,数据元说明!C:C,0),5)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64" s="136" t="str">
        <f>INDEX(数据元说明!A:F,MATCH(I464,数据元说明!C:C,0),6)</f>
        <v>C..30</v>
      </c>
      <c r="M464" s="138" t="s">
        <v>2320</v>
      </c>
      <c r="N464" s="129" t="s">
        <v>25</v>
      </c>
      <c r="O464" s="129" t="s">
        <v>449</v>
      </c>
      <c r="P464" s="139"/>
    </row>
    <row r="465" ht="30" customHeight="1" outlineLevel="1" spans="1:16">
      <c r="A465" s="159"/>
      <c r="B465" s="160"/>
      <c r="E465" s="94"/>
      <c r="F465" s="97" t="s">
        <v>333</v>
      </c>
      <c r="G465" s="29" t="s">
        <v>1523</v>
      </c>
      <c r="H465" s="96" t="s">
        <v>2543</v>
      </c>
      <c r="I465" s="97" t="s">
        <v>333</v>
      </c>
      <c r="J465" s="29" t="str">
        <f>INDEX(数据元说明!A:F,MATCH(I465,数据元说明!C:C,0),2)</f>
        <v>001012</v>
      </c>
      <c r="K465" s="98" t="str">
        <f>INDEX(数据元说明!A:F,MATCH(I465,数据元说明!C:C,0),5)</f>
        <v>银行内部机构号。应具有标识机构的唯一性。</v>
      </c>
      <c r="L465" s="29" t="str">
        <f>INDEX(数据元说明!A:F,MATCH(I465,数据元说明!C:C,0),6)</f>
        <v>C..30</v>
      </c>
      <c r="M465" s="98" t="s">
        <v>2322</v>
      </c>
      <c r="P465" s="99"/>
    </row>
    <row r="466" ht="30" customHeight="1" outlineLevel="1" spans="1:16">
      <c r="A466" s="159"/>
      <c r="B466" s="160"/>
      <c r="E466" s="94"/>
      <c r="F466" s="157" t="s">
        <v>1532</v>
      </c>
      <c r="G466" s="43" t="s">
        <v>1533</v>
      </c>
      <c r="H466" s="153" t="s">
        <v>2544</v>
      </c>
      <c r="I466" s="157" t="s">
        <v>282</v>
      </c>
      <c r="J466" s="43" t="str">
        <f>INDEX(数据元说明!A:F,MATCH(I466,数据元说明!C:C,0),2)</f>
        <v>001001</v>
      </c>
      <c r="K466" s="158" t="str">
        <f>INDEX(数据元说明!A:F,MATCH(I466,数据元说明!C:C,0),5)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466" s="43" t="str">
        <f>INDEX(数据元说明!A:F,MATCH(I466,数据元说明!C:C,0),6)</f>
        <v>C..400</v>
      </c>
      <c r="M466" s="158" t="s">
        <v>2324</v>
      </c>
      <c r="N466" s="139" t="s">
        <v>25</v>
      </c>
      <c r="O466" s="139" t="s">
        <v>280</v>
      </c>
      <c r="P466" s="140" t="s">
        <v>1588</v>
      </c>
    </row>
    <row r="467" s="81" customFormat="1" ht="30" customHeight="1" outlineLevel="1" spans="1:16">
      <c r="A467" s="167"/>
      <c r="B467" s="168"/>
      <c r="C467" s="156"/>
      <c r="D467" s="156"/>
      <c r="E467" s="155"/>
      <c r="F467" s="157" t="s">
        <v>2325</v>
      </c>
      <c r="G467" s="43" t="s">
        <v>2326</v>
      </c>
      <c r="H467" s="153" t="s">
        <v>2545</v>
      </c>
      <c r="I467" s="135" t="s">
        <v>574</v>
      </c>
      <c r="J467" s="43" t="str">
        <f>INDEX(数据元说明!A:F,MATCH(I467,数据元说明!C:C,0),2)</f>
        <v>003002</v>
      </c>
      <c r="K467" s="158" t="str">
        <f>INDEX(数据元说明!A:F,MATCH(I467,数据元说明!C:C,0),5)</f>
        <v>机构实际使用的总账会计科目编码。</v>
      </c>
      <c r="L467" s="43" t="str">
        <f>INDEX(数据元说明!A:F,MATCH(I467,数据元说明!C:C,0),6)</f>
        <v>C..200</v>
      </c>
      <c r="M467" s="138" t="s">
        <v>2328</v>
      </c>
      <c r="N467" s="139" t="s">
        <v>25</v>
      </c>
      <c r="O467" s="139" t="s">
        <v>1516</v>
      </c>
      <c r="P467" s="140"/>
    </row>
    <row r="468" s="81" customFormat="1" ht="30" customHeight="1" outlineLevel="1" spans="1:16">
      <c r="A468" s="167"/>
      <c r="B468" s="168"/>
      <c r="C468" s="156"/>
      <c r="D468" s="156"/>
      <c r="E468" s="155"/>
      <c r="F468" s="157" t="s">
        <v>2329</v>
      </c>
      <c r="G468" s="43" t="s">
        <v>2330</v>
      </c>
      <c r="H468" s="153" t="s">
        <v>2546</v>
      </c>
      <c r="I468" s="135" t="s">
        <v>578</v>
      </c>
      <c r="J468" s="43" t="str">
        <f>INDEX(数据元说明!A:F,MATCH(I468,数据元说明!C:C,0),2)</f>
        <v>003003</v>
      </c>
      <c r="K468" s="158" t="str">
        <f>INDEX(数据元说明!A:F,MATCH(I468,数据元说明!C:C,0),5)</f>
        <v>机构实际使用的总账会计科目编码对应的名称。</v>
      </c>
      <c r="L468" s="43" t="str">
        <f>INDEX(数据元说明!A:F,MATCH(I468,数据元说明!C:C,0),6)</f>
        <v>C..200</v>
      </c>
      <c r="M468" s="138" t="s">
        <v>2328</v>
      </c>
      <c r="N468" s="139" t="s">
        <v>25</v>
      </c>
      <c r="O468" s="139" t="s">
        <v>449</v>
      </c>
      <c r="P468" s="140"/>
    </row>
    <row r="469" s="61" customFormat="1" ht="30" customHeight="1" outlineLevel="1" spans="1:16">
      <c r="A469" s="159"/>
      <c r="B469" s="160"/>
      <c r="C469" s="95"/>
      <c r="D469" s="95"/>
      <c r="E469" s="94"/>
      <c r="F469" s="97" t="s">
        <v>453</v>
      </c>
      <c r="G469" s="29" t="s">
        <v>1680</v>
      </c>
      <c r="H469" s="96" t="s">
        <v>2547</v>
      </c>
      <c r="I469" s="97" t="s">
        <v>453</v>
      </c>
      <c r="J469" s="29" t="str">
        <f>INDEX(数据元说明!A:F,MATCH(I469,数据元说明!C:C,0),2)</f>
        <v>002001</v>
      </c>
      <c r="K469" s="98" t="str">
        <f>INDEX(数据元说明!A:F,MATCH(I469,数据元说明!C:C,0),5)</f>
        <v>银行自定义的唯一识别客户的标识。供应链融资的填写供应链融资编码。</v>
      </c>
      <c r="L469" s="29" t="str">
        <f>INDEX(数据元说明!A:F,MATCH(I469,数据元说明!C:C,0),6)</f>
        <v>C..60</v>
      </c>
      <c r="M469" s="98" t="s">
        <v>2548</v>
      </c>
      <c r="N469" s="33" t="s">
        <v>25</v>
      </c>
      <c r="O469" s="99"/>
      <c r="P469" s="33" t="s">
        <v>1588</v>
      </c>
    </row>
    <row r="470" s="81" customFormat="1" ht="30" customHeight="1" outlineLevel="1" spans="1:16">
      <c r="A470" s="167"/>
      <c r="B470" s="168"/>
      <c r="C470" s="156"/>
      <c r="D470" s="156"/>
      <c r="E470" s="155"/>
      <c r="F470" s="157" t="s">
        <v>628</v>
      </c>
      <c r="G470" s="43" t="s">
        <v>2334</v>
      </c>
      <c r="H470" s="153" t="s">
        <v>2549</v>
      </c>
      <c r="I470" s="157" t="s">
        <v>628</v>
      </c>
      <c r="J470" s="43" t="str">
        <f>INDEX(数据元说明!A:F,MATCH(I470,数据元说明!C:C,0),2)</f>
        <v>003015</v>
      </c>
      <c r="K470" s="158" t="str">
        <f>INDEX(数据元说明!A:F,MATCH(I470,数据元说明!C:C,0),5)</f>
        <v>账户归属者的名称。如果客户为个人，则为隐私，银行机构变形，变形规则见《采集技术接口说明》。客户是境内涉密机构的，账户名称填报为“*********”。其他情况，则为非隐私，不做变形。</v>
      </c>
      <c r="L470" s="43" t="str">
        <f>INDEX(数据元说明!A:F,MATCH(I470,数据元说明!C:C,0),6)</f>
        <v>C..400</v>
      </c>
      <c r="M470" s="158"/>
      <c r="N470" s="139" t="s">
        <v>25</v>
      </c>
      <c r="O470" s="139" t="s">
        <v>449</v>
      </c>
      <c r="P470" s="140"/>
    </row>
    <row r="471" s="61" customFormat="1" ht="30" customHeight="1" outlineLevel="1" spans="1:16">
      <c r="A471" s="159"/>
      <c r="B471" s="160"/>
      <c r="C471" s="95"/>
      <c r="D471" s="95"/>
      <c r="E471" s="94"/>
      <c r="F471" s="97" t="s">
        <v>2131</v>
      </c>
      <c r="G471" s="29" t="s">
        <v>2132</v>
      </c>
      <c r="H471" s="96" t="s">
        <v>2550</v>
      </c>
      <c r="I471" s="97" t="s">
        <v>570</v>
      </c>
      <c r="J471" s="29" t="str">
        <f>INDEX(数据元说明!A:F,MATCH(I471,数据元说明!C:C,0),2)</f>
        <v>003001</v>
      </c>
      <c r="K471" s="98" t="str">
        <f>INDEX(数据元说明!A:F,MATCH(I471,数据元说明!C:C,0),5)</f>
        <v>系统内最细一级的账号，无唯一性约束，不需要和序号、子序号等做拼接。</v>
      </c>
      <c r="L471" s="29" t="str">
        <f>INDEX(数据元说明!A:F,MATCH(I471,数据元说明!C:C,0),6)</f>
        <v>C..60</v>
      </c>
      <c r="M471" s="98" t="s">
        <v>1525</v>
      </c>
      <c r="N471" s="33" t="s">
        <v>25</v>
      </c>
      <c r="O471" s="99"/>
      <c r="P471" s="33" t="s">
        <v>1588</v>
      </c>
    </row>
    <row r="472" ht="60" customHeight="1" outlineLevel="1" spans="1:16">
      <c r="A472" s="159"/>
      <c r="B472" s="160"/>
      <c r="E472" s="94"/>
      <c r="F472" s="97" t="s">
        <v>652</v>
      </c>
      <c r="G472" s="29" t="s">
        <v>2551</v>
      </c>
      <c r="H472" s="96" t="s">
        <v>2552</v>
      </c>
      <c r="I472" s="97" t="s">
        <v>652</v>
      </c>
      <c r="J472" s="29" t="str">
        <f>INDEX(数据元说明!A:F,MATCH(I472,数据元说明!C:C,0),2)</f>
        <v>003021</v>
      </c>
      <c r="K472" s="98" t="str">
        <f>INDEX(数据元说明!A:F,MATCH(I472,数据元说明!C:C,0),5)</f>
        <v>人民币：基本户，一般户，专用户，临时户，临时户（验资注册），临时户（验资增资），待核准账户，人民币保证金账户，同业存款账户，委贷基金账户。
外币：依据国家外汇管理局《境内外汇账户管理规定》（银发［1997］416号）中规定的类型填报，如“经常项目-外汇结算账户”，“资本项目-外汇资本金账户”等。
无法以枚举类型填报的，以“其他-XX”填报，其中“XX”为银行自定义类型。</v>
      </c>
      <c r="L472" s="29" t="str">
        <f>INDEX(数据元说明!A:F,MATCH(I472,数据元说明!C:C,0),6)</f>
        <v>C..60</v>
      </c>
      <c r="P472" s="99"/>
    </row>
    <row r="473" ht="30" customHeight="1" outlineLevel="1" spans="1:16">
      <c r="A473" s="159"/>
      <c r="B473" s="160"/>
      <c r="E473" s="94"/>
      <c r="F473" s="97" t="s">
        <v>2340</v>
      </c>
      <c r="G473" s="29" t="s">
        <v>2341</v>
      </c>
      <c r="H473" s="96" t="s">
        <v>2553</v>
      </c>
      <c r="I473" s="97" t="s">
        <v>287</v>
      </c>
      <c r="J473" s="29" t="str">
        <f>INDEX(数据元说明!A:F,MATCH(I473,数据元说明!C:C,0),2)</f>
        <v>001002</v>
      </c>
      <c r="K473" s="98" t="str">
        <f>INDEX(数据元说明!A:F,MATCH(I473,数据元说明!C:C,0),5)</f>
        <v>是，否。</v>
      </c>
      <c r="L473" s="29" t="str">
        <f>INDEX(数据元说明!A:F,MATCH(I473,数据元说明!C:C,0),6)</f>
        <v>C3</v>
      </c>
      <c r="P473" s="99"/>
    </row>
    <row r="474" ht="30" customHeight="1" outlineLevel="1" spans="1:16">
      <c r="A474" s="159"/>
      <c r="B474" s="160"/>
      <c r="E474" s="94"/>
      <c r="F474" s="97" t="s">
        <v>660</v>
      </c>
      <c r="G474" s="29" t="s">
        <v>2343</v>
      </c>
      <c r="H474" s="96" t="s">
        <v>2554</v>
      </c>
      <c r="I474" s="97" t="s">
        <v>660</v>
      </c>
      <c r="J474" s="29" t="str">
        <f>INDEX(数据元说明!A:F,MATCH(I474,数据元说明!C:C,0),2)</f>
        <v>003023</v>
      </c>
      <c r="K474" s="98" t="str">
        <f>INDEX(数据元说明!A:F,MATCH(I474,数据元说明!C:C,0),5)</f>
        <v>百分比为单位，即%，如4.5%填报为4.5。</v>
      </c>
      <c r="L474" s="29" t="str">
        <f>INDEX(数据元说明!A:F,MATCH(I474,数据元说明!C:C,0),6)</f>
        <v>D10.4</v>
      </c>
      <c r="P474" s="99"/>
    </row>
    <row r="475" s="61" customFormat="1" ht="30" customHeight="1" outlineLevel="1" spans="1:16">
      <c r="A475" s="159"/>
      <c r="B475" s="160"/>
      <c r="C475" s="95"/>
      <c r="D475" s="95"/>
      <c r="E475" s="94"/>
      <c r="F475" s="97" t="s">
        <v>624</v>
      </c>
      <c r="G475" s="29" t="s">
        <v>1989</v>
      </c>
      <c r="H475" s="96" t="s">
        <v>2555</v>
      </c>
      <c r="I475" s="97" t="s">
        <v>624</v>
      </c>
      <c r="J475" s="29" t="str">
        <f>INDEX(数据元说明!A:F,MATCH(I475,数据元说明!C:C,0),2)</f>
        <v>003014</v>
      </c>
      <c r="K475" s="98" t="str">
        <f>INDEX(数据元说明!A:F,MATCH(I475,数据元说明!C:C,0),5)</f>
        <v>遵循《GB/T 12406 表示货币和资金的代码》的字母代码，如CNY。上述文件所列币种无法涵盖的，允许银行自定义填报。多个币种合计折算为人民币（本外币合计）的，填报为BWB。</v>
      </c>
      <c r="L475" s="29" t="str">
        <f>INDEX(数据元说明!A:F,MATCH(I475,数据元说明!C:C,0),6)</f>
        <v>C3</v>
      </c>
      <c r="M475" s="98" t="s">
        <v>1525</v>
      </c>
      <c r="N475" s="33" t="s">
        <v>25</v>
      </c>
      <c r="O475" s="99"/>
      <c r="P475" s="33" t="s">
        <v>1588</v>
      </c>
    </row>
    <row r="476" ht="30" customHeight="1" outlineLevel="1" spans="1:16">
      <c r="A476" s="159"/>
      <c r="B476" s="160"/>
      <c r="E476" s="94"/>
      <c r="F476" s="97" t="s">
        <v>2346</v>
      </c>
      <c r="G476" s="29" t="s">
        <v>2347</v>
      </c>
      <c r="H476" s="96" t="s">
        <v>2556</v>
      </c>
      <c r="I476" s="97" t="s">
        <v>613</v>
      </c>
      <c r="J476" s="29" t="str">
        <f>INDEX(数据元说明!A:F,MATCH(I476,数据元说明!C:C,0),2)</f>
        <v>003011</v>
      </c>
      <c r="K476" s="98" t="str">
        <f>INDEX(数据元说明!A:F,MATCH(I476,数据元说明!C:C,0),5)</f>
        <v>与币种相对应金额。</v>
      </c>
      <c r="L476" s="29" t="str">
        <f>INDEX(数据元说明!A:F,MATCH(I476,数据元说明!C:C,0),6)</f>
        <v>D20.2</v>
      </c>
      <c r="M476" s="98" t="s">
        <v>2349</v>
      </c>
      <c r="P476" s="99"/>
    </row>
    <row r="477" s="81" customFormat="1" ht="30" customHeight="1" outlineLevel="1" spans="1:16">
      <c r="A477" s="167"/>
      <c r="B477" s="168"/>
      <c r="C477" s="156"/>
      <c r="D477" s="156"/>
      <c r="E477" s="155"/>
      <c r="F477" s="157" t="s">
        <v>2350</v>
      </c>
      <c r="G477" s="43" t="s">
        <v>2351</v>
      </c>
      <c r="H477" s="153" t="s">
        <v>2557</v>
      </c>
      <c r="I477" s="157" t="s">
        <v>302</v>
      </c>
      <c r="J477" s="43" t="str">
        <f>INDEX(数据元说明!A:F,MATCH(I477,数据元说明!C:C,0),2)</f>
        <v>001005</v>
      </c>
      <c r="K477" s="158" t="str">
        <f>INDEX(数据元说明!A:F,MATCH(I477,数据元说明!C:C,0),5)</f>
        <v>YYYYMMDD，默认值99991231。</v>
      </c>
      <c r="L477" s="43" t="str">
        <f>INDEX(数据元说明!A:F,MATCH(I477,数据元说明!C:C,0),6)</f>
        <v>C8</v>
      </c>
      <c r="M477" s="138" t="s">
        <v>2353</v>
      </c>
      <c r="N477" s="139" t="s">
        <v>25</v>
      </c>
      <c r="O477" s="140"/>
      <c r="P477" s="139" t="s">
        <v>1606</v>
      </c>
    </row>
    <row r="478" ht="30" customHeight="1" outlineLevel="1" spans="1:16">
      <c r="A478" s="159"/>
      <c r="B478" s="160"/>
      <c r="C478" s="161"/>
      <c r="D478" s="161"/>
      <c r="E478" s="160"/>
      <c r="F478" s="97" t="s">
        <v>2354</v>
      </c>
      <c r="G478" s="29" t="s">
        <v>2355</v>
      </c>
      <c r="H478" s="96" t="s">
        <v>2558</v>
      </c>
      <c r="I478" s="97" t="s">
        <v>368</v>
      </c>
      <c r="J478" s="29" t="str">
        <f>INDEX(数据元说明!A:F,MATCH(I478,数据元说明!C:C,0),2)</f>
        <v>001021</v>
      </c>
      <c r="K478" s="98" t="str">
        <f>INDEX(数据元说明!A:F,MATCH(I478,数据元说明!C:C,0),5)</f>
        <v>柜员编号，银行自定义。</v>
      </c>
      <c r="L478" s="29" t="str">
        <f>INDEX(数据元说明!A:F,MATCH(I478,数据元说明!C:C,0),6)</f>
        <v>C..30</v>
      </c>
      <c r="M478" s="163" t="s">
        <v>2151</v>
      </c>
      <c r="P478" s="99"/>
    </row>
    <row r="479" s="81" customFormat="1" ht="30" customHeight="1" outlineLevel="1" spans="1:16">
      <c r="A479" s="167"/>
      <c r="B479" s="168"/>
      <c r="C479" s="156"/>
      <c r="D479" s="156"/>
      <c r="E479" s="155"/>
      <c r="F479" s="157" t="s">
        <v>2360</v>
      </c>
      <c r="G479" s="43" t="s">
        <v>2361</v>
      </c>
      <c r="H479" s="153" t="s">
        <v>2559</v>
      </c>
      <c r="I479" s="157" t="s">
        <v>302</v>
      </c>
      <c r="J479" s="43" t="str">
        <f>INDEX(数据元说明!A:F,MATCH(I479,数据元说明!C:C,0),2)</f>
        <v>001005</v>
      </c>
      <c r="K479" s="158" t="str">
        <f>INDEX(数据元说明!A:F,MATCH(I479,数据元说明!C:C,0),5)</f>
        <v>YYYYMMDD，默认值99991231。</v>
      </c>
      <c r="L479" s="43" t="str">
        <f>INDEX(数据元说明!A:F,MATCH(I479,数据元说明!C:C,0),6)</f>
        <v>C8</v>
      </c>
      <c r="M479" s="138" t="s">
        <v>2363</v>
      </c>
      <c r="N479" s="139" t="s">
        <v>25</v>
      </c>
      <c r="O479" s="140"/>
      <c r="P479" s="139" t="s">
        <v>1606</v>
      </c>
    </row>
    <row r="480" ht="30" customHeight="1" outlineLevel="1" spans="1:16">
      <c r="A480" s="159"/>
      <c r="B480" s="160"/>
      <c r="E480" s="94"/>
      <c r="F480" s="97" t="s">
        <v>2357</v>
      </c>
      <c r="G480" s="29" t="s">
        <v>2358</v>
      </c>
      <c r="H480" s="96" t="s">
        <v>2560</v>
      </c>
      <c r="I480" s="97" t="s">
        <v>302</v>
      </c>
      <c r="J480" s="29" t="str">
        <f>INDEX(数据元说明!A:F,MATCH(I480,数据元说明!C:C,0),2)</f>
        <v>001005</v>
      </c>
      <c r="K480" s="98" t="str">
        <f>INDEX(数据元说明!A:F,MATCH(I480,数据元说明!C:C,0),5)</f>
        <v>YYYYMMDD，默认值99991231。</v>
      </c>
      <c r="L480" s="29" t="str">
        <f>INDEX(数据元说明!A:F,MATCH(I480,数据元说明!C:C,0),6)</f>
        <v>C8</v>
      </c>
      <c r="P480" s="99"/>
    </row>
    <row r="481" ht="30" customHeight="1" outlineLevel="1" spans="1:16">
      <c r="A481" s="159"/>
      <c r="B481" s="160"/>
      <c r="E481" s="94"/>
      <c r="F481" s="97" t="s">
        <v>640</v>
      </c>
      <c r="G481" s="29" t="s">
        <v>2364</v>
      </c>
      <c r="H481" s="96" t="s">
        <v>2561</v>
      </c>
      <c r="I481" s="97" t="s">
        <v>640</v>
      </c>
      <c r="J481" s="29" t="str">
        <f>INDEX(数据元说明!A:F,MATCH(I481,数据元说明!C:C,0),2)</f>
        <v>003018</v>
      </c>
      <c r="K481" s="98" t="str">
        <f>INDEX(数据元说明!A:F,MATCH(I481,数据元说明!C:C,0),5)</f>
        <v>人民币，钞，汇，可钞可汇等。</v>
      </c>
      <c r="L481" s="29" t="str">
        <f>INDEX(数据元说明!A:F,MATCH(I481,数据元说明!C:C,0),6)</f>
        <v>C..12</v>
      </c>
      <c r="M481" s="98" t="s">
        <v>1525</v>
      </c>
      <c r="P481" s="99"/>
    </row>
    <row r="482" s="81" customFormat="1" ht="30" customHeight="1" outlineLevel="1" spans="1:16">
      <c r="A482" s="167"/>
      <c r="B482" s="168"/>
      <c r="C482" s="156"/>
      <c r="D482" s="156"/>
      <c r="E482" s="155"/>
      <c r="F482" s="157" t="s">
        <v>636</v>
      </c>
      <c r="G482" s="43" t="s">
        <v>2366</v>
      </c>
      <c r="H482" s="153" t="s">
        <v>2562</v>
      </c>
      <c r="I482" s="157" t="s">
        <v>636</v>
      </c>
      <c r="J482" s="43" t="str">
        <f>INDEX(数据元说明!A:F,MATCH(I482,数据元说明!C:C,0),2)</f>
        <v>003017</v>
      </c>
      <c r="K482" s="158" t="str">
        <f>INDEX(数据元说明!A:F,MATCH(I482,数据元说明!C:C,0),5)</f>
        <v>正常，预销户，销户，逾期，冻结，止付，已转让，其他-银行自定义。无法以枚举类型填报的，以“其他-XX”填报，其中“XX”为银行自定义类型。</v>
      </c>
      <c r="L482" s="43" t="str">
        <f>INDEX(数据元说明!A:F,MATCH(I482,数据元说明!C:C,0),6)</f>
        <v>C..30</v>
      </c>
      <c r="M482" s="138"/>
      <c r="N482" s="140" t="s">
        <v>25</v>
      </c>
      <c r="O482" s="139" t="s">
        <v>275</v>
      </c>
      <c r="P482" s="140" t="s">
        <v>1606</v>
      </c>
    </row>
    <row r="483" s="82" customFormat="1" ht="71" outlineLevel="1" spans="1:16">
      <c r="A483" s="144"/>
      <c r="B483" s="145"/>
      <c r="C483" s="146"/>
      <c r="D483" s="146"/>
      <c r="E483" s="145"/>
      <c r="F483" s="147" t="s">
        <v>449</v>
      </c>
      <c r="G483" s="148" t="s">
        <v>1571</v>
      </c>
      <c r="H483" s="148" t="s">
        <v>2563</v>
      </c>
      <c r="I483" s="147" t="s">
        <v>449</v>
      </c>
      <c r="J483" s="148" t="str">
        <f>INDEX(数据元说明!A:F,MATCH(I483,数据元说明!C:C,0),2)</f>
        <v>001040</v>
      </c>
      <c r="K483" s="149" t="str">
        <f>INDEX(数据元说明!A:F,MATCH(I483,数据元说明!C:C,0),5)</f>
        <v>银行自定义。</v>
      </c>
      <c r="L483" s="148" t="str">
        <f>INDEX(数据元说明!A:F,MATCH(I483,数据元说明!C:C,0),6)</f>
        <v>C..600</v>
      </c>
      <c r="M483" s="149" t="s">
        <v>1573</v>
      </c>
      <c r="N483" s="143" t="s">
        <v>57</v>
      </c>
      <c r="O483" s="151"/>
      <c r="P483" s="151"/>
    </row>
    <row r="484" ht="30" customHeight="1" outlineLevel="1" spans="1:16">
      <c r="E484" s="94"/>
      <c r="F484" s="97" t="s">
        <v>1574</v>
      </c>
      <c r="G484" s="29" t="s">
        <v>1575</v>
      </c>
      <c r="H484" s="96" t="s">
        <v>2564</v>
      </c>
      <c r="I484" s="97" t="s">
        <v>302</v>
      </c>
      <c r="J484" s="29" t="str">
        <f>INDEX(数据元说明!A:F,MATCH(I484,数据元说明!C:C,0),2)</f>
        <v>001005</v>
      </c>
      <c r="K484" s="98" t="str">
        <f>INDEX(数据元说明!A:F,MATCH(I484,数据元说明!C:C,0),5)</f>
        <v>YYYYMMDD，默认值99991231。</v>
      </c>
      <c r="L484" s="29" t="str">
        <f>INDEX(数据元说明!A:F,MATCH(I484,数据元说明!C:C,0),6)</f>
        <v>C8</v>
      </c>
      <c r="M484" s="98" t="s">
        <v>1577</v>
      </c>
      <c r="P484" s="99"/>
    </row>
    <row r="485" s="61" customFormat="1" ht="30" customHeight="1" spans="1:16">
      <c r="A485" s="165"/>
      <c r="B485" s="166"/>
      <c r="C485" s="19" t="s">
        <v>99</v>
      </c>
      <c r="D485" s="24" t="s">
        <v>100</v>
      </c>
      <c r="E485" s="126">
        <v>408</v>
      </c>
      <c r="F485" s="127"/>
      <c r="G485" s="126"/>
      <c r="H485" s="126"/>
      <c r="I485" s="127"/>
      <c r="J485" s="126"/>
      <c r="K485" s="152"/>
      <c r="L485" s="126"/>
      <c r="M485" s="128" t="str">
        <f>INDEX(表结构总览!E:H,MATCH(D485,表结构总览!E:E,0),4)</f>
        <v>所有影响对公活期存款账户余额变动的交易信息，不包括查询交易。不包括计息和扣利息税记录。</v>
      </c>
      <c r="N485" s="139" t="s">
        <v>25</v>
      </c>
      <c r="O485" s="33"/>
      <c r="P485" s="33"/>
    </row>
    <row r="486" s="87" customFormat="1" ht="30" customHeight="1" spans="1:16">
      <c r="A486" s="141"/>
      <c r="B486" s="142"/>
      <c r="C486" s="39"/>
      <c r="D486" s="40"/>
      <c r="E486" s="47"/>
      <c r="F486" s="135" t="s">
        <v>702</v>
      </c>
      <c r="G486" s="136" t="s">
        <v>2370</v>
      </c>
      <c r="H486" s="137" t="s">
        <v>2565</v>
      </c>
      <c r="I486" s="135" t="s">
        <v>702</v>
      </c>
      <c r="J486" s="136" t="str">
        <f>INDEX(数据元说明!A:F,MATCH(I486,数据元说明!C:C,0),2)</f>
        <v>004001</v>
      </c>
      <c r="K486" s="138" t="str">
        <f>INDEX(数据元说明!A:F,MATCH(I486,数据元说明!C:C,0),5)</f>
        <v>唯一标识该笔交易的编号，银行自定义。可以是业务编号，也可以是交易系统中使用的时间戳，如：时间戳(纳秒)：1530027865231834600。</v>
      </c>
      <c r="L486" s="136" t="str">
        <f>INDEX(数据元说明!A:F,MATCH(I486,数据元说明!C:C,0),6)</f>
        <v>C..100</v>
      </c>
      <c r="M486" s="138" t="s">
        <v>1587</v>
      </c>
      <c r="N486" s="143" t="s">
        <v>57</v>
      </c>
      <c r="O486" s="221"/>
      <c r="P486" s="140"/>
    </row>
    <row r="487" ht="30" customHeight="1" outlineLevel="1" spans="1:16">
      <c r="A487" s="159"/>
      <c r="B487" s="160"/>
      <c r="C487" s="161"/>
      <c r="D487" s="161"/>
      <c r="E487" s="160"/>
      <c r="F487" s="97" t="s">
        <v>325</v>
      </c>
      <c r="G487" s="29" t="s">
        <v>1520</v>
      </c>
      <c r="H487" s="132" t="s">
        <v>2566</v>
      </c>
      <c r="I487" s="97" t="s">
        <v>325</v>
      </c>
      <c r="J487" s="29" t="str">
        <f>INDEX(数据元说明!A:F,MATCH(I487,数据元说明!C:C,0),2)</f>
        <v>001010</v>
      </c>
      <c r="K487" s="98" t="str">
        <f>INDEX(数据元说明!A:F,MATCH(I487,数据元说明!C:C,0),5)</f>
        <v>12位人行支付行号或SWIFT行号。</v>
      </c>
      <c r="L487" s="29" t="str">
        <f>INDEX(数据元说明!A:F,MATCH(I487,数据元说明!C:C,0),6)</f>
        <v>C..30</v>
      </c>
      <c r="M487" s="98" t="s">
        <v>2318</v>
      </c>
      <c r="P487" s="99"/>
    </row>
    <row r="488" s="81" customFormat="1" ht="30" customHeight="1" outlineLevel="1" spans="1:16">
      <c r="A488" s="134"/>
      <c r="B488" s="47"/>
      <c r="C488" s="39"/>
      <c r="D488" s="39"/>
      <c r="E488" s="47"/>
      <c r="F488" s="135" t="s">
        <v>329</v>
      </c>
      <c r="G488" s="136" t="s">
        <v>1526</v>
      </c>
      <c r="H488" s="137" t="s">
        <v>2567</v>
      </c>
      <c r="I488" s="135" t="s">
        <v>329</v>
      </c>
      <c r="J488" s="136" t="str">
        <f>INDEX(数据元说明!A:F,MATCH(I488,数据元说明!C:C,0),2)</f>
        <v>001011</v>
      </c>
      <c r="K488" s="138" t="str">
        <f>INDEX(数据元说明!A:F,MATCH(I488,数据元说明!C:C,0),5)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488" s="136" t="str">
        <f>INDEX(数据元说明!A:F,MATCH(I488,数据元说明!C:C,0),6)</f>
        <v>C..30</v>
      </c>
      <c r="M488" s="138" t="s">
        <v>2320</v>
      </c>
      <c r="N488" s="129" t="s">
        <v>25</v>
      </c>
      <c r="O488" s="129" t="s">
        <v>449</v>
      </c>
      <c r="P488" s="139"/>
    </row>
    <row r="489" ht="30" customHeight="1" outlineLevel="1" spans="1:16">
      <c r="A489" s="159"/>
      <c r="B489" s="160"/>
      <c r="E489" s="94"/>
      <c r="F489" s="97" t="s">
        <v>333</v>
      </c>
      <c r="G489" s="29" t="s">
        <v>1523</v>
      </c>
      <c r="H489" s="132" t="s">
        <v>2568</v>
      </c>
      <c r="I489" s="97" t="s">
        <v>333</v>
      </c>
      <c r="J489" s="29" t="str">
        <f>INDEX(数据元说明!A:F,MATCH(I489,数据元说明!C:C,0),2)</f>
        <v>001012</v>
      </c>
      <c r="K489" s="98" t="str">
        <f>INDEX(数据元说明!A:F,MATCH(I489,数据元说明!C:C,0),5)</f>
        <v>银行内部机构号。应具有标识机构的唯一性。</v>
      </c>
      <c r="L489" s="29" t="str">
        <f>INDEX(数据元说明!A:F,MATCH(I489,数据元说明!C:C,0),6)</f>
        <v>C..30</v>
      </c>
      <c r="M489" s="98" t="s">
        <v>2322</v>
      </c>
      <c r="P489" s="99"/>
    </row>
    <row r="490" s="61" customFormat="1" ht="30" customHeight="1" outlineLevel="1" spans="1:16">
      <c r="A490" s="159"/>
      <c r="B490" s="160"/>
      <c r="C490" s="95"/>
      <c r="D490" s="95"/>
      <c r="E490" s="94"/>
      <c r="F490" s="97" t="s">
        <v>2375</v>
      </c>
      <c r="G490" s="29" t="s">
        <v>2376</v>
      </c>
      <c r="H490" s="132" t="s">
        <v>2569</v>
      </c>
      <c r="I490" s="97" t="s">
        <v>333</v>
      </c>
      <c r="J490" s="29" t="str">
        <f>INDEX(数据元说明!A:F,MATCH(I490,数据元说明!C:C,0),2)</f>
        <v>001012</v>
      </c>
      <c r="K490" s="98" t="str">
        <f>INDEX(数据元说明!A:F,MATCH(I490,数据元说明!C:C,0),5)</f>
        <v>银行内部机构号。应具有标识机构的唯一性。</v>
      </c>
      <c r="L490" s="29" t="str">
        <f>INDEX(数据元说明!A:F,MATCH(I490,数据元说明!C:C,0),6)</f>
        <v>C..30</v>
      </c>
      <c r="M490" s="133" t="s">
        <v>2378</v>
      </c>
      <c r="N490" s="99"/>
      <c r="O490" s="99"/>
      <c r="P490" s="99"/>
    </row>
    <row r="491" ht="30" customHeight="1" outlineLevel="1" spans="1:16">
      <c r="A491" s="159"/>
      <c r="B491" s="160"/>
      <c r="C491" s="161"/>
      <c r="D491" s="161"/>
      <c r="E491" s="160"/>
      <c r="F491" s="157" t="s">
        <v>1532</v>
      </c>
      <c r="G491" s="43" t="s">
        <v>1533</v>
      </c>
      <c r="H491" s="137" t="s">
        <v>2570</v>
      </c>
      <c r="I491" s="157" t="s">
        <v>282</v>
      </c>
      <c r="J491" s="43" t="str">
        <f>INDEX(数据元说明!A:F,MATCH(I491,数据元说明!C:C,0),2)</f>
        <v>001001</v>
      </c>
      <c r="K491" s="158" t="str">
        <f>INDEX(数据元说明!A:F,MATCH(I491,数据元说明!C:C,0),5)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491" s="43" t="str">
        <f>INDEX(数据元说明!A:F,MATCH(I491,数据元说明!C:C,0),6)</f>
        <v>C..400</v>
      </c>
      <c r="M491" s="158" t="s">
        <v>2324</v>
      </c>
      <c r="N491" s="139" t="s">
        <v>25</v>
      </c>
      <c r="O491" s="139" t="s">
        <v>280</v>
      </c>
      <c r="P491" s="140" t="s">
        <v>1588</v>
      </c>
    </row>
    <row r="492" s="81" customFormat="1" ht="30" customHeight="1" outlineLevel="1" spans="1:16">
      <c r="A492" s="167"/>
      <c r="B492" s="168"/>
      <c r="C492" s="176"/>
      <c r="D492" s="176"/>
      <c r="E492" s="168"/>
      <c r="F492" s="157" t="s">
        <v>2325</v>
      </c>
      <c r="G492" s="43" t="s">
        <v>2326</v>
      </c>
      <c r="H492" s="137" t="s">
        <v>2571</v>
      </c>
      <c r="I492" s="135" t="s">
        <v>574</v>
      </c>
      <c r="J492" s="43" t="str">
        <f>INDEX(数据元说明!A:F,MATCH(I492,数据元说明!C:C,0),2)</f>
        <v>003002</v>
      </c>
      <c r="K492" s="158" t="str">
        <f>INDEX(数据元说明!A:F,MATCH(I492,数据元说明!C:C,0),5)</f>
        <v>机构实际使用的总账会计科目编码。</v>
      </c>
      <c r="L492" s="43" t="str">
        <f>INDEX(数据元说明!A:F,MATCH(I492,数据元说明!C:C,0),6)</f>
        <v>C..200</v>
      </c>
      <c r="M492" s="138" t="s">
        <v>2328</v>
      </c>
      <c r="N492" s="139" t="s">
        <v>25</v>
      </c>
      <c r="O492" s="139" t="s">
        <v>1516</v>
      </c>
      <c r="P492" s="221"/>
    </row>
    <row r="493" s="81" customFormat="1" ht="30" customHeight="1" outlineLevel="1" spans="1:16">
      <c r="A493" s="167"/>
      <c r="B493" s="168"/>
      <c r="C493" s="176"/>
      <c r="D493" s="176"/>
      <c r="E493" s="168"/>
      <c r="F493" s="157" t="s">
        <v>2329</v>
      </c>
      <c r="G493" s="43" t="s">
        <v>2330</v>
      </c>
      <c r="H493" s="137" t="s">
        <v>2572</v>
      </c>
      <c r="I493" s="135" t="s">
        <v>578</v>
      </c>
      <c r="J493" s="43" t="str">
        <f>INDEX(数据元说明!A:F,MATCH(I493,数据元说明!C:C,0),2)</f>
        <v>003003</v>
      </c>
      <c r="K493" s="158" t="str">
        <f>INDEX(数据元说明!A:F,MATCH(I493,数据元说明!C:C,0),5)</f>
        <v>机构实际使用的总账会计科目编码对应的名称。</v>
      </c>
      <c r="L493" s="43" t="str">
        <f>INDEX(数据元说明!A:F,MATCH(I493,数据元说明!C:C,0),6)</f>
        <v>C..200</v>
      </c>
      <c r="M493" s="138" t="s">
        <v>2328</v>
      </c>
      <c r="N493" s="139" t="s">
        <v>25</v>
      </c>
      <c r="O493" s="139" t="s">
        <v>449</v>
      </c>
      <c r="P493" s="140"/>
    </row>
    <row r="494" s="61" customFormat="1" ht="30" customHeight="1" outlineLevel="1" spans="1:16">
      <c r="A494" s="159"/>
      <c r="B494" s="160"/>
      <c r="C494" s="161"/>
      <c r="D494" s="161"/>
      <c r="E494" s="160"/>
      <c r="F494" s="97" t="s">
        <v>453</v>
      </c>
      <c r="G494" s="29" t="s">
        <v>1680</v>
      </c>
      <c r="H494" s="132" t="s">
        <v>2573</v>
      </c>
      <c r="I494" s="97" t="s">
        <v>453</v>
      </c>
      <c r="J494" s="29" t="str">
        <f>INDEX(数据元说明!A:F,MATCH(I494,数据元说明!C:C,0),2)</f>
        <v>002001</v>
      </c>
      <c r="K494" s="98" t="str">
        <f>INDEX(数据元说明!A:F,MATCH(I494,数据元说明!C:C,0),5)</f>
        <v>银行自定义的唯一识别客户的标识。供应链融资的填写供应链融资编码。</v>
      </c>
      <c r="L494" s="29" t="str">
        <f>INDEX(数据元说明!A:F,MATCH(I494,数据元说明!C:C,0),6)</f>
        <v>C..60</v>
      </c>
      <c r="M494" s="98" t="s">
        <v>2548</v>
      </c>
      <c r="N494" s="33" t="s">
        <v>25</v>
      </c>
      <c r="O494" s="99"/>
      <c r="P494" s="33" t="s">
        <v>1588</v>
      </c>
    </row>
    <row r="495" s="81" customFormat="1" ht="30" customHeight="1" outlineLevel="1" spans="1:16">
      <c r="A495" s="167"/>
      <c r="B495" s="168"/>
      <c r="C495" s="176"/>
      <c r="D495" s="176"/>
      <c r="E495" s="168"/>
      <c r="F495" s="157" t="s">
        <v>628</v>
      </c>
      <c r="G495" s="43" t="s">
        <v>2334</v>
      </c>
      <c r="H495" s="137" t="s">
        <v>2574</v>
      </c>
      <c r="I495" s="157" t="s">
        <v>628</v>
      </c>
      <c r="J495" s="43" t="str">
        <f>INDEX(数据元说明!A:F,MATCH(I495,数据元说明!C:C,0),2)</f>
        <v>003015</v>
      </c>
      <c r="K495" s="158" t="str">
        <f>INDEX(数据元说明!A:F,MATCH(I495,数据元说明!C:C,0),5)</f>
        <v>账户归属者的名称。如果客户为个人，则为隐私，银行机构变形，变形规则见《采集技术接口说明》。客户是境内涉密机构的，账户名称填报为“*********”。其他情况，则为非隐私，不做变形。</v>
      </c>
      <c r="L495" s="43" t="str">
        <f>INDEX(数据元说明!A:F,MATCH(I495,数据元说明!C:C,0),6)</f>
        <v>C..400</v>
      </c>
      <c r="M495" s="158"/>
      <c r="N495" s="139" t="s">
        <v>25</v>
      </c>
      <c r="O495" s="139" t="s">
        <v>449</v>
      </c>
      <c r="P495" s="140" t="s">
        <v>1588</v>
      </c>
    </row>
    <row r="496" s="61" customFormat="1" ht="30" customHeight="1" outlineLevel="1" spans="1:16">
      <c r="A496" s="159"/>
      <c r="B496" s="160"/>
      <c r="C496" s="161"/>
      <c r="D496" s="161"/>
      <c r="E496" s="160"/>
      <c r="F496" s="97" t="s">
        <v>2131</v>
      </c>
      <c r="G496" s="29" t="s">
        <v>2132</v>
      </c>
      <c r="H496" s="132" t="s">
        <v>2575</v>
      </c>
      <c r="I496" s="97" t="s">
        <v>570</v>
      </c>
      <c r="J496" s="29" t="str">
        <f>INDEX(数据元说明!A:F,MATCH(I496,数据元说明!C:C,0),2)</f>
        <v>003001</v>
      </c>
      <c r="K496" s="98" t="str">
        <f>INDEX(数据元说明!A:F,MATCH(I496,数据元说明!C:C,0),5)</f>
        <v>系统内最细一级的账号，无唯一性约束，不需要和序号、子序号等做拼接。</v>
      </c>
      <c r="L496" s="29" t="str">
        <f>INDEX(数据元说明!A:F,MATCH(I496,数据元说明!C:C,0),6)</f>
        <v>C..60</v>
      </c>
      <c r="M496" s="217" t="s">
        <v>2576</v>
      </c>
      <c r="N496" s="33" t="s">
        <v>25</v>
      </c>
      <c r="O496" s="99"/>
      <c r="P496" s="33" t="s">
        <v>1588</v>
      </c>
    </row>
    <row r="497" s="61" customFormat="1" ht="30" customHeight="1" outlineLevel="1" spans="1:16">
      <c r="A497" s="184"/>
      <c r="B497" s="185"/>
      <c r="C497" s="186"/>
      <c r="D497" s="186"/>
      <c r="E497" s="185"/>
      <c r="F497" s="131" t="s">
        <v>697</v>
      </c>
      <c r="G497" s="31" t="s">
        <v>2389</v>
      </c>
      <c r="H497" s="132" t="s">
        <v>2577</v>
      </c>
      <c r="I497" s="131" t="s">
        <v>697</v>
      </c>
      <c r="J497" s="31" t="str">
        <f>INDEX(数据元说明!A:F,MATCH(I497,数据元说明!C:C,0),2)</f>
        <v>003032</v>
      </c>
      <c r="K497" s="133" t="str">
        <f>INDEX(数据元说明!A:F,MATCH(I497,数据元说明!C:C,0),5)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497" s="31" t="str">
        <f>INDEX(数据元说明!A:F,MATCH(I497,数据元说明!C:C,0),6)</f>
        <v>C..60</v>
      </c>
      <c r="M497" s="163"/>
      <c r="N497" s="33" t="s">
        <v>25</v>
      </c>
      <c r="O497" s="99"/>
      <c r="P497" s="33" t="s">
        <v>1588</v>
      </c>
    </row>
    <row r="498" s="81" customFormat="1" ht="30" customHeight="1" outlineLevel="1" spans="1:16">
      <c r="A498" s="167"/>
      <c r="B498" s="168"/>
      <c r="C498" s="176"/>
      <c r="D498" s="176"/>
      <c r="E498" s="168"/>
      <c r="F498" s="157" t="s">
        <v>706</v>
      </c>
      <c r="G498" s="43" t="s">
        <v>2391</v>
      </c>
      <c r="H498" s="137" t="s">
        <v>2578</v>
      </c>
      <c r="I498" s="157" t="s">
        <v>706</v>
      </c>
      <c r="J498" s="43" t="str">
        <f>INDEX(数据元说明!A:F,MATCH(I498,数据元说明!C:C,0),2)</f>
        <v>004002</v>
      </c>
      <c r="K498" s="158" t="str">
        <f>INDEX(数据元说明!A:F,MATCH(I498,数据元说明!C:C,0),5)</f>
        <v>转账，取现，存现，消费，代发，代扣，代缴，结息，批量交易，贷款发放，还款-还本，还款-还息，银证业务，投资理财，其他-银行自定义类型。无法以枚举类型填报的，以“其他-XX”报送，其中“XX”为银行自定义类型。</v>
      </c>
      <c r="L498" s="43" t="str">
        <f>INDEX(数据元说明!A:F,MATCH(I498,数据元说明!C:C,0),6)</f>
        <v>C..60</v>
      </c>
      <c r="M498" s="162"/>
      <c r="N498" s="187" t="s">
        <v>25</v>
      </c>
      <c r="O498" s="187" t="s">
        <v>275</v>
      </c>
      <c r="P498" s="140"/>
    </row>
    <row r="499" s="81" customFormat="1" ht="30" customHeight="1" outlineLevel="1" spans="1:16">
      <c r="A499" s="141"/>
      <c r="B499" s="142"/>
      <c r="C499" s="39"/>
      <c r="D499" s="39"/>
      <c r="E499" s="47"/>
      <c r="F499" s="135" t="s">
        <v>693</v>
      </c>
      <c r="G499" s="136" t="s">
        <v>2393</v>
      </c>
      <c r="H499" s="137" t="s">
        <v>2579</v>
      </c>
      <c r="I499" s="135" t="s">
        <v>693</v>
      </c>
      <c r="J499" s="136" t="str">
        <f>INDEX(数据元说明!A:F,MATCH(I499,数据元说明!C:C,0),2)</f>
        <v>003031</v>
      </c>
      <c r="K499" s="138" t="str">
        <f>INDEX(数据元说明!A:F,MATCH(I499,数据元说明!C:C,0),5)</f>
        <v>借，贷。</v>
      </c>
      <c r="L499" s="136" t="str">
        <f>INDEX(数据元说明!A:F,MATCH(I499,数据元说明!C:C,0),6)</f>
        <v>C3</v>
      </c>
      <c r="M499" s="138"/>
      <c r="N499" s="139" t="s">
        <v>25</v>
      </c>
      <c r="O499" s="139" t="s">
        <v>280</v>
      </c>
      <c r="P499" s="140" t="s">
        <v>1588</v>
      </c>
    </row>
    <row r="500" s="61" customFormat="1" ht="30" customHeight="1" outlineLevel="1" spans="1:16">
      <c r="A500" s="159"/>
      <c r="B500" s="160"/>
      <c r="C500" s="161"/>
      <c r="D500" s="161"/>
      <c r="E500" s="160"/>
      <c r="F500" s="97" t="s">
        <v>2395</v>
      </c>
      <c r="G500" s="29" t="s">
        <v>2396</v>
      </c>
      <c r="H500" s="132" t="s">
        <v>2580</v>
      </c>
      <c r="I500" s="97" t="s">
        <v>302</v>
      </c>
      <c r="J500" s="29" t="str">
        <f>INDEX(数据元说明!A:F,MATCH(I500,数据元说明!C:C,0),2)</f>
        <v>001005</v>
      </c>
      <c r="K500" s="98" t="str">
        <f>INDEX(数据元说明!A:F,MATCH(I500,数据元说明!C:C,0),5)</f>
        <v>YYYYMMDD，默认值99991231。</v>
      </c>
      <c r="L500" s="29" t="str">
        <f>INDEX(数据元说明!A:F,MATCH(I500,数据元说明!C:C,0),6)</f>
        <v>C8</v>
      </c>
      <c r="M500" s="98" t="s">
        <v>2398</v>
      </c>
      <c r="N500" s="220"/>
      <c r="O500" s="220"/>
      <c r="P500" s="220"/>
    </row>
    <row r="501" s="61" customFormat="1" ht="30" customHeight="1" outlineLevel="1" spans="1:16">
      <c r="A501" s="159"/>
      <c r="B501" s="160"/>
      <c r="C501" s="161"/>
      <c r="D501" s="161"/>
      <c r="E501" s="160"/>
      <c r="F501" s="97" t="s">
        <v>2399</v>
      </c>
      <c r="G501" s="29" t="s">
        <v>2400</v>
      </c>
      <c r="H501" s="132" t="s">
        <v>2581</v>
      </c>
      <c r="I501" s="97" t="s">
        <v>312</v>
      </c>
      <c r="J501" s="29" t="str">
        <f>INDEX(数据元说明!A:F,MATCH(I501,数据元说明!C:C,0),2)</f>
        <v>001007</v>
      </c>
      <c r="K501" s="98" t="str">
        <f>INDEX(数据元说明!A:F,MATCH(I501,数据元说明!C:C,0),5)</f>
        <v>24小时制时间，精确到秒。hhmmss，默认值000000。</v>
      </c>
      <c r="L501" s="29" t="str">
        <f>INDEX(数据元说明!A:F,MATCH(I501,数据元说明!C:C,0),6)</f>
        <v>C6</v>
      </c>
      <c r="M501" s="98" t="s">
        <v>2402</v>
      </c>
      <c r="N501" s="220"/>
      <c r="O501" s="220"/>
      <c r="P501" s="220"/>
    </row>
    <row r="502" s="61" customFormat="1" ht="30" customHeight="1" outlineLevel="1" spans="1:16">
      <c r="A502" s="159"/>
      <c r="B502" s="160"/>
      <c r="C502" s="95"/>
      <c r="D502" s="95"/>
      <c r="E502" s="94"/>
      <c r="F502" s="97" t="s">
        <v>624</v>
      </c>
      <c r="G502" s="29" t="s">
        <v>1989</v>
      </c>
      <c r="H502" s="132" t="s">
        <v>2582</v>
      </c>
      <c r="I502" s="97" t="s">
        <v>624</v>
      </c>
      <c r="J502" s="29" t="str">
        <f>INDEX(数据元说明!A:F,MATCH(I502,数据元说明!C:C,0),2)</f>
        <v>003014</v>
      </c>
      <c r="K502" s="98" t="str">
        <f>INDEX(数据元说明!A:F,MATCH(I502,数据元说明!C:C,0),5)</f>
        <v>遵循《GB/T 12406 表示货币和资金的代码》的字母代码，如CNY。上述文件所列币种无法涵盖的，允许银行自定义填报。多个币种合计折算为人民币（本外币合计）的，填报为BWB。</v>
      </c>
      <c r="L502" s="29" t="str">
        <f>INDEX(数据元说明!A:F,MATCH(I502,数据元说明!C:C,0),6)</f>
        <v>C3</v>
      </c>
      <c r="M502" s="98"/>
      <c r="N502" s="33" t="s">
        <v>25</v>
      </c>
      <c r="O502" s="99"/>
      <c r="P502" s="33" t="s">
        <v>1588</v>
      </c>
    </row>
    <row r="503" ht="30" customHeight="1" outlineLevel="1" spans="1:16">
      <c r="A503" s="159"/>
      <c r="B503" s="160"/>
      <c r="C503" s="161"/>
      <c r="D503" s="161"/>
      <c r="E503" s="160"/>
      <c r="F503" s="97" t="s">
        <v>2404</v>
      </c>
      <c r="G503" s="29" t="s">
        <v>2405</v>
      </c>
      <c r="H503" s="132" t="s">
        <v>2583</v>
      </c>
      <c r="I503" s="97" t="s">
        <v>609</v>
      </c>
      <c r="J503" s="29" t="str">
        <f>INDEX(数据元说明!A:F,MATCH(I503,数据元说明!C:C,0),2)</f>
        <v>003010</v>
      </c>
      <c r="K503" s="98" t="str">
        <f>INDEX(数据元说明!A:F,MATCH(I503,数据元说明!C:C,0),5)</f>
        <v>与币种相对应金额。</v>
      </c>
      <c r="L503" s="29" t="str">
        <f>INDEX(数据元说明!A:F,MATCH(I503,数据元说明!C:C,0),6)</f>
        <v>D20.2</v>
      </c>
      <c r="M503" s="217"/>
      <c r="P503" s="99"/>
    </row>
    <row r="504" ht="30" customHeight="1" outlineLevel="1" spans="1:16">
      <c r="A504" s="159"/>
      <c r="B504" s="160"/>
      <c r="C504" s="161"/>
      <c r="D504" s="161"/>
      <c r="E504" s="160"/>
      <c r="F504" s="97" t="s">
        <v>2407</v>
      </c>
      <c r="G504" s="29" t="s">
        <v>2408</v>
      </c>
      <c r="H504" s="132" t="s">
        <v>2584</v>
      </c>
      <c r="I504" s="97" t="s">
        <v>613</v>
      </c>
      <c r="J504" s="29" t="str">
        <f>INDEX(数据元说明!A:F,MATCH(I504,数据元说明!C:C,0),2)</f>
        <v>003011</v>
      </c>
      <c r="K504" s="98" t="str">
        <f>INDEX(数据元说明!A:F,MATCH(I504,数据元说明!C:C,0),5)</f>
        <v>与币种相对应金额。</v>
      </c>
      <c r="L504" s="29" t="str">
        <f>INDEX(数据元说明!A:F,MATCH(I504,数据元说明!C:C,0),6)</f>
        <v>D20.2</v>
      </c>
      <c r="M504" s="98" t="s">
        <v>2410</v>
      </c>
      <c r="P504" s="99"/>
    </row>
    <row r="505" s="81" customFormat="1" ht="30" customHeight="1" outlineLevel="1" spans="1:16">
      <c r="A505" s="167"/>
      <c r="B505" s="168"/>
      <c r="C505" s="176"/>
      <c r="D505" s="176"/>
      <c r="E505" s="168"/>
      <c r="F505" s="157" t="s">
        <v>2411</v>
      </c>
      <c r="G505" s="43" t="s">
        <v>2412</v>
      </c>
      <c r="H505" s="137" t="s">
        <v>2585</v>
      </c>
      <c r="I505" s="157" t="s">
        <v>697</v>
      </c>
      <c r="J505" s="43" t="str">
        <f>INDEX(数据元说明!A:F,MATCH(I505,数据元说明!C:C,0),2)</f>
        <v>003032</v>
      </c>
      <c r="K505" s="158" t="str">
        <f>INDEX(数据元说明!A:F,MATCH(I505,数据元说明!C:C,0),5)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505" s="43" t="str">
        <f>INDEX(数据元说明!A:F,MATCH(I505,数据元说明!C:C,0),6)</f>
        <v>C..60</v>
      </c>
      <c r="M505" s="158" t="s">
        <v>2522</v>
      </c>
      <c r="N505" s="221" t="s">
        <v>25</v>
      </c>
      <c r="O505" s="221" t="s">
        <v>449</v>
      </c>
      <c r="P505" s="221"/>
    </row>
    <row r="506" s="81" customFormat="1" ht="30" customHeight="1" outlineLevel="1" spans="1:16">
      <c r="A506" s="167"/>
      <c r="B506" s="168"/>
      <c r="C506" s="176"/>
      <c r="D506" s="176"/>
      <c r="E506" s="168"/>
      <c r="F506" s="157" t="s">
        <v>2415</v>
      </c>
      <c r="G506" s="43" t="s">
        <v>2416</v>
      </c>
      <c r="H506" s="137" t="s">
        <v>2586</v>
      </c>
      <c r="I506" s="157" t="s">
        <v>628</v>
      </c>
      <c r="J506" s="43" t="str">
        <f>INDEX(数据元说明!A:F,MATCH(I506,数据元说明!C:C,0),2)</f>
        <v>003015</v>
      </c>
      <c r="K506" s="158" t="str">
        <f>INDEX(数据元说明!A:F,MATCH(I506,数据元说明!C:C,0),5)</f>
        <v>账户归属者的名称。如果客户为个人，则为隐私，银行机构变形，变形规则见《采集技术接口说明》。客户是境内涉密机构的，账户名称填报为“*********”。其他情况，则为非隐私，不做变形。</v>
      </c>
      <c r="L506" s="43" t="str">
        <f>INDEX(数据元说明!A:F,MATCH(I506,数据元说明!C:C,0),6)</f>
        <v>C..400</v>
      </c>
      <c r="M506" s="158"/>
      <c r="N506" s="139" t="s">
        <v>25</v>
      </c>
      <c r="O506" s="139" t="s">
        <v>449</v>
      </c>
      <c r="P506" s="139"/>
    </row>
    <row r="507" s="81" customFormat="1" ht="30" customHeight="1" outlineLevel="1" spans="1:16">
      <c r="A507" s="167"/>
      <c r="B507" s="168"/>
      <c r="C507" s="176"/>
      <c r="D507" s="176"/>
      <c r="E507" s="168"/>
      <c r="F507" s="157" t="s">
        <v>2419</v>
      </c>
      <c r="G507" s="43" t="s">
        <v>2420</v>
      </c>
      <c r="H507" s="137" t="s">
        <v>2587</v>
      </c>
      <c r="I507" s="157" t="s">
        <v>325</v>
      </c>
      <c r="J507" s="43" t="str">
        <f>INDEX(数据元说明!A:F,MATCH(I507,数据元说明!C:C,0),2)</f>
        <v>001010</v>
      </c>
      <c r="K507" s="158" t="str">
        <f>INDEX(数据元说明!A:F,MATCH(I507,数据元说明!C:C,0),5)</f>
        <v>12位人行支付行号或SWIFT行号。</v>
      </c>
      <c r="L507" s="43" t="str">
        <f>INDEX(数据元说明!A:F,MATCH(I507,数据元说明!C:C,0),6)</f>
        <v>C..30</v>
      </c>
      <c r="M507" s="222" t="s">
        <v>2422</v>
      </c>
      <c r="N507" s="221" t="s">
        <v>25</v>
      </c>
      <c r="O507" s="221" t="s">
        <v>449</v>
      </c>
      <c r="P507" s="221"/>
    </row>
    <row r="508" s="81" customFormat="1" ht="30" customHeight="1" outlineLevel="1" spans="1:16">
      <c r="A508" s="167"/>
      <c r="B508" s="168"/>
      <c r="C508" s="176"/>
      <c r="D508" s="176"/>
      <c r="E508" s="168"/>
      <c r="F508" s="157" t="s">
        <v>2423</v>
      </c>
      <c r="G508" s="43" t="s">
        <v>2424</v>
      </c>
      <c r="H508" s="137" t="s">
        <v>2588</v>
      </c>
      <c r="I508" s="157" t="s">
        <v>282</v>
      </c>
      <c r="J508" s="43" t="str">
        <f>INDEX(数据元说明!A:F,MATCH(I508,数据元说明!C:C,0),2)</f>
        <v>001001</v>
      </c>
      <c r="K508" s="158" t="str">
        <f>INDEX(数据元说明!A:F,MATCH(I508,数据元说明!C:C,0),5)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508" s="43" t="str">
        <f>INDEX(数据元说明!A:F,MATCH(I508,数据元说明!C:C,0),6)</f>
        <v>C..400</v>
      </c>
      <c r="M508" s="222" t="s">
        <v>2426</v>
      </c>
      <c r="N508" s="221" t="s">
        <v>25</v>
      </c>
      <c r="O508" s="221" t="s">
        <v>1673</v>
      </c>
      <c r="P508" s="221"/>
    </row>
    <row r="509" s="81" customFormat="1" ht="30" customHeight="1" outlineLevel="1" spans="1:16">
      <c r="A509" s="141"/>
      <c r="B509" s="142"/>
      <c r="C509" s="39"/>
      <c r="D509" s="39"/>
      <c r="E509" s="47"/>
      <c r="F509" s="135" t="s">
        <v>718</v>
      </c>
      <c r="G509" s="136" t="s">
        <v>1779</v>
      </c>
      <c r="H509" s="137" t="s">
        <v>2589</v>
      </c>
      <c r="I509" s="135" t="s">
        <v>718</v>
      </c>
      <c r="J509" s="136" t="str">
        <f>INDEX(数据元说明!A:F,MATCH(I509,数据元说明!C:C,0),2)</f>
        <v>004005</v>
      </c>
      <c r="K509" s="138" t="str">
        <f>INDEX(数据元说明!A:F,MATCH(I509,数据元说明!C:C,0),5)</f>
        <v>银行自定义交易内容的简要描述。可以是转账凭证上的备注、附言。</v>
      </c>
      <c r="L509" s="136" t="str">
        <f>INDEX(数据元说明!A:F,MATCH(I509,数据元说明!C:C,0),6)</f>
        <v>C..400</v>
      </c>
      <c r="M509" s="138"/>
      <c r="N509" s="139" t="s">
        <v>25</v>
      </c>
      <c r="O509" s="139" t="s">
        <v>275</v>
      </c>
      <c r="P509" s="140" t="s">
        <v>1588</v>
      </c>
    </row>
    <row r="510" s="61" customFormat="1" ht="30" customHeight="1" outlineLevel="1" spans="1:16">
      <c r="A510" s="184"/>
      <c r="B510" s="185"/>
      <c r="C510" s="25"/>
      <c r="D510" s="25"/>
      <c r="E510" s="36"/>
      <c r="F510" s="131" t="s">
        <v>722</v>
      </c>
      <c r="G510" s="31" t="s">
        <v>2428</v>
      </c>
      <c r="H510" s="132" t="s">
        <v>2590</v>
      </c>
      <c r="I510" s="131" t="s">
        <v>722</v>
      </c>
      <c r="J510" s="31" t="str">
        <f>INDEX(数据元说明!A:F,MATCH(I510,数据元说明!C:C,0),2)</f>
        <v>004006</v>
      </c>
      <c r="K510" s="133" t="str">
        <f>INDEX(数据元说明!A:F,MATCH(I510,数据元说明!C:C,0),5)</f>
        <v>正常，冲补抹。</v>
      </c>
      <c r="L510" s="31" t="str">
        <f>INDEX(数据元说明!A:F,MATCH(I510,数据元说明!C:C,0),6)</f>
        <v>C..9</v>
      </c>
      <c r="M510" s="133" t="s">
        <v>2430</v>
      </c>
      <c r="N510" s="33" t="s">
        <v>25</v>
      </c>
      <c r="O510" s="99"/>
      <c r="P510" s="33" t="s">
        <v>1588</v>
      </c>
    </row>
    <row r="511" s="81" customFormat="1" ht="30" customHeight="1" outlineLevel="1" spans="1:16">
      <c r="A511" s="141"/>
      <c r="B511" s="142"/>
      <c r="C511" s="39"/>
      <c r="D511" s="39"/>
      <c r="E511" s="47"/>
      <c r="F511" s="135" t="s">
        <v>714</v>
      </c>
      <c r="G511" s="136" t="s">
        <v>2431</v>
      </c>
      <c r="H511" s="137" t="s">
        <v>2591</v>
      </c>
      <c r="I511" s="135" t="s">
        <v>714</v>
      </c>
      <c r="J511" s="136" t="str">
        <f>INDEX(数据元说明!A:F,MATCH(I511,数据元说明!C:C,0),2)</f>
        <v>004004</v>
      </c>
      <c r="K511" s="138" t="str">
        <f>INDEX(数据元说明!A:F,MATCH(I511,数据元说明!C:C,0),5)</f>
        <v>现，转。</v>
      </c>
      <c r="L511" s="136" t="str">
        <f>INDEX(数据元说明!A:F,MATCH(I511,数据元说明!C:C,0),6)</f>
        <v>C3</v>
      </c>
      <c r="M511" s="138" t="s">
        <v>2433</v>
      </c>
      <c r="N511" s="139" t="s">
        <v>25</v>
      </c>
      <c r="O511" s="139" t="s">
        <v>449</v>
      </c>
      <c r="P511" s="140"/>
    </row>
    <row r="512" s="81" customFormat="1" ht="30" customHeight="1" outlineLevel="1" spans="1:16">
      <c r="A512" s="167"/>
      <c r="B512" s="168"/>
      <c r="C512" s="156"/>
      <c r="D512" s="156"/>
      <c r="E512" s="155"/>
      <c r="F512" s="157" t="s">
        <v>710</v>
      </c>
      <c r="G512" s="43" t="s">
        <v>2434</v>
      </c>
      <c r="H512" s="137" t="s">
        <v>2592</v>
      </c>
      <c r="I512" s="157" t="s">
        <v>710</v>
      </c>
      <c r="J512" s="43" t="str">
        <f>INDEX(数据元说明!A:F,MATCH(I512,数据元说明!C:C,0),2)</f>
        <v>004003</v>
      </c>
      <c r="K512" s="158" t="str">
        <f>INDEX(数据元说明!A:F,MATCH(I512,数据元说明!C:C,0),5)</f>
        <v>柜面，ATM，VTM，POS，网银，手机银行，银联交易，三方支付-银行自定义，其他-银行自定义。交易类型为三方支付的，以“三方支付-XX”填报，其中“XX”为第三方支付平台名称。如无法以枚举类型填报，则以“其他-XX”填报，其中“XX”为银行自定义类型。</v>
      </c>
      <c r="L512" s="43" t="str">
        <f>INDEX(数据元说明!A:F,MATCH(I512,数据元说明!C:C,0),6)</f>
        <v>C..60</v>
      </c>
      <c r="M512" s="162" t="s">
        <v>2436</v>
      </c>
      <c r="N512" s="140" t="s">
        <v>25</v>
      </c>
      <c r="O512" s="139" t="s">
        <v>275</v>
      </c>
      <c r="P512" s="140" t="s">
        <v>1606</v>
      </c>
    </row>
    <row r="513" s="81" customFormat="1" ht="30" customHeight="1" outlineLevel="1" spans="1:16">
      <c r="A513" s="167"/>
      <c r="B513" s="168"/>
      <c r="C513" s="176"/>
      <c r="D513" s="176"/>
      <c r="E513" s="168"/>
      <c r="F513" s="157" t="s">
        <v>440</v>
      </c>
      <c r="G513" s="43" t="s">
        <v>2437</v>
      </c>
      <c r="H513" s="137" t="s">
        <v>2593</v>
      </c>
      <c r="I513" s="157" t="s">
        <v>440</v>
      </c>
      <c r="J513" s="43" t="str">
        <f>INDEX(数据元说明!A:F,MATCH(I513,数据元说明!C:C,0),2)</f>
        <v>001038</v>
      </c>
      <c r="K513" s="158" t="str">
        <f>INDEX(数据元说明!A:F,MATCH(I513,数据元说明!C:C,0),5)</f>
        <v>点分十进制格式表示的IPV4地址或者IPV6地址。</v>
      </c>
      <c r="L513" s="43" t="str">
        <f>INDEX(数据元说明!A:F,MATCH(I513,数据元说明!C:C,0),6)</f>
        <v>C..40</v>
      </c>
      <c r="M513" s="162" t="s">
        <v>2439</v>
      </c>
      <c r="N513" s="143" t="s">
        <v>57</v>
      </c>
      <c r="O513" s="139"/>
      <c r="P513" s="140"/>
    </row>
    <row r="514" s="81" customFormat="1" ht="30" customHeight="1" outlineLevel="1" spans="1:16">
      <c r="A514" s="167"/>
      <c r="B514" s="168"/>
      <c r="C514" s="176"/>
      <c r="D514" s="176"/>
      <c r="E514" s="168"/>
      <c r="F514" s="157" t="s">
        <v>445</v>
      </c>
      <c r="G514" s="43" t="s">
        <v>2440</v>
      </c>
      <c r="H514" s="137" t="s">
        <v>2594</v>
      </c>
      <c r="I514" s="157" t="s">
        <v>445</v>
      </c>
      <c r="J514" s="43" t="str">
        <f>INDEX(数据元说明!A:F,MATCH(I514,数据元说明!C:C,0),2)</f>
        <v>001039</v>
      </c>
      <c r="K514" s="158" t="str">
        <f>INDEX(数据元说明!A:F,MATCH(I514,数据元说明!C:C,0),5)</f>
        <v>网络设备唯一的网络标识：
1.可以是MAC地址，以12个16进制数表示（6个字节），每个字节以英文半角冒号（:）隔开。
2.若交易渠道为网银、手机银行，Android7.0以上系统可填报设备IMEI码；IOS7以上系统科填报UUID码，唯一对应设备即可。</v>
      </c>
      <c r="L514" s="43" t="str">
        <f>INDEX(数据元说明!A:F,MATCH(I514,数据元说明!C:C,0),6)</f>
        <v>C..60</v>
      </c>
      <c r="M514" s="162" t="s">
        <v>2442</v>
      </c>
      <c r="N514" s="143" t="s">
        <v>57</v>
      </c>
      <c r="O514" s="139"/>
      <c r="P514" s="140"/>
    </row>
    <row r="515" s="61" customFormat="1" ht="30" customHeight="1" outlineLevel="1" spans="1:16">
      <c r="A515" s="184"/>
      <c r="B515" s="185"/>
      <c r="C515" s="25"/>
      <c r="D515" s="25"/>
      <c r="E515" s="36"/>
      <c r="F515" s="131" t="s">
        <v>2456</v>
      </c>
      <c r="G515" s="31" t="s">
        <v>2457</v>
      </c>
      <c r="H515" s="132" t="s">
        <v>2595</v>
      </c>
      <c r="I515" s="131" t="s">
        <v>368</v>
      </c>
      <c r="J515" s="31" t="str">
        <f>INDEX(数据元说明!A:F,MATCH(I515,数据元说明!C:C,0),2)</f>
        <v>001021</v>
      </c>
      <c r="K515" s="133" t="str">
        <f>INDEX(数据元说明!A:F,MATCH(I515,数据元说明!C:C,0),5)</f>
        <v>柜员编号，银行自定义。</v>
      </c>
      <c r="L515" s="31" t="str">
        <f>INDEX(数据元说明!A:F,MATCH(I515,数据元说明!C:C,0),6)</f>
        <v>C..30</v>
      </c>
      <c r="M515" s="163" t="s">
        <v>2151</v>
      </c>
      <c r="N515" s="99"/>
      <c r="O515" s="99"/>
      <c r="P515" s="99"/>
    </row>
    <row r="516" s="81" customFormat="1" ht="30" customHeight="1" outlineLevel="1" spans="1:16">
      <c r="A516" s="141"/>
      <c r="B516" s="142"/>
      <c r="C516" s="39"/>
      <c r="D516" s="39"/>
      <c r="E516" s="47"/>
      <c r="F516" s="135" t="s">
        <v>2459</v>
      </c>
      <c r="G516" s="136" t="s">
        <v>2460</v>
      </c>
      <c r="H516" s="137" t="s">
        <v>2596</v>
      </c>
      <c r="I516" s="135" t="s">
        <v>368</v>
      </c>
      <c r="J516" s="136" t="str">
        <f>INDEX(数据元说明!A:F,MATCH(I516,数据元说明!C:C,0),2)</f>
        <v>001021</v>
      </c>
      <c r="K516" s="138" t="str">
        <f>INDEX(数据元说明!A:F,MATCH(I516,数据元说明!C:C,0),5)</f>
        <v>柜员编号，银行自定义。</v>
      </c>
      <c r="L516" s="136" t="str">
        <f>INDEX(数据元说明!A:F,MATCH(I516,数据元说明!C:C,0),6)</f>
        <v>C..30</v>
      </c>
      <c r="M516" s="162" t="s">
        <v>2462</v>
      </c>
      <c r="N516" s="139" t="s">
        <v>25</v>
      </c>
      <c r="O516" s="139" t="s">
        <v>449</v>
      </c>
      <c r="P516" s="139"/>
    </row>
    <row r="517" s="82" customFormat="1" ht="71" outlineLevel="1" spans="1:16">
      <c r="A517" s="144"/>
      <c r="B517" s="145"/>
      <c r="C517" s="146"/>
      <c r="D517" s="146"/>
      <c r="E517" s="145"/>
      <c r="F517" s="147" t="s">
        <v>449</v>
      </c>
      <c r="G517" s="148" t="s">
        <v>1571</v>
      </c>
      <c r="H517" s="148" t="s">
        <v>2597</v>
      </c>
      <c r="I517" s="147" t="s">
        <v>449</v>
      </c>
      <c r="J517" s="148" t="str">
        <f>INDEX(数据元说明!A:F,MATCH(I517,数据元说明!C:C,0),2)</f>
        <v>001040</v>
      </c>
      <c r="K517" s="149" t="str">
        <f>INDEX(数据元说明!A:F,MATCH(I517,数据元说明!C:C,0),5)</f>
        <v>银行自定义。</v>
      </c>
      <c r="L517" s="148" t="str">
        <f>INDEX(数据元说明!A:F,MATCH(I517,数据元说明!C:C,0),6)</f>
        <v>C..600</v>
      </c>
      <c r="M517" s="149" t="s">
        <v>1573</v>
      </c>
      <c r="N517" s="143" t="s">
        <v>57</v>
      </c>
      <c r="O517" s="151"/>
      <c r="P517" s="151"/>
    </row>
    <row r="518" s="61" customFormat="1" ht="30" customHeight="1" outlineLevel="1" spans="1:16">
      <c r="A518" s="130"/>
      <c r="B518" s="36"/>
      <c r="C518" s="25"/>
      <c r="D518" s="25"/>
      <c r="E518" s="36"/>
      <c r="F518" s="131" t="s">
        <v>1574</v>
      </c>
      <c r="G518" s="31" t="s">
        <v>1575</v>
      </c>
      <c r="H518" s="132" t="s">
        <v>2598</v>
      </c>
      <c r="I518" s="131" t="s">
        <v>302</v>
      </c>
      <c r="J518" s="31" t="str">
        <f>INDEX(数据元说明!A:F,MATCH(I518,数据元说明!C:C,0),2)</f>
        <v>001005</v>
      </c>
      <c r="K518" s="133" t="str">
        <f>INDEX(数据元说明!A:F,MATCH(I518,数据元说明!C:C,0),5)</f>
        <v>YYYYMMDD，默认值99991231。</v>
      </c>
      <c r="L518" s="31" t="str">
        <f>INDEX(数据元说明!A:F,MATCH(I518,数据元说明!C:C,0),6)</f>
        <v>C8</v>
      </c>
      <c r="M518" s="133" t="s">
        <v>1577</v>
      </c>
      <c r="N518" s="99"/>
      <c r="O518" s="99"/>
      <c r="P518" s="99"/>
    </row>
    <row r="519" s="61" customFormat="1" ht="61.5" customHeight="1" spans="1:16">
      <c r="A519" s="165"/>
      <c r="B519" s="166"/>
      <c r="C519" s="19" t="s">
        <v>102</v>
      </c>
      <c r="D519" s="24" t="s">
        <v>103</v>
      </c>
      <c r="E519" s="126">
        <v>409</v>
      </c>
      <c r="F519" s="127"/>
      <c r="G519" s="126"/>
      <c r="H519" s="126"/>
      <c r="I519" s="127"/>
      <c r="J519" s="126"/>
      <c r="K519" s="152"/>
      <c r="L519" s="126"/>
      <c r="M519" s="128" t="str">
        <f>INDEX(表结构总览!E:H,MATCH(D519,表结构总览!E:E,0),4)</f>
        <v>指银行机构吸收的除个人以外的机构（包括企业、财政部门、社保基金、部队、住房公积金、社会团体、同业机构等）开立的，除活期存款以外的其他所有存款账户信息。报送范围：参照1104报表G01_III[2.1 单位存款] - [2.1.1单位活期存款] + 财政部门、金融机构除活期外存款。包括对公定期、定活两便，以及对公协议、协定、结构性存款、同业存放、吸收的保险公司存放款、社会保障基金、2009年1月1日前签署的邮政储蓄机构等的协议存款的定期存款分户账信息。以定期存款账号为最小颗粒报送，如账户注销或终结，在报送该账户最终状态后的次月可不再报送。</v>
      </c>
      <c r="N519" s="129" t="s">
        <v>25</v>
      </c>
      <c r="O519" s="129" t="s">
        <v>449</v>
      </c>
      <c r="P519" s="33"/>
    </row>
    <row r="520" ht="30" customHeight="1" outlineLevel="1" spans="1:16">
      <c r="E520" s="94"/>
      <c r="F520" s="97" t="s">
        <v>325</v>
      </c>
      <c r="G520" s="29" t="s">
        <v>1520</v>
      </c>
      <c r="H520" s="96" t="s">
        <v>2599</v>
      </c>
      <c r="I520" s="97" t="s">
        <v>325</v>
      </c>
      <c r="J520" s="29" t="str">
        <f>INDEX(数据元说明!A:F,MATCH(I520,数据元说明!C:C,0),2)</f>
        <v>001010</v>
      </c>
      <c r="K520" s="98" t="str">
        <f>INDEX(数据元说明!A:F,MATCH(I520,数据元说明!C:C,0),5)</f>
        <v>12位人行支付行号或SWIFT行号。</v>
      </c>
      <c r="L520" s="29" t="str">
        <f>INDEX(数据元说明!A:F,MATCH(I520,数据元说明!C:C,0),6)</f>
        <v>C..30</v>
      </c>
      <c r="M520" s="98" t="s">
        <v>2600</v>
      </c>
      <c r="P520" s="99"/>
    </row>
    <row r="521" s="81" customFormat="1" ht="30" customHeight="1" outlineLevel="1" spans="1:16">
      <c r="A521" s="134"/>
      <c r="B521" s="47"/>
      <c r="C521" s="39"/>
      <c r="D521" s="39"/>
      <c r="E521" s="47"/>
      <c r="F521" s="135" t="s">
        <v>329</v>
      </c>
      <c r="G521" s="136" t="s">
        <v>1526</v>
      </c>
      <c r="H521" s="153" t="s">
        <v>2601</v>
      </c>
      <c r="I521" s="135" t="s">
        <v>329</v>
      </c>
      <c r="J521" s="136" t="str">
        <f>INDEX(数据元说明!A:F,MATCH(I521,数据元说明!C:C,0),2)</f>
        <v>001011</v>
      </c>
      <c r="K521" s="138" t="str">
        <f>INDEX(数据元说明!A:F,MATCH(I521,数据元说明!C:C,0),5)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21" s="136" t="str">
        <f>INDEX(数据元说明!A:F,MATCH(I521,数据元说明!C:C,0),6)</f>
        <v>C..30</v>
      </c>
      <c r="M521" s="138" t="s">
        <v>2602</v>
      </c>
      <c r="N521" s="129" t="s">
        <v>25</v>
      </c>
      <c r="O521" s="129" t="s">
        <v>449</v>
      </c>
      <c r="P521" s="139"/>
    </row>
    <row r="522" ht="30" customHeight="1" outlineLevel="1" spans="1:16">
      <c r="A522" s="159"/>
      <c r="B522" s="160"/>
      <c r="E522" s="94"/>
      <c r="F522" s="97" t="s">
        <v>333</v>
      </c>
      <c r="G522" s="29" t="s">
        <v>1523</v>
      </c>
      <c r="H522" s="96" t="s">
        <v>2603</v>
      </c>
      <c r="I522" s="97" t="s">
        <v>333</v>
      </c>
      <c r="J522" s="29" t="str">
        <f>INDEX(数据元说明!A:F,MATCH(I522,数据元说明!C:C,0),2)</f>
        <v>001012</v>
      </c>
      <c r="K522" s="98" t="str">
        <f>INDEX(数据元说明!A:F,MATCH(I522,数据元说明!C:C,0),5)</f>
        <v>银行内部机构号。应具有标识机构的唯一性。</v>
      </c>
      <c r="L522" s="29" t="str">
        <f>INDEX(数据元说明!A:F,MATCH(I522,数据元说明!C:C,0),6)</f>
        <v>C..30</v>
      </c>
      <c r="M522" s="98" t="s">
        <v>2604</v>
      </c>
      <c r="P522" s="99"/>
    </row>
    <row r="523" ht="30" customHeight="1" outlineLevel="1" spans="1:16">
      <c r="E523" s="94"/>
      <c r="F523" s="157" t="s">
        <v>1532</v>
      </c>
      <c r="G523" s="43" t="s">
        <v>1533</v>
      </c>
      <c r="H523" s="153" t="s">
        <v>2605</v>
      </c>
      <c r="I523" s="157" t="s">
        <v>282</v>
      </c>
      <c r="J523" s="43" t="str">
        <f>INDEX(数据元说明!A:F,MATCH(I523,数据元说明!C:C,0),2)</f>
        <v>001001</v>
      </c>
      <c r="K523" s="158" t="str">
        <f>INDEX(数据元说明!A:F,MATCH(I523,数据元说明!C:C,0),5)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523" s="43" t="str">
        <f>INDEX(数据元说明!A:F,MATCH(I523,数据元说明!C:C,0),6)</f>
        <v>C..400</v>
      </c>
      <c r="M523" s="158" t="s">
        <v>2606</v>
      </c>
      <c r="N523" s="139" t="s">
        <v>25</v>
      </c>
      <c r="O523" s="139" t="s">
        <v>280</v>
      </c>
      <c r="P523" s="140" t="s">
        <v>1588</v>
      </c>
    </row>
    <row r="524" s="81" customFormat="1" ht="30" customHeight="1" outlineLevel="1" spans="1:16">
      <c r="A524" s="154"/>
      <c r="B524" s="155"/>
      <c r="C524" s="156"/>
      <c r="D524" s="156"/>
      <c r="E524" s="155"/>
      <c r="F524" s="157" t="s">
        <v>2325</v>
      </c>
      <c r="G524" s="43" t="s">
        <v>2326</v>
      </c>
      <c r="H524" s="153" t="s">
        <v>2607</v>
      </c>
      <c r="I524" s="135" t="s">
        <v>574</v>
      </c>
      <c r="J524" s="43" t="str">
        <f>INDEX(数据元说明!A:F,MATCH(I524,数据元说明!C:C,0),2)</f>
        <v>003002</v>
      </c>
      <c r="K524" s="158" t="str">
        <f>INDEX(数据元说明!A:F,MATCH(I524,数据元说明!C:C,0),5)</f>
        <v>机构实际使用的总账会计科目编码。</v>
      </c>
      <c r="L524" s="43" t="str">
        <f>INDEX(数据元说明!A:F,MATCH(I524,数据元说明!C:C,0),6)</f>
        <v>C..200</v>
      </c>
      <c r="M524" s="138" t="s">
        <v>2328</v>
      </c>
      <c r="N524" s="139" t="s">
        <v>25</v>
      </c>
      <c r="O524" s="139" t="s">
        <v>1516</v>
      </c>
      <c r="P524" s="140"/>
    </row>
    <row r="525" s="81" customFormat="1" ht="30" customHeight="1" outlineLevel="1" spans="1:16">
      <c r="A525" s="154"/>
      <c r="B525" s="155"/>
      <c r="C525" s="156"/>
      <c r="D525" s="156"/>
      <c r="E525" s="155"/>
      <c r="F525" s="157" t="s">
        <v>2329</v>
      </c>
      <c r="G525" s="43" t="s">
        <v>2330</v>
      </c>
      <c r="H525" s="153" t="s">
        <v>2608</v>
      </c>
      <c r="I525" s="135" t="s">
        <v>578</v>
      </c>
      <c r="J525" s="43" t="str">
        <f>INDEX(数据元说明!A:F,MATCH(I525,数据元说明!C:C,0),2)</f>
        <v>003003</v>
      </c>
      <c r="K525" s="158" t="str">
        <f>INDEX(数据元说明!A:F,MATCH(I525,数据元说明!C:C,0),5)</f>
        <v>机构实际使用的总账会计科目编码对应的名称。</v>
      </c>
      <c r="L525" s="43" t="str">
        <f>INDEX(数据元说明!A:F,MATCH(I525,数据元说明!C:C,0),6)</f>
        <v>C..200</v>
      </c>
      <c r="M525" s="138" t="s">
        <v>2328</v>
      </c>
      <c r="N525" s="139" t="s">
        <v>25</v>
      </c>
      <c r="O525" s="139" t="s">
        <v>449</v>
      </c>
      <c r="P525" s="140"/>
    </row>
    <row r="526" s="61" customFormat="1" ht="30" customHeight="1" outlineLevel="1" spans="1:16">
      <c r="A526" s="159"/>
      <c r="B526" s="160"/>
      <c r="C526" s="95"/>
      <c r="D526" s="95"/>
      <c r="E526" s="94"/>
      <c r="F526" s="97" t="s">
        <v>453</v>
      </c>
      <c r="G526" s="29" t="s">
        <v>1680</v>
      </c>
      <c r="H526" s="96" t="s">
        <v>2609</v>
      </c>
      <c r="I526" s="97" t="s">
        <v>453</v>
      </c>
      <c r="J526" s="29" t="str">
        <f>INDEX(数据元说明!A:F,MATCH(I526,数据元说明!C:C,0),2)</f>
        <v>002001</v>
      </c>
      <c r="K526" s="98" t="str">
        <f>INDEX(数据元说明!A:F,MATCH(I526,数据元说明!C:C,0),5)</f>
        <v>银行自定义的唯一识别客户的标识。供应链融资的填写供应链融资编码。</v>
      </c>
      <c r="L526" s="29" t="str">
        <f>INDEX(数据元说明!A:F,MATCH(I526,数据元说明!C:C,0),6)</f>
        <v>C..60</v>
      </c>
      <c r="M526" s="98" t="s">
        <v>2548</v>
      </c>
      <c r="N526" s="33" t="s">
        <v>25</v>
      </c>
      <c r="O526" s="99"/>
      <c r="P526" s="33" t="s">
        <v>1588</v>
      </c>
    </row>
    <row r="527" s="81" customFormat="1" ht="30" customHeight="1" outlineLevel="1" spans="1:16">
      <c r="A527" s="134"/>
      <c r="B527" s="47"/>
      <c r="C527" s="39"/>
      <c r="D527" s="39"/>
      <c r="E527" s="47"/>
      <c r="F527" s="135" t="s">
        <v>628</v>
      </c>
      <c r="G527" s="136" t="s">
        <v>2334</v>
      </c>
      <c r="H527" s="153" t="s">
        <v>2610</v>
      </c>
      <c r="I527" s="135" t="s">
        <v>628</v>
      </c>
      <c r="J527" s="136" t="str">
        <f>INDEX(数据元说明!A:F,MATCH(I527,数据元说明!C:C,0),2)</f>
        <v>003015</v>
      </c>
      <c r="K527" s="138" t="str">
        <f>INDEX(数据元说明!A:F,MATCH(I527,数据元说明!C:C,0),5)</f>
        <v>账户归属者的名称。如果客户为个人，则为隐私，银行机构变形，变形规则见《采集技术接口说明》。客户是境内涉密机构的，账户名称填报为“*********”。其他情况，则为非隐私，不做变形。</v>
      </c>
      <c r="L527" s="136" t="str">
        <f>INDEX(数据元说明!A:F,MATCH(I527,数据元说明!C:C,0),6)</f>
        <v>C..400</v>
      </c>
      <c r="M527" s="138"/>
      <c r="N527" s="139" t="s">
        <v>25</v>
      </c>
      <c r="O527" s="139" t="s">
        <v>449</v>
      </c>
      <c r="P527" s="140"/>
    </row>
    <row r="528" s="61" customFormat="1" ht="30" customHeight="1" outlineLevel="1" spans="1:16">
      <c r="A528" s="159"/>
      <c r="B528" s="160"/>
      <c r="C528" s="95"/>
      <c r="D528" s="95"/>
      <c r="E528" s="94"/>
      <c r="F528" s="97" t="s">
        <v>2473</v>
      </c>
      <c r="G528" s="29" t="s">
        <v>2474</v>
      </c>
      <c r="H528" s="96" t="s">
        <v>2611</v>
      </c>
      <c r="I528" s="97" t="s">
        <v>570</v>
      </c>
      <c r="J528" s="29" t="str">
        <f>INDEX(数据元说明!A:F,MATCH(I528,数据元说明!C:C,0),2)</f>
        <v>003001</v>
      </c>
      <c r="K528" s="98" t="str">
        <f>INDEX(数据元说明!A:F,MATCH(I528,数据元说明!C:C,0),5)</f>
        <v>系统内最细一级的账号，无唯一性约束，不需要和序号、子序号等做拼接。</v>
      </c>
      <c r="L528" s="29" t="str">
        <f>INDEX(数据元说明!A:F,MATCH(I528,数据元说明!C:C,0),6)</f>
        <v>C..60</v>
      </c>
      <c r="M528" s="98" t="s">
        <v>1525</v>
      </c>
      <c r="N528" s="33" t="s">
        <v>25</v>
      </c>
      <c r="O528" s="99"/>
      <c r="P528" s="33" t="s">
        <v>1588</v>
      </c>
    </row>
    <row r="529" s="81" customFormat="1" ht="71" outlineLevel="1" spans="1:16">
      <c r="A529" s="134"/>
      <c r="B529" s="47"/>
      <c r="C529" s="39"/>
      <c r="D529" s="39"/>
      <c r="E529" s="47"/>
      <c r="F529" s="135" t="s">
        <v>665</v>
      </c>
      <c r="G529" s="136" t="s">
        <v>2612</v>
      </c>
      <c r="H529" s="153" t="s">
        <v>2613</v>
      </c>
      <c r="I529" s="135" t="s">
        <v>665</v>
      </c>
      <c r="J529" s="136" t="str">
        <f>INDEX(数据元说明!A:F,MATCH(I529,数据元说明!C:C,0),2)</f>
        <v>003024</v>
      </c>
      <c r="K529" s="138" t="str">
        <f>INDEX(数据元说明!A:F,MATCH(I529,数据元说明!C:C,0),5)</f>
        <v>单位定期存款，单位通知存款，单位协议存款，单位协定存款，单位保证金存款，单位结构性存款（不含保本理财），单位其他存款，同业存放款、保险公司存放款、社会保障基金，其他-银行自定义。如无法以枚举类型填报，则以“其他-XX”填报，其中“XX”为银行自定义类型。</v>
      </c>
      <c r="L529" s="136" t="str">
        <f>INDEX(数据元说明!A:F,MATCH(I529,数据元说明!C:C,0),6)</f>
        <v>C..60</v>
      </c>
      <c r="M529" s="138"/>
      <c r="N529" s="187" t="s">
        <v>25</v>
      </c>
      <c r="O529" s="187" t="s">
        <v>275</v>
      </c>
      <c r="P529" s="140"/>
    </row>
    <row r="530" s="61" customFormat="1" ht="56" customHeight="1" outlineLevel="1" spans="1:16">
      <c r="A530" s="130"/>
      <c r="B530" s="36"/>
      <c r="C530" s="25"/>
      <c r="D530" s="25"/>
      <c r="E530" s="36"/>
      <c r="F530" s="131" t="s">
        <v>648</v>
      </c>
      <c r="G530" s="31" t="s">
        <v>2478</v>
      </c>
      <c r="H530" s="96" t="s">
        <v>2614</v>
      </c>
      <c r="I530" s="131" t="s">
        <v>648</v>
      </c>
      <c r="J530" s="31" t="str">
        <f>INDEX(数据元说明!A:F,MATCH(I530,数据元说明!C:C,0),2)</f>
        <v>003020</v>
      </c>
      <c r="K530" s="133" t="str">
        <f>INDEX(数据元说明!A:F,MATCH(I530,数据元说明!C:C,0),5)</f>
        <v>1天通知，7天通知，1个月，3个月，6个月，12个月，18个月，24个月，36个月，60个月，72个月，80个月，不固定，其他期限。</v>
      </c>
      <c r="L530" s="31" t="str">
        <f>INDEX(数据元说明!A:F,MATCH(I530,数据元说明!C:C,0),6)</f>
        <v>C..20</v>
      </c>
      <c r="M530" s="133"/>
      <c r="N530" s="99"/>
      <c r="O530" s="99"/>
      <c r="P530" s="99"/>
    </row>
    <row r="531" s="61" customFormat="1" ht="30" customHeight="1" outlineLevel="1" spans="1:16">
      <c r="A531" s="130"/>
      <c r="B531" s="36"/>
      <c r="C531" s="25"/>
      <c r="D531" s="25"/>
      <c r="E531" s="36"/>
      <c r="F531" s="131" t="s">
        <v>660</v>
      </c>
      <c r="G531" s="31" t="s">
        <v>2343</v>
      </c>
      <c r="H531" s="96" t="s">
        <v>2615</v>
      </c>
      <c r="I531" s="131" t="s">
        <v>660</v>
      </c>
      <c r="J531" s="31" t="str">
        <f>INDEX(数据元说明!A:F,MATCH(I531,数据元说明!C:C,0),2)</f>
        <v>003023</v>
      </c>
      <c r="K531" s="133" t="str">
        <f>INDEX(数据元说明!A:F,MATCH(I531,数据元说明!C:C,0),5)</f>
        <v>百分比为单位，即%，如4.5%填报为4.5。</v>
      </c>
      <c r="L531" s="31" t="str">
        <f>INDEX(数据元说明!A:F,MATCH(I531,数据元说明!C:C,0),6)</f>
        <v>D10.4</v>
      </c>
      <c r="M531" s="133"/>
      <c r="N531" s="99"/>
      <c r="O531" s="99"/>
      <c r="P531" s="99"/>
    </row>
    <row r="532" s="61" customFormat="1" ht="30" customHeight="1" outlineLevel="1" spans="1:16">
      <c r="A532" s="130"/>
      <c r="B532" s="36"/>
      <c r="C532" s="25"/>
      <c r="D532" s="25"/>
      <c r="E532" s="36"/>
      <c r="F532" s="131" t="s">
        <v>2340</v>
      </c>
      <c r="G532" s="31" t="s">
        <v>2341</v>
      </c>
      <c r="H532" s="96" t="s">
        <v>2616</v>
      </c>
      <c r="I532" s="131" t="s">
        <v>287</v>
      </c>
      <c r="J532" s="31" t="str">
        <f>INDEX(数据元说明!A:F,MATCH(I532,数据元说明!C:C,0),2)</f>
        <v>001002</v>
      </c>
      <c r="K532" s="133" t="str">
        <f>INDEX(数据元说明!A:F,MATCH(I532,数据元说明!C:C,0),5)</f>
        <v>是，否。</v>
      </c>
      <c r="L532" s="31" t="str">
        <f>INDEX(数据元说明!A:F,MATCH(I532,数据元说明!C:C,0),6)</f>
        <v>C3</v>
      </c>
      <c r="M532" s="133"/>
      <c r="N532" s="99"/>
      <c r="O532" s="99"/>
      <c r="P532" s="99"/>
    </row>
    <row r="533" s="61" customFormat="1" ht="30" customHeight="1" outlineLevel="1" spans="1:16">
      <c r="A533" s="93"/>
      <c r="B533" s="94"/>
      <c r="C533" s="95"/>
      <c r="D533" s="95"/>
      <c r="E533" s="94"/>
      <c r="F533" s="97" t="s">
        <v>624</v>
      </c>
      <c r="G533" s="29" t="s">
        <v>1989</v>
      </c>
      <c r="H533" s="96" t="s">
        <v>2617</v>
      </c>
      <c r="I533" s="97" t="s">
        <v>624</v>
      </c>
      <c r="J533" s="29" t="str">
        <f>INDEX(数据元说明!A:F,MATCH(I533,数据元说明!C:C,0),2)</f>
        <v>003014</v>
      </c>
      <c r="K533" s="98" t="str">
        <f>INDEX(数据元说明!A:F,MATCH(I533,数据元说明!C:C,0),5)</f>
        <v>遵循《GB/T 12406 表示货币和资金的代码》的字母代码，如CNY。上述文件所列币种无法涵盖的，允许银行自定义填报。多个币种合计折算为人民币（本外币合计）的，填报为BWB。</v>
      </c>
      <c r="L533" s="29" t="str">
        <f>INDEX(数据元说明!A:F,MATCH(I533,数据元说明!C:C,0),6)</f>
        <v>C3</v>
      </c>
      <c r="M533" s="98" t="s">
        <v>1525</v>
      </c>
      <c r="N533" s="33" t="s">
        <v>25</v>
      </c>
      <c r="O533" s="99"/>
      <c r="P533" s="33" t="s">
        <v>1588</v>
      </c>
    </row>
    <row r="534" s="61" customFormat="1" ht="30" customHeight="1" outlineLevel="1" spans="1:16">
      <c r="A534" s="130"/>
      <c r="B534" s="36"/>
      <c r="C534" s="25"/>
      <c r="D534" s="25"/>
      <c r="E534" s="36"/>
      <c r="F534" s="131" t="s">
        <v>2483</v>
      </c>
      <c r="G534" s="31" t="s">
        <v>2484</v>
      </c>
      <c r="H534" s="96" t="s">
        <v>2618</v>
      </c>
      <c r="I534" s="131" t="s">
        <v>609</v>
      </c>
      <c r="J534" s="31" t="str">
        <f>INDEX(数据元说明!A:F,MATCH(I534,数据元说明!C:C,0),2)</f>
        <v>003010</v>
      </c>
      <c r="K534" s="133" t="str">
        <f>INDEX(数据元说明!A:F,MATCH(I534,数据元说明!C:C,0),5)</f>
        <v>与币种相对应金额。</v>
      </c>
      <c r="L534" s="31" t="str">
        <f>INDEX(数据元说明!A:F,MATCH(I534,数据元说明!C:C,0),6)</f>
        <v>D20.2</v>
      </c>
      <c r="M534" s="133"/>
      <c r="N534" s="99"/>
      <c r="O534" s="99"/>
      <c r="P534" s="99"/>
    </row>
    <row r="535" s="61" customFormat="1" ht="30" customHeight="1" outlineLevel="1" spans="1:16">
      <c r="A535" s="130"/>
      <c r="B535" s="36"/>
      <c r="C535" s="25"/>
      <c r="D535" s="25"/>
      <c r="E535" s="36"/>
      <c r="F535" s="131" t="s">
        <v>2346</v>
      </c>
      <c r="G535" s="31" t="s">
        <v>2347</v>
      </c>
      <c r="H535" s="96" t="s">
        <v>2619</v>
      </c>
      <c r="I535" s="131" t="s">
        <v>613</v>
      </c>
      <c r="J535" s="31" t="str">
        <f>INDEX(数据元说明!A:F,MATCH(I535,数据元说明!C:C,0),2)</f>
        <v>003011</v>
      </c>
      <c r="K535" s="133" t="str">
        <f>INDEX(数据元说明!A:F,MATCH(I535,数据元说明!C:C,0),5)</f>
        <v>与币种相对应金额。</v>
      </c>
      <c r="L535" s="31" t="str">
        <f>INDEX(数据元说明!A:F,MATCH(I535,数据元说明!C:C,0),6)</f>
        <v>D20.2</v>
      </c>
      <c r="M535" s="133" t="s">
        <v>2349</v>
      </c>
      <c r="N535" s="99"/>
      <c r="O535" s="99"/>
      <c r="P535" s="99"/>
    </row>
    <row r="536" s="81" customFormat="1" ht="30" customHeight="1" outlineLevel="1" spans="1:16">
      <c r="A536" s="134"/>
      <c r="B536" s="47"/>
      <c r="C536" s="39"/>
      <c r="D536" s="39"/>
      <c r="E536" s="47"/>
      <c r="F536" s="135" t="s">
        <v>2350</v>
      </c>
      <c r="G536" s="136" t="s">
        <v>2351</v>
      </c>
      <c r="H536" s="153" t="s">
        <v>2620</v>
      </c>
      <c r="I536" s="135" t="s">
        <v>302</v>
      </c>
      <c r="J536" s="136" t="str">
        <f>INDEX(数据元说明!A:F,MATCH(I536,数据元说明!C:C,0),2)</f>
        <v>001005</v>
      </c>
      <c r="K536" s="138" t="str">
        <f>INDEX(数据元说明!A:F,MATCH(I536,数据元说明!C:C,0),5)</f>
        <v>YYYYMMDD，默认值99991231。</v>
      </c>
      <c r="L536" s="136" t="str">
        <f>INDEX(数据元说明!A:F,MATCH(I536,数据元说明!C:C,0),6)</f>
        <v>C8</v>
      </c>
      <c r="M536" s="138" t="s">
        <v>2353</v>
      </c>
      <c r="N536" s="139" t="s">
        <v>25</v>
      </c>
      <c r="O536" s="140"/>
      <c r="P536" s="139" t="s">
        <v>1606</v>
      </c>
    </row>
    <row r="537" s="61" customFormat="1" ht="30" customHeight="1" outlineLevel="1" spans="1:16">
      <c r="A537" s="184"/>
      <c r="B537" s="185"/>
      <c r="C537" s="186"/>
      <c r="D537" s="186"/>
      <c r="E537" s="185"/>
      <c r="F537" s="131" t="s">
        <v>2354</v>
      </c>
      <c r="G537" s="31" t="s">
        <v>2355</v>
      </c>
      <c r="H537" s="96" t="s">
        <v>2621</v>
      </c>
      <c r="I537" s="131" t="s">
        <v>368</v>
      </c>
      <c r="J537" s="31" t="str">
        <f>INDEX(数据元说明!A:F,MATCH(I537,数据元说明!C:C,0),2)</f>
        <v>001021</v>
      </c>
      <c r="K537" s="133" t="str">
        <f>INDEX(数据元说明!A:F,MATCH(I537,数据元说明!C:C,0),5)</f>
        <v>柜员编号，银行自定义。</v>
      </c>
      <c r="L537" s="31" t="str">
        <f>INDEX(数据元说明!A:F,MATCH(I537,数据元说明!C:C,0),6)</f>
        <v>C..30</v>
      </c>
      <c r="M537" s="163" t="s">
        <v>2151</v>
      </c>
      <c r="N537" s="99"/>
      <c r="O537" s="99"/>
      <c r="P537" s="99"/>
    </row>
    <row r="538" s="81" customFormat="1" ht="30" customHeight="1" outlineLevel="1" spans="1:16">
      <c r="A538" s="134"/>
      <c r="B538" s="47"/>
      <c r="C538" s="39"/>
      <c r="D538" s="39"/>
      <c r="E538" s="47"/>
      <c r="F538" s="135" t="s">
        <v>2360</v>
      </c>
      <c r="G538" s="136" t="s">
        <v>2361</v>
      </c>
      <c r="H538" s="153" t="s">
        <v>2622</v>
      </c>
      <c r="I538" s="135" t="s">
        <v>302</v>
      </c>
      <c r="J538" s="136" t="str">
        <f>INDEX(数据元说明!A:F,MATCH(I538,数据元说明!C:C,0),2)</f>
        <v>001005</v>
      </c>
      <c r="K538" s="138" t="str">
        <f>INDEX(数据元说明!A:F,MATCH(I538,数据元说明!C:C,0),5)</f>
        <v>YYYYMMDD，默认值99991231。</v>
      </c>
      <c r="L538" s="136" t="str">
        <f>INDEX(数据元说明!A:F,MATCH(I538,数据元说明!C:C,0),6)</f>
        <v>C8</v>
      </c>
      <c r="M538" s="138" t="s">
        <v>2363</v>
      </c>
      <c r="N538" s="140" t="s">
        <v>25</v>
      </c>
      <c r="O538" s="140"/>
      <c r="P538" s="140" t="s">
        <v>1606</v>
      </c>
    </row>
    <row r="539" s="81" customFormat="1" ht="30" customHeight="1" outlineLevel="1" spans="1:16">
      <c r="A539" s="134"/>
      <c r="B539" s="47"/>
      <c r="C539" s="39"/>
      <c r="D539" s="39"/>
      <c r="E539" s="47"/>
      <c r="F539" s="135" t="s">
        <v>2490</v>
      </c>
      <c r="G539" s="136" t="s">
        <v>2491</v>
      </c>
      <c r="H539" s="153" t="s">
        <v>2623</v>
      </c>
      <c r="I539" s="135" t="s">
        <v>302</v>
      </c>
      <c r="J539" s="136" t="str">
        <f>INDEX(数据元说明!A:F,MATCH(I539,数据元说明!C:C,0),2)</f>
        <v>001005</v>
      </c>
      <c r="K539" s="138" t="str">
        <f>INDEX(数据元说明!A:F,MATCH(I539,数据元说明!C:C,0),5)</f>
        <v>YYYYMMDD，默认值99991231。</v>
      </c>
      <c r="L539" s="136" t="str">
        <f>INDEX(数据元说明!A:F,MATCH(I539,数据元说明!C:C,0),6)</f>
        <v>C8</v>
      </c>
      <c r="M539" s="138" t="s">
        <v>2493</v>
      </c>
      <c r="N539" s="140" t="s">
        <v>25</v>
      </c>
      <c r="O539" s="139" t="s">
        <v>2494</v>
      </c>
      <c r="P539" s="140"/>
    </row>
    <row r="540" s="61" customFormat="1" ht="30" customHeight="1" outlineLevel="1" spans="1:16">
      <c r="A540" s="130"/>
      <c r="B540" s="36"/>
      <c r="C540" s="25"/>
      <c r="D540" s="25"/>
      <c r="E540" s="36"/>
      <c r="F540" s="131" t="s">
        <v>2357</v>
      </c>
      <c r="G540" s="31" t="s">
        <v>2358</v>
      </c>
      <c r="H540" s="96" t="s">
        <v>2624</v>
      </c>
      <c r="I540" s="131" t="s">
        <v>302</v>
      </c>
      <c r="J540" s="31" t="str">
        <f>INDEX(数据元说明!A:F,MATCH(I540,数据元说明!C:C,0),2)</f>
        <v>001005</v>
      </c>
      <c r="K540" s="133" t="str">
        <f>INDEX(数据元说明!A:F,MATCH(I540,数据元说明!C:C,0),5)</f>
        <v>YYYYMMDD，默认值99991231。</v>
      </c>
      <c r="L540" s="31" t="str">
        <f>INDEX(数据元说明!A:F,MATCH(I540,数据元说明!C:C,0),6)</f>
        <v>C8</v>
      </c>
      <c r="M540" s="133"/>
      <c r="N540" s="99"/>
      <c r="O540" s="99"/>
      <c r="P540" s="99"/>
    </row>
    <row r="541" s="61" customFormat="1" ht="30" customHeight="1" outlineLevel="1" spans="1:16">
      <c r="A541" s="130"/>
      <c r="B541" s="36"/>
      <c r="C541" s="25"/>
      <c r="D541" s="25"/>
      <c r="E541" s="36"/>
      <c r="F541" s="131" t="s">
        <v>640</v>
      </c>
      <c r="G541" s="31" t="s">
        <v>2364</v>
      </c>
      <c r="H541" s="96" t="s">
        <v>2625</v>
      </c>
      <c r="I541" s="131" t="s">
        <v>640</v>
      </c>
      <c r="J541" s="31" t="str">
        <f>INDEX(数据元说明!A:F,MATCH(I541,数据元说明!C:C,0),2)</f>
        <v>003018</v>
      </c>
      <c r="K541" s="133" t="str">
        <f>INDEX(数据元说明!A:F,MATCH(I541,数据元说明!C:C,0),5)</f>
        <v>人民币，钞，汇，可钞可汇等。</v>
      </c>
      <c r="L541" s="31" t="str">
        <f>INDEX(数据元说明!A:F,MATCH(I541,数据元说明!C:C,0),6)</f>
        <v>C..12</v>
      </c>
      <c r="M541" s="133" t="s">
        <v>1525</v>
      </c>
      <c r="N541" s="99"/>
      <c r="O541" s="99"/>
      <c r="P541" s="99"/>
    </row>
    <row r="542" s="81" customFormat="1" ht="30" customHeight="1" outlineLevel="1" spans="1:16">
      <c r="A542" s="134"/>
      <c r="B542" s="47"/>
      <c r="C542" s="39"/>
      <c r="D542" s="39"/>
      <c r="E542" s="47"/>
      <c r="F542" s="135" t="s">
        <v>636</v>
      </c>
      <c r="G542" s="136" t="s">
        <v>2366</v>
      </c>
      <c r="H542" s="153" t="s">
        <v>2626</v>
      </c>
      <c r="I542" s="135" t="s">
        <v>636</v>
      </c>
      <c r="J542" s="136" t="str">
        <f>INDEX(数据元说明!A:F,MATCH(I542,数据元说明!C:C,0),2)</f>
        <v>003017</v>
      </c>
      <c r="K542" s="138" t="str">
        <f>INDEX(数据元说明!A:F,MATCH(I542,数据元说明!C:C,0),5)</f>
        <v>正常，预销户，销户，逾期，冻结，止付，已转让，其他-银行自定义。无法以枚举类型填报的，以“其他-XX”填报，其中“XX”为银行自定义类型。</v>
      </c>
      <c r="L542" s="136" t="str">
        <f>INDEX(数据元说明!A:F,MATCH(I542,数据元说明!C:C,0),6)</f>
        <v>C..30</v>
      </c>
      <c r="M542" s="138"/>
      <c r="N542" s="140" t="s">
        <v>25</v>
      </c>
      <c r="O542" s="139" t="s">
        <v>275</v>
      </c>
      <c r="P542" s="140" t="s">
        <v>1606</v>
      </c>
    </row>
    <row r="543" s="82" customFormat="1" ht="71" outlineLevel="1" spans="1:16">
      <c r="A543" s="144"/>
      <c r="B543" s="145"/>
      <c r="C543" s="146"/>
      <c r="D543" s="146"/>
      <c r="E543" s="145"/>
      <c r="F543" s="147" t="s">
        <v>449</v>
      </c>
      <c r="G543" s="148" t="s">
        <v>1571</v>
      </c>
      <c r="H543" s="148" t="s">
        <v>2627</v>
      </c>
      <c r="I543" s="147" t="s">
        <v>449</v>
      </c>
      <c r="J543" s="148" t="str">
        <f>INDEX(数据元说明!A:F,MATCH(I543,数据元说明!C:C,0),2)</f>
        <v>001040</v>
      </c>
      <c r="K543" s="149" t="str">
        <f>INDEX(数据元说明!A:F,MATCH(I543,数据元说明!C:C,0),5)</f>
        <v>银行自定义。</v>
      </c>
      <c r="L543" s="148" t="str">
        <f>INDEX(数据元说明!A:F,MATCH(I543,数据元说明!C:C,0),6)</f>
        <v>C..600</v>
      </c>
      <c r="M543" s="149" t="s">
        <v>1573</v>
      </c>
      <c r="N543" s="143" t="s">
        <v>57</v>
      </c>
      <c r="O543" s="151"/>
      <c r="P543" s="151"/>
    </row>
    <row r="544" s="61" customFormat="1" ht="30" customHeight="1" outlineLevel="1" spans="1:16">
      <c r="A544" s="130"/>
      <c r="B544" s="36"/>
      <c r="C544" s="25"/>
      <c r="D544" s="25"/>
      <c r="E544" s="36"/>
      <c r="F544" s="131" t="s">
        <v>1574</v>
      </c>
      <c r="G544" s="31" t="s">
        <v>1575</v>
      </c>
      <c r="H544" s="96" t="s">
        <v>2628</v>
      </c>
      <c r="I544" s="131" t="s">
        <v>302</v>
      </c>
      <c r="J544" s="31" t="str">
        <f>INDEX(数据元说明!A:F,MATCH(I544,数据元说明!C:C,0),2)</f>
        <v>001005</v>
      </c>
      <c r="K544" s="133" t="str">
        <f>INDEX(数据元说明!A:F,MATCH(I544,数据元说明!C:C,0),5)</f>
        <v>YYYYMMDD，默认值99991231。</v>
      </c>
      <c r="L544" s="31" t="str">
        <f>INDEX(数据元说明!A:F,MATCH(I544,数据元说明!C:C,0),6)</f>
        <v>C8</v>
      </c>
      <c r="M544" s="133" t="s">
        <v>1577</v>
      </c>
      <c r="N544" s="99"/>
      <c r="O544" s="99"/>
      <c r="P544" s="99"/>
    </row>
    <row r="545" s="61" customFormat="1" ht="30" customHeight="1" spans="1:16">
      <c r="A545" s="125"/>
      <c r="B545" s="34"/>
      <c r="C545" s="19" t="s">
        <v>105</v>
      </c>
      <c r="D545" s="24" t="s">
        <v>106</v>
      </c>
      <c r="E545" s="126">
        <v>410</v>
      </c>
      <c r="F545" s="127"/>
      <c r="G545" s="126"/>
      <c r="H545" s="126"/>
      <c r="I545" s="127"/>
      <c r="J545" s="126"/>
      <c r="K545" s="152"/>
      <c r="L545" s="126"/>
      <c r="M545" s="128" t="str">
        <f>INDEX(表结构总览!E:H,MATCH(D545,表结构总览!E:E,0),4)</f>
        <v>所有影响对公定期存款账户余额变动的交易信息，不包括查询交易。不包括计息和扣利息税记录。</v>
      </c>
      <c r="N545" s="139" t="s">
        <v>25</v>
      </c>
      <c r="O545" s="33"/>
      <c r="P545" s="33"/>
    </row>
    <row r="546" s="87" customFormat="1" ht="30" customHeight="1" spans="1:16">
      <c r="A546" s="141"/>
      <c r="B546" s="142"/>
      <c r="C546" s="39"/>
      <c r="D546" s="40"/>
      <c r="E546" s="47"/>
      <c r="F546" s="135" t="s">
        <v>702</v>
      </c>
      <c r="G546" s="136" t="s">
        <v>2370</v>
      </c>
      <c r="H546" s="137" t="s">
        <v>2629</v>
      </c>
      <c r="I546" s="135" t="s">
        <v>702</v>
      </c>
      <c r="J546" s="136" t="str">
        <f>INDEX(数据元说明!A:F,MATCH(I546,数据元说明!C:C,0),2)</f>
        <v>004001</v>
      </c>
      <c r="K546" s="138" t="str">
        <f>INDEX(数据元说明!A:F,MATCH(I546,数据元说明!C:C,0),5)</f>
        <v>唯一标识该笔交易的编号，银行自定义。可以是业务编号，也可以是交易系统中使用的时间戳，如：时间戳(纳秒)：1530027865231834600。</v>
      </c>
      <c r="L546" s="136" t="str">
        <f>INDEX(数据元说明!A:F,MATCH(I546,数据元说明!C:C,0),6)</f>
        <v>C..100</v>
      </c>
      <c r="M546" s="138" t="s">
        <v>1587</v>
      </c>
      <c r="N546" s="143" t="s">
        <v>57</v>
      </c>
      <c r="O546" s="221"/>
      <c r="P546" s="140"/>
    </row>
    <row r="547" s="61" customFormat="1" ht="30" customHeight="1" outlineLevel="1" spans="1:16">
      <c r="A547" s="130"/>
      <c r="B547" s="36"/>
      <c r="C547" s="25"/>
      <c r="D547" s="25"/>
      <c r="E547" s="36"/>
      <c r="F547" s="131" t="s">
        <v>325</v>
      </c>
      <c r="G547" s="31" t="s">
        <v>1520</v>
      </c>
      <c r="H547" s="132" t="s">
        <v>2630</v>
      </c>
      <c r="I547" s="131" t="s">
        <v>325</v>
      </c>
      <c r="J547" s="31" t="str">
        <f>INDEX(数据元说明!A:F,MATCH(I547,数据元说明!C:C,0),2)</f>
        <v>001010</v>
      </c>
      <c r="K547" s="133" t="str">
        <f>INDEX(数据元说明!A:F,MATCH(I547,数据元说明!C:C,0),5)</f>
        <v>12位人行支付行号或SWIFT行号。</v>
      </c>
      <c r="L547" s="31" t="str">
        <f>INDEX(数据元说明!A:F,MATCH(I547,数据元说明!C:C,0),6)</f>
        <v>C..30</v>
      </c>
      <c r="M547" s="98" t="s">
        <v>2600</v>
      </c>
      <c r="N547" s="99"/>
      <c r="O547" s="99"/>
      <c r="P547" s="99"/>
    </row>
    <row r="548" s="81" customFormat="1" ht="30" customHeight="1" outlineLevel="1" spans="1:16">
      <c r="A548" s="134"/>
      <c r="B548" s="47"/>
      <c r="C548" s="39"/>
      <c r="D548" s="39"/>
      <c r="E548" s="47"/>
      <c r="F548" s="135" t="s">
        <v>329</v>
      </c>
      <c r="G548" s="136" t="s">
        <v>1526</v>
      </c>
      <c r="H548" s="137" t="s">
        <v>2631</v>
      </c>
      <c r="I548" s="135" t="s">
        <v>329</v>
      </c>
      <c r="J548" s="136" t="str">
        <f>INDEX(数据元说明!A:F,MATCH(I548,数据元说明!C:C,0),2)</f>
        <v>001011</v>
      </c>
      <c r="K548" s="138" t="str">
        <f>INDEX(数据元说明!A:F,MATCH(I548,数据元说明!C:C,0),5)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48" s="136" t="str">
        <f>INDEX(数据元说明!A:F,MATCH(I548,数据元说明!C:C,0),6)</f>
        <v>C..30</v>
      </c>
      <c r="M548" s="138" t="s">
        <v>2602</v>
      </c>
      <c r="N548" s="129" t="s">
        <v>25</v>
      </c>
      <c r="O548" s="129" t="s">
        <v>449</v>
      </c>
      <c r="P548" s="139"/>
    </row>
    <row r="549" s="61" customFormat="1" ht="30" customHeight="1" outlineLevel="1" spans="1:16">
      <c r="A549" s="184"/>
      <c r="B549" s="185"/>
      <c r="C549" s="25"/>
      <c r="D549" s="25"/>
      <c r="E549" s="36"/>
      <c r="F549" s="131" t="s">
        <v>333</v>
      </c>
      <c r="G549" s="31" t="s">
        <v>1523</v>
      </c>
      <c r="H549" s="132" t="s">
        <v>2632</v>
      </c>
      <c r="I549" s="131" t="s">
        <v>333</v>
      </c>
      <c r="J549" s="31" t="str">
        <f>INDEX(数据元说明!A:F,MATCH(I549,数据元说明!C:C,0),2)</f>
        <v>001012</v>
      </c>
      <c r="K549" s="133" t="str">
        <f>INDEX(数据元说明!A:F,MATCH(I549,数据元说明!C:C,0),5)</f>
        <v>银行内部机构号。应具有标识机构的唯一性。</v>
      </c>
      <c r="L549" s="31" t="str">
        <f>INDEX(数据元说明!A:F,MATCH(I549,数据元说明!C:C,0),6)</f>
        <v>C..30</v>
      </c>
      <c r="M549" s="98" t="s">
        <v>2604</v>
      </c>
      <c r="N549" s="99"/>
      <c r="O549" s="99"/>
      <c r="P549" s="99"/>
    </row>
    <row r="550" s="61" customFormat="1" ht="30" customHeight="1" outlineLevel="1" spans="1:16">
      <c r="A550" s="159"/>
      <c r="B550" s="160"/>
      <c r="C550" s="95"/>
      <c r="D550" s="95"/>
      <c r="E550" s="94"/>
      <c r="F550" s="97" t="s">
        <v>2375</v>
      </c>
      <c r="G550" s="29" t="s">
        <v>2376</v>
      </c>
      <c r="H550" s="132" t="s">
        <v>2633</v>
      </c>
      <c r="I550" s="97" t="s">
        <v>333</v>
      </c>
      <c r="J550" s="29" t="str">
        <f>INDEX(数据元说明!A:F,MATCH(I550,数据元说明!C:C,0),2)</f>
        <v>001012</v>
      </c>
      <c r="K550" s="98" t="str">
        <f>INDEX(数据元说明!A:F,MATCH(I550,数据元说明!C:C,0),5)</f>
        <v>银行内部机构号。应具有标识机构的唯一性。</v>
      </c>
      <c r="L550" s="29" t="str">
        <f>INDEX(数据元说明!A:F,MATCH(I550,数据元说明!C:C,0),6)</f>
        <v>C..30</v>
      </c>
      <c r="M550" s="133" t="s">
        <v>2378</v>
      </c>
      <c r="N550" s="99"/>
      <c r="O550" s="99"/>
      <c r="P550" s="99"/>
    </row>
    <row r="551" s="61" customFormat="1" ht="30" customHeight="1" outlineLevel="1" spans="1:16">
      <c r="A551" s="130"/>
      <c r="B551" s="36"/>
      <c r="C551" s="25"/>
      <c r="D551" s="25"/>
      <c r="E551" s="36"/>
      <c r="F551" s="135" t="s">
        <v>1532</v>
      </c>
      <c r="G551" s="136" t="s">
        <v>1533</v>
      </c>
      <c r="H551" s="137" t="s">
        <v>2634</v>
      </c>
      <c r="I551" s="135" t="s">
        <v>282</v>
      </c>
      <c r="J551" s="136" t="str">
        <f>INDEX(数据元说明!A:F,MATCH(I551,数据元说明!C:C,0),2)</f>
        <v>001001</v>
      </c>
      <c r="K551" s="138" t="str">
        <f>INDEX(数据元说明!A:F,MATCH(I551,数据元说明!C:C,0),5)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551" s="136" t="str">
        <f>INDEX(数据元说明!A:F,MATCH(I551,数据元说明!C:C,0),6)</f>
        <v>C..400</v>
      </c>
      <c r="M551" s="158" t="s">
        <v>2606</v>
      </c>
      <c r="N551" s="139" t="s">
        <v>25</v>
      </c>
      <c r="O551" s="139" t="s">
        <v>280</v>
      </c>
      <c r="P551" s="140" t="s">
        <v>1588</v>
      </c>
    </row>
    <row r="552" s="81" customFormat="1" ht="30" customHeight="1" outlineLevel="1" spans="1:16">
      <c r="A552" s="134"/>
      <c r="B552" s="47"/>
      <c r="C552" s="39"/>
      <c r="D552" s="39"/>
      <c r="E552" s="47"/>
      <c r="F552" s="135" t="s">
        <v>2325</v>
      </c>
      <c r="G552" s="136" t="s">
        <v>2326</v>
      </c>
      <c r="H552" s="137" t="s">
        <v>2635</v>
      </c>
      <c r="I552" s="135" t="s">
        <v>574</v>
      </c>
      <c r="J552" s="136" t="str">
        <f>INDEX(数据元说明!A:F,MATCH(I552,数据元说明!C:C,0),2)</f>
        <v>003002</v>
      </c>
      <c r="K552" s="138" t="str">
        <f>INDEX(数据元说明!A:F,MATCH(I552,数据元说明!C:C,0),5)</f>
        <v>机构实际使用的总账会计科目编码。</v>
      </c>
      <c r="L552" s="136" t="str">
        <f>INDEX(数据元说明!A:F,MATCH(I552,数据元说明!C:C,0),6)</f>
        <v>C..200</v>
      </c>
      <c r="M552" s="138" t="s">
        <v>2328</v>
      </c>
      <c r="N552" s="139" t="s">
        <v>25</v>
      </c>
      <c r="O552" s="139" t="s">
        <v>1516</v>
      </c>
      <c r="P552" s="140"/>
    </row>
    <row r="553" s="81" customFormat="1" ht="30" customHeight="1" outlineLevel="1" spans="1:16">
      <c r="A553" s="134"/>
      <c r="B553" s="47"/>
      <c r="C553" s="39"/>
      <c r="D553" s="39"/>
      <c r="E553" s="47"/>
      <c r="F553" s="135" t="s">
        <v>2329</v>
      </c>
      <c r="G553" s="136" t="s">
        <v>2330</v>
      </c>
      <c r="H553" s="137" t="s">
        <v>2636</v>
      </c>
      <c r="I553" s="135" t="s">
        <v>578</v>
      </c>
      <c r="J553" s="136" t="str">
        <f>INDEX(数据元说明!A:F,MATCH(I553,数据元说明!C:C,0),2)</f>
        <v>003003</v>
      </c>
      <c r="K553" s="138" t="str">
        <f>INDEX(数据元说明!A:F,MATCH(I553,数据元说明!C:C,0),5)</f>
        <v>机构实际使用的总账会计科目编码对应的名称。</v>
      </c>
      <c r="L553" s="136" t="str">
        <f>INDEX(数据元说明!A:F,MATCH(I553,数据元说明!C:C,0),6)</f>
        <v>C..200</v>
      </c>
      <c r="M553" s="138" t="s">
        <v>2328</v>
      </c>
      <c r="N553" s="139" t="s">
        <v>25</v>
      </c>
      <c r="O553" s="139" t="s">
        <v>449</v>
      </c>
      <c r="P553" s="140"/>
    </row>
    <row r="554" s="61" customFormat="1" ht="30" customHeight="1" outlineLevel="1" spans="1:16">
      <c r="A554" s="130"/>
      <c r="B554" s="36"/>
      <c r="C554" s="25"/>
      <c r="D554" s="25"/>
      <c r="E554" s="36"/>
      <c r="F554" s="131" t="s">
        <v>453</v>
      </c>
      <c r="G554" s="31" t="s">
        <v>1680</v>
      </c>
      <c r="H554" s="132" t="s">
        <v>2637</v>
      </c>
      <c r="I554" s="131" t="s">
        <v>453</v>
      </c>
      <c r="J554" s="31" t="str">
        <f>INDEX(数据元说明!A:F,MATCH(I554,数据元说明!C:C,0),2)</f>
        <v>002001</v>
      </c>
      <c r="K554" s="133" t="str">
        <f>INDEX(数据元说明!A:F,MATCH(I554,数据元说明!C:C,0),5)</f>
        <v>银行自定义的唯一识别客户的标识。供应链融资的填写供应链融资编码。</v>
      </c>
      <c r="L554" s="31" t="str">
        <f>INDEX(数据元说明!A:F,MATCH(I554,数据元说明!C:C,0),6)</f>
        <v>C..60</v>
      </c>
      <c r="M554" s="133" t="s">
        <v>2548</v>
      </c>
      <c r="N554" s="33" t="s">
        <v>25</v>
      </c>
      <c r="O554" s="99"/>
      <c r="P554" s="33" t="s">
        <v>1588</v>
      </c>
    </row>
    <row r="555" s="81" customFormat="1" ht="30" customHeight="1" outlineLevel="1" spans="1:16">
      <c r="A555" s="134"/>
      <c r="B555" s="47"/>
      <c r="C555" s="39"/>
      <c r="D555" s="39"/>
      <c r="E555" s="47"/>
      <c r="F555" s="135" t="s">
        <v>628</v>
      </c>
      <c r="G555" s="136" t="s">
        <v>2334</v>
      </c>
      <c r="H555" s="137" t="s">
        <v>2638</v>
      </c>
      <c r="I555" s="135" t="s">
        <v>628</v>
      </c>
      <c r="J555" s="136" t="str">
        <f>INDEX(数据元说明!A:F,MATCH(I555,数据元说明!C:C,0),2)</f>
        <v>003015</v>
      </c>
      <c r="K555" s="138" t="str">
        <f>INDEX(数据元说明!A:F,MATCH(I555,数据元说明!C:C,0),5)</f>
        <v>账户归属者的名称。如果客户为个人，则为隐私，银行机构变形，变形规则见《采集技术接口说明》。客户是境内涉密机构的，账户名称填报为“*********”。其他情况，则为非隐私，不做变形。</v>
      </c>
      <c r="L555" s="136" t="str">
        <f>INDEX(数据元说明!A:F,MATCH(I555,数据元说明!C:C,0),6)</f>
        <v>C..400</v>
      </c>
      <c r="M555" s="138"/>
      <c r="N555" s="139" t="s">
        <v>25</v>
      </c>
      <c r="O555" s="139" t="s">
        <v>449</v>
      </c>
      <c r="P555" s="140" t="s">
        <v>1588</v>
      </c>
    </row>
    <row r="556" s="61" customFormat="1" ht="30" customHeight="1" outlineLevel="1" spans="1:16">
      <c r="A556" s="130"/>
      <c r="B556" s="36"/>
      <c r="C556" s="25"/>
      <c r="D556" s="25"/>
      <c r="E556" s="36"/>
      <c r="F556" s="131" t="s">
        <v>2473</v>
      </c>
      <c r="G556" s="31" t="s">
        <v>2474</v>
      </c>
      <c r="H556" s="132" t="s">
        <v>2639</v>
      </c>
      <c r="I556" s="131" t="s">
        <v>570</v>
      </c>
      <c r="J556" s="31" t="str">
        <f>INDEX(数据元说明!A:F,MATCH(I556,数据元说明!C:C,0),2)</f>
        <v>003001</v>
      </c>
      <c r="K556" s="133" t="str">
        <f>INDEX(数据元说明!A:F,MATCH(I556,数据元说明!C:C,0),5)</f>
        <v>系统内最细一级的账号，无唯一性约束，不需要和序号、子序号等做拼接。</v>
      </c>
      <c r="L556" s="31" t="str">
        <f>INDEX(数据元说明!A:F,MATCH(I556,数据元说明!C:C,0),6)</f>
        <v>C..60</v>
      </c>
      <c r="M556" s="133" t="s">
        <v>2640</v>
      </c>
      <c r="N556" s="33" t="s">
        <v>25</v>
      </c>
      <c r="O556" s="99"/>
      <c r="P556" s="33" t="s">
        <v>1588</v>
      </c>
    </row>
    <row r="557" s="61" customFormat="1" ht="30" customHeight="1" outlineLevel="1" spans="1:16">
      <c r="A557" s="130"/>
      <c r="B557" s="36"/>
      <c r="C557" s="25"/>
      <c r="D557" s="25"/>
      <c r="E557" s="36"/>
      <c r="F557" s="131" t="s">
        <v>2395</v>
      </c>
      <c r="G557" s="31" t="s">
        <v>2396</v>
      </c>
      <c r="H557" s="132" t="s">
        <v>2641</v>
      </c>
      <c r="I557" s="131" t="s">
        <v>302</v>
      </c>
      <c r="J557" s="31" t="str">
        <f>INDEX(数据元说明!A:F,MATCH(I557,数据元说明!C:C,0),2)</f>
        <v>001005</v>
      </c>
      <c r="K557" s="133" t="str">
        <f>INDEX(数据元说明!A:F,MATCH(I557,数据元说明!C:C,0),5)</f>
        <v>YYYYMMDD，默认值99991231。</v>
      </c>
      <c r="L557" s="31" t="str">
        <f>INDEX(数据元说明!A:F,MATCH(I557,数据元说明!C:C,0),6)</f>
        <v>C8</v>
      </c>
      <c r="M557" s="98" t="s">
        <v>2642</v>
      </c>
      <c r="N557" s="220"/>
      <c r="O557" s="220"/>
      <c r="P557" s="220"/>
    </row>
    <row r="558" s="61" customFormat="1" ht="30" customHeight="1" outlineLevel="1" spans="1:16">
      <c r="A558" s="130"/>
      <c r="B558" s="36"/>
      <c r="C558" s="25"/>
      <c r="D558" s="25"/>
      <c r="E558" s="36"/>
      <c r="F558" s="131" t="s">
        <v>2399</v>
      </c>
      <c r="G558" s="31" t="s">
        <v>2400</v>
      </c>
      <c r="H558" s="132" t="s">
        <v>2643</v>
      </c>
      <c r="I558" s="131" t="s">
        <v>312</v>
      </c>
      <c r="J558" s="31" t="str">
        <f>INDEX(数据元说明!A:F,MATCH(I558,数据元说明!C:C,0),2)</f>
        <v>001007</v>
      </c>
      <c r="K558" s="133" t="str">
        <f>INDEX(数据元说明!A:F,MATCH(I558,数据元说明!C:C,0),5)</f>
        <v>24小时制时间，精确到秒。hhmmss，默认值000000。</v>
      </c>
      <c r="L558" s="31" t="str">
        <f>INDEX(数据元说明!A:F,MATCH(I558,数据元说明!C:C,0),6)</f>
        <v>C6</v>
      </c>
      <c r="M558" s="98" t="s">
        <v>2402</v>
      </c>
      <c r="N558" s="220"/>
      <c r="O558" s="220"/>
      <c r="P558" s="220"/>
    </row>
    <row r="559" s="61" customFormat="1" ht="30" customHeight="1" outlineLevel="1" spans="1:16">
      <c r="A559" s="130"/>
      <c r="B559" s="36"/>
      <c r="C559" s="25"/>
      <c r="D559" s="25"/>
      <c r="E559" s="36"/>
      <c r="F559" s="131" t="s">
        <v>624</v>
      </c>
      <c r="G559" s="31" t="s">
        <v>1989</v>
      </c>
      <c r="H559" s="132" t="s">
        <v>2644</v>
      </c>
      <c r="I559" s="131" t="s">
        <v>624</v>
      </c>
      <c r="J559" s="31" t="str">
        <f>INDEX(数据元说明!A:F,MATCH(I559,数据元说明!C:C,0),2)</f>
        <v>003014</v>
      </c>
      <c r="K559" s="133" t="str">
        <f>INDEX(数据元说明!A:F,MATCH(I559,数据元说明!C:C,0),5)</f>
        <v>遵循《GB/T 12406 表示货币和资金的代码》的字母代码，如CNY。上述文件所列币种无法涵盖的，允许银行自定义填报。多个币种合计折算为人民币（本外币合计）的，填报为BWB。</v>
      </c>
      <c r="L559" s="31" t="str">
        <f>INDEX(数据元说明!A:F,MATCH(I559,数据元说明!C:C,0),6)</f>
        <v>C3</v>
      </c>
      <c r="M559" s="133"/>
      <c r="N559" s="99"/>
      <c r="O559" s="99"/>
      <c r="P559" s="99"/>
    </row>
    <row r="560" s="81" customFormat="1" ht="30" customHeight="1" outlineLevel="1" spans="1:16">
      <c r="A560" s="134"/>
      <c r="B560" s="47"/>
      <c r="C560" s="39"/>
      <c r="D560" s="39"/>
      <c r="E560" s="47"/>
      <c r="F560" s="135" t="s">
        <v>706</v>
      </c>
      <c r="G560" s="136" t="s">
        <v>2391</v>
      </c>
      <c r="H560" s="137" t="s">
        <v>2645</v>
      </c>
      <c r="I560" s="135" t="s">
        <v>706</v>
      </c>
      <c r="J560" s="136" t="str">
        <f>INDEX(数据元说明!A:F,MATCH(I560,数据元说明!C:C,0),2)</f>
        <v>004002</v>
      </c>
      <c r="K560" s="223" t="str">
        <f>INDEX(数据元说明!A:F,MATCH(I560,数据元说明!C:C,0),5)</f>
        <v>转账，取现，存现，消费，代发，代扣，代缴，结息，批量交易，贷款发放，还款-还本，还款-还息，银证业务，投资理财，其他-银行自定义类型。无法以枚举类型填报的，以“其他-XX”报送，其中“XX”为银行自定义类型。</v>
      </c>
      <c r="L560" s="136" t="str">
        <f>INDEX(数据元说明!A:F,MATCH(I560,数据元说明!C:C,0),6)</f>
        <v>C..60</v>
      </c>
      <c r="M560" s="138"/>
      <c r="N560" s="187" t="s">
        <v>25</v>
      </c>
      <c r="O560" s="187" t="s">
        <v>275</v>
      </c>
      <c r="P560" s="140"/>
    </row>
    <row r="561" s="81" customFormat="1" ht="30" customHeight="1" outlineLevel="1" spans="1:16">
      <c r="A561" s="134"/>
      <c r="B561" s="47"/>
      <c r="C561" s="39"/>
      <c r="D561" s="39"/>
      <c r="E561" s="47"/>
      <c r="F561" s="135" t="s">
        <v>693</v>
      </c>
      <c r="G561" s="136" t="s">
        <v>2393</v>
      </c>
      <c r="H561" s="137" t="s">
        <v>2646</v>
      </c>
      <c r="I561" s="135" t="s">
        <v>693</v>
      </c>
      <c r="J561" s="136" t="str">
        <f>INDEX(数据元说明!A:F,MATCH(I561,数据元说明!C:C,0),2)</f>
        <v>003031</v>
      </c>
      <c r="K561" s="138" t="str">
        <f>INDEX(数据元说明!A:F,MATCH(I561,数据元说明!C:C,0),5)</f>
        <v>借，贷。</v>
      </c>
      <c r="L561" s="136" t="str">
        <f>INDEX(数据元说明!A:F,MATCH(I561,数据元说明!C:C,0),6)</f>
        <v>C3</v>
      </c>
      <c r="M561" s="138"/>
      <c r="N561" s="140" t="s">
        <v>25</v>
      </c>
      <c r="O561" s="139" t="s">
        <v>280</v>
      </c>
      <c r="P561" s="140" t="s">
        <v>1588</v>
      </c>
    </row>
    <row r="562" s="61" customFormat="1" ht="30" customHeight="1" outlineLevel="1" spans="1:16">
      <c r="A562" s="130"/>
      <c r="B562" s="36"/>
      <c r="C562" s="25"/>
      <c r="D562" s="25"/>
      <c r="E562" s="36"/>
      <c r="F562" s="131" t="s">
        <v>2404</v>
      </c>
      <c r="G562" s="31" t="s">
        <v>2405</v>
      </c>
      <c r="H562" s="132" t="s">
        <v>2647</v>
      </c>
      <c r="I562" s="131" t="s">
        <v>609</v>
      </c>
      <c r="J562" s="31" t="str">
        <f>INDEX(数据元说明!A:F,MATCH(I562,数据元说明!C:C,0),2)</f>
        <v>003010</v>
      </c>
      <c r="K562" s="133" t="str">
        <f>INDEX(数据元说明!A:F,MATCH(I562,数据元说明!C:C,0),5)</f>
        <v>与币种相对应金额。</v>
      </c>
      <c r="L562" s="31" t="str">
        <f>INDEX(数据元说明!A:F,MATCH(I562,数据元说明!C:C,0),6)</f>
        <v>D20.2</v>
      </c>
      <c r="M562" s="133"/>
      <c r="N562" s="99"/>
      <c r="O562" s="99"/>
      <c r="P562" s="99"/>
    </row>
    <row r="563" s="61" customFormat="1" ht="30" customHeight="1" outlineLevel="1" spans="1:16">
      <c r="A563" s="130"/>
      <c r="B563" s="36"/>
      <c r="C563" s="25"/>
      <c r="D563" s="25"/>
      <c r="E563" s="36"/>
      <c r="F563" s="131" t="s">
        <v>2407</v>
      </c>
      <c r="G563" s="31" t="s">
        <v>2408</v>
      </c>
      <c r="H563" s="132" t="s">
        <v>2648</v>
      </c>
      <c r="I563" s="131" t="s">
        <v>613</v>
      </c>
      <c r="J563" s="31" t="str">
        <f>INDEX(数据元说明!A:F,MATCH(I563,数据元说明!C:C,0),2)</f>
        <v>003011</v>
      </c>
      <c r="K563" s="133" t="str">
        <f>INDEX(数据元说明!A:F,MATCH(I563,数据元说明!C:C,0),5)</f>
        <v>与币种相对应金额。</v>
      </c>
      <c r="L563" s="31" t="str">
        <f>INDEX(数据元说明!A:F,MATCH(I563,数据元说明!C:C,0),6)</f>
        <v>D20.2</v>
      </c>
      <c r="M563" s="133" t="s">
        <v>2410</v>
      </c>
      <c r="N563" s="99"/>
      <c r="O563" s="99"/>
      <c r="P563" s="99"/>
    </row>
    <row r="564" s="81" customFormat="1" ht="30" customHeight="1" outlineLevel="1" spans="1:16">
      <c r="A564" s="134"/>
      <c r="B564" s="47"/>
      <c r="C564" s="39"/>
      <c r="D564" s="39"/>
      <c r="E564" s="47"/>
      <c r="F564" s="135" t="s">
        <v>2411</v>
      </c>
      <c r="G564" s="136" t="s">
        <v>2412</v>
      </c>
      <c r="H564" s="137" t="s">
        <v>2649</v>
      </c>
      <c r="I564" s="157" t="s">
        <v>697</v>
      </c>
      <c r="J564" s="136" t="str">
        <f>INDEX(数据元说明!A:F,MATCH(I564,数据元说明!C:C,0),2)</f>
        <v>003032</v>
      </c>
      <c r="K564" s="138" t="str">
        <f>INDEX(数据元说明!A:F,MATCH(I564,数据元说明!C:C,0),5)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564" s="136" t="str">
        <f>INDEX(数据元说明!A:F,MATCH(I564,数据元说明!C:C,0),6)</f>
        <v>C..60</v>
      </c>
      <c r="M564" s="158" t="s">
        <v>2522</v>
      </c>
      <c r="N564" s="221" t="s">
        <v>25</v>
      </c>
      <c r="O564" s="221" t="s">
        <v>449</v>
      </c>
      <c r="P564" s="221"/>
    </row>
    <row r="565" s="81" customFormat="1" ht="30" customHeight="1" outlineLevel="1" spans="1:16">
      <c r="A565" s="167"/>
      <c r="B565" s="168"/>
      <c r="C565" s="176"/>
      <c r="D565" s="176"/>
      <c r="E565" s="168"/>
      <c r="F565" s="157" t="s">
        <v>2415</v>
      </c>
      <c r="G565" s="43" t="s">
        <v>2416</v>
      </c>
      <c r="H565" s="137" t="s">
        <v>2650</v>
      </c>
      <c r="I565" s="157" t="s">
        <v>628</v>
      </c>
      <c r="J565" s="43" t="str">
        <f>INDEX(数据元说明!A:F,MATCH(I565,数据元说明!C:C,0),2)</f>
        <v>003015</v>
      </c>
      <c r="K565" s="158" t="str">
        <f>INDEX(数据元说明!A:F,MATCH(I565,数据元说明!C:C,0),5)</f>
        <v>账户归属者的名称。如果客户为个人，则为隐私，银行机构变形，变形规则见《采集技术接口说明》。客户是境内涉密机构的，账户名称填报为“*********”。其他情况，则为非隐私，不做变形。</v>
      </c>
      <c r="L565" s="43" t="str">
        <f>INDEX(数据元说明!A:F,MATCH(I565,数据元说明!C:C,0),6)</f>
        <v>C..400</v>
      </c>
      <c r="M565" s="158" t="s">
        <v>2418</v>
      </c>
      <c r="N565" s="139" t="s">
        <v>25</v>
      </c>
      <c r="O565" s="139" t="s">
        <v>1613</v>
      </c>
      <c r="P565" s="139"/>
    </row>
    <row r="566" s="81" customFormat="1" ht="30" customHeight="1" outlineLevel="1" spans="1:16">
      <c r="A566" s="167"/>
      <c r="B566" s="168"/>
      <c r="C566" s="176"/>
      <c r="D566" s="176"/>
      <c r="E566" s="168"/>
      <c r="F566" s="157" t="s">
        <v>2419</v>
      </c>
      <c r="G566" s="43" t="s">
        <v>2420</v>
      </c>
      <c r="H566" s="137" t="s">
        <v>2651</v>
      </c>
      <c r="I566" s="157" t="s">
        <v>325</v>
      </c>
      <c r="J566" s="43" t="str">
        <f>INDEX(数据元说明!A:F,MATCH(I566,数据元说明!C:C,0),2)</f>
        <v>001010</v>
      </c>
      <c r="K566" s="158" t="str">
        <f>INDEX(数据元说明!A:F,MATCH(I566,数据元说明!C:C,0),5)</f>
        <v>12位人行支付行号或SWIFT行号。</v>
      </c>
      <c r="L566" s="43" t="str">
        <f>INDEX(数据元说明!A:F,MATCH(I566,数据元说明!C:C,0),6)</f>
        <v>C..30</v>
      </c>
      <c r="M566" s="222" t="s">
        <v>2422</v>
      </c>
      <c r="N566" s="221" t="s">
        <v>25</v>
      </c>
      <c r="O566" s="221" t="s">
        <v>449</v>
      </c>
      <c r="P566" s="221"/>
    </row>
    <row r="567" s="81" customFormat="1" ht="30" customHeight="1" outlineLevel="1" spans="1:16">
      <c r="A567" s="167"/>
      <c r="B567" s="168"/>
      <c r="C567" s="176"/>
      <c r="D567" s="176"/>
      <c r="E567" s="168"/>
      <c r="F567" s="157" t="s">
        <v>2423</v>
      </c>
      <c r="G567" s="43" t="s">
        <v>2424</v>
      </c>
      <c r="H567" s="137" t="s">
        <v>2652</v>
      </c>
      <c r="I567" s="157" t="s">
        <v>282</v>
      </c>
      <c r="J567" s="43" t="str">
        <f>INDEX(数据元说明!A:F,MATCH(I567,数据元说明!C:C,0),2)</f>
        <v>001001</v>
      </c>
      <c r="K567" s="158" t="str">
        <f>INDEX(数据元说明!A:F,MATCH(I567,数据元说明!C:C,0),5)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567" s="43" t="str">
        <f>INDEX(数据元说明!A:F,MATCH(I567,数据元说明!C:C,0),6)</f>
        <v>C..400</v>
      </c>
      <c r="M567" s="222" t="s">
        <v>2426</v>
      </c>
      <c r="N567" s="221" t="s">
        <v>25</v>
      </c>
      <c r="O567" s="221" t="s">
        <v>1673</v>
      </c>
      <c r="P567" s="221"/>
    </row>
    <row r="568" s="81" customFormat="1" ht="30" customHeight="1" outlineLevel="1" spans="1:16">
      <c r="A568" s="134"/>
      <c r="B568" s="47"/>
      <c r="C568" s="39"/>
      <c r="D568" s="39"/>
      <c r="E568" s="47"/>
      <c r="F568" s="135" t="s">
        <v>718</v>
      </c>
      <c r="G568" s="136" t="s">
        <v>1779</v>
      </c>
      <c r="H568" s="137" t="s">
        <v>2653</v>
      </c>
      <c r="I568" s="135" t="s">
        <v>718</v>
      </c>
      <c r="J568" s="136" t="str">
        <f>INDEX(数据元说明!A:F,MATCH(I568,数据元说明!C:C,0),2)</f>
        <v>004005</v>
      </c>
      <c r="K568" s="138" t="str">
        <f>INDEX(数据元说明!A:F,MATCH(I568,数据元说明!C:C,0),5)</f>
        <v>银行自定义交易内容的简要描述。可以是转账凭证上的备注、附言。</v>
      </c>
      <c r="L568" s="136" t="str">
        <f>INDEX(数据元说明!A:F,MATCH(I568,数据元说明!C:C,0),6)</f>
        <v>C..400</v>
      </c>
      <c r="M568" s="138"/>
      <c r="N568" s="139" t="s">
        <v>25</v>
      </c>
      <c r="O568" s="139" t="s">
        <v>275</v>
      </c>
      <c r="P568" s="140" t="s">
        <v>1588</v>
      </c>
    </row>
    <row r="569" s="61" customFormat="1" ht="30" customHeight="1" outlineLevel="1" spans="1:16">
      <c r="A569" s="130"/>
      <c r="B569" s="36"/>
      <c r="C569" s="25"/>
      <c r="D569" s="25"/>
      <c r="E569" s="36"/>
      <c r="F569" s="131" t="s">
        <v>722</v>
      </c>
      <c r="G569" s="31" t="s">
        <v>2428</v>
      </c>
      <c r="H569" s="132" t="s">
        <v>2654</v>
      </c>
      <c r="I569" s="131" t="s">
        <v>722</v>
      </c>
      <c r="J569" s="31" t="str">
        <f>INDEX(数据元说明!A:F,MATCH(I569,数据元说明!C:C,0),2)</f>
        <v>004006</v>
      </c>
      <c r="K569" s="133" t="str">
        <f>INDEX(数据元说明!A:F,MATCH(I569,数据元说明!C:C,0),5)</f>
        <v>正常，冲补抹。</v>
      </c>
      <c r="L569" s="31" t="str">
        <f>INDEX(数据元说明!A:F,MATCH(I569,数据元说明!C:C,0),6)</f>
        <v>C..9</v>
      </c>
      <c r="M569" s="133" t="s">
        <v>2430</v>
      </c>
      <c r="N569" s="33" t="s">
        <v>25</v>
      </c>
      <c r="O569" s="99"/>
      <c r="P569" s="33" t="s">
        <v>1588</v>
      </c>
    </row>
    <row r="570" s="81" customFormat="1" ht="30" customHeight="1" outlineLevel="1" spans="1:16">
      <c r="A570" s="134"/>
      <c r="B570" s="47"/>
      <c r="C570" s="39"/>
      <c r="D570" s="39"/>
      <c r="E570" s="47"/>
      <c r="F570" s="135" t="s">
        <v>710</v>
      </c>
      <c r="G570" s="136" t="s">
        <v>2434</v>
      </c>
      <c r="H570" s="137" t="s">
        <v>2655</v>
      </c>
      <c r="I570" s="135" t="s">
        <v>710</v>
      </c>
      <c r="J570" s="136" t="str">
        <f>INDEX(数据元说明!A:F,MATCH(I570,数据元说明!C:C,0),2)</f>
        <v>004003</v>
      </c>
      <c r="K570" s="138" t="str">
        <f>INDEX(数据元说明!A:F,MATCH(I570,数据元说明!C:C,0),5)</f>
        <v>柜面，ATM，VTM，POS，网银，手机银行，银联交易，三方支付-银行自定义，其他-银行自定义。交易类型为三方支付的，以“三方支付-XX”填报，其中“XX”为第三方支付平台名称。如无法以枚举类型填报，则以“其他-XX”填报，其中“XX”为银行自定义类型。</v>
      </c>
      <c r="L570" s="136" t="str">
        <f>INDEX(数据元说明!A:F,MATCH(I570,数据元说明!C:C,0),6)</f>
        <v>C..60</v>
      </c>
      <c r="M570" s="162" t="s">
        <v>2436</v>
      </c>
      <c r="N570" s="140" t="s">
        <v>25</v>
      </c>
      <c r="O570" s="139" t="s">
        <v>275</v>
      </c>
      <c r="P570" s="140" t="s">
        <v>1606</v>
      </c>
    </row>
    <row r="571" s="81" customFormat="1" ht="30" customHeight="1" outlineLevel="1" spans="1:16">
      <c r="A571" s="134"/>
      <c r="B571" s="47"/>
      <c r="C571" s="39"/>
      <c r="D571" s="39"/>
      <c r="E571" s="47"/>
      <c r="F571" s="135" t="s">
        <v>714</v>
      </c>
      <c r="G571" s="136" t="s">
        <v>2431</v>
      </c>
      <c r="H571" s="137" t="s">
        <v>2656</v>
      </c>
      <c r="I571" s="135" t="s">
        <v>714</v>
      </c>
      <c r="J571" s="136" t="str">
        <f>INDEX(数据元说明!A:F,MATCH(I571,数据元说明!C:C,0),2)</f>
        <v>004004</v>
      </c>
      <c r="K571" s="138" t="str">
        <f>INDEX(数据元说明!A:F,MATCH(I571,数据元说明!C:C,0),5)</f>
        <v>现，转。</v>
      </c>
      <c r="L571" s="136" t="str">
        <f>INDEX(数据元说明!A:F,MATCH(I571,数据元说明!C:C,0),6)</f>
        <v>C3</v>
      </c>
      <c r="M571" s="138" t="s">
        <v>2433</v>
      </c>
      <c r="N571" s="139" t="s">
        <v>25</v>
      </c>
      <c r="O571" s="139" t="s">
        <v>449</v>
      </c>
      <c r="P571" s="140"/>
    </row>
    <row r="572" s="81" customFormat="1" ht="30" customHeight="1" outlineLevel="1" spans="1:16">
      <c r="A572" s="134"/>
      <c r="B572" s="47"/>
      <c r="C572" s="39"/>
      <c r="D572" s="39"/>
      <c r="E572" s="47"/>
      <c r="F572" s="135" t="s">
        <v>2529</v>
      </c>
      <c r="G572" s="136" t="s">
        <v>2530</v>
      </c>
      <c r="H572" s="137" t="s">
        <v>2657</v>
      </c>
      <c r="I572" s="135" t="s">
        <v>287</v>
      </c>
      <c r="J572" s="136" t="str">
        <f>INDEX(数据元说明!A:F,MATCH(I572,数据元说明!C:C,0),2)</f>
        <v>001002</v>
      </c>
      <c r="K572" s="138" t="str">
        <f>INDEX(数据元说明!A:F,MATCH(I572,数据元说明!C:C,0),5)</f>
        <v>是，否。</v>
      </c>
      <c r="L572" s="136" t="str">
        <f>INDEX(数据元说明!A:F,MATCH(I572,数据元说明!C:C,0),6)</f>
        <v>C3</v>
      </c>
      <c r="M572" s="138"/>
      <c r="N572" s="140" t="s">
        <v>25</v>
      </c>
      <c r="O572" s="140" t="s">
        <v>1513</v>
      </c>
      <c r="P572" s="140"/>
    </row>
    <row r="573" s="61" customFormat="1" ht="30" customHeight="1" outlineLevel="1" spans="1:16">
      <c r="A573" s="130"/>
      <c r="B573" s="36"/>
      <c r="C573" s="25"/>
      <c r="D573" s="25"/>
      <c r="E573" s="36"/>
      <c r="F573" s="131" t="s">
        <v>2456</v>
      </c>
      <c r="G573" s="31" t="s">
        <v>2457</v>
      </c>
      <c r="H573" s="132" t="s">
        <v>2658</v>
      </c>
      <c r="I573" s="131" t="s">
        <v>368</v>
      </c>
      <c r="J573" s="31" t="str">
        <f>INDEX(数据元说明!A:F,MATCH(I573,数据元说明!C:C,0),2)</f>
        <v>001021</v>
      </c>
      <c r="K573" s="133" t="str">
        <f>INDEX(数据元说明!A:F,MATCH(I573,数据元说明!C:C,0),5)</f>
        <v>柜员编号，银行自定义。</v>
      </c>
      <c r="L573" s="31" t="str">
        <f>INDEX(数据元说明!A:F,MATCH(I573,数据元说明!C:C,0),6)</f>
        <v>C..30</v>
      </c>
      <c r="M573" s="163" t="s">
        <v>2151</v>
      </c>
      <c r="N573" s="99"/>
      <c r="O573" s="99"/>
      <c r="P573" s="99"/>
    </row>
    <row r="574" s="61" customFormat="1" ht="30" customHeight="1" outlineLevel="1" spans="1:16">
      <c r="A574" s="130"/>
      <c r="B574" s="36"/>
      <c r="C574" s="25"/>
      <c r="D574" s="25"/>
      <c r="E574" s="36"/>
      <c r="F574" s="131" t="s">
        <v>2459</v>
      </c>
      <c r="G574" s="31" t="s">
        <v>2460</v>
      </c>
      <c r="H574" s="132" t="s">
        <v>2659</v>
      </c>
      <c r="I574" s="131" t="s">
        <v>368</v>
      </c>
      <c r="J574" s="31" t="str">
        <f>INDEX(数据元说明!A:F,MATCH(I574,数据元说明!C:C,0),2)</f>
        <v>001021</v>
      </c>
      <c r="K574" s="133" t="str">
        <f>INDEX(数据元说明!A:F,MATCH(I574,数据元说明!C:C,0),5)</f>
        <v>柜员编号，银行自定义。</v>
      </c>
      <c r="L574" s="31" t="str">
        <f>INDEX(数据元说明!A:F,MATCH(I574,数据元说明!C:C,0),6)</f>
        <v>C..30</v>
      </c>
      <c r="M574" s="163" t="s">
        <v>2462</v>
      </c>
      <c r="N574" s="99"/>
      <c r="O574" s="99"/>
      <c r="P574" s="99"/>
    </row>
    <row r="575" s="82" customFormat="1" ht="71" outlineLevel="1" spans="1:16">
      <c r="A575" s="144"/>
      <c r="B575" s="145"/>
      <c r="C575" s="146"/>
      <c r="D575" s="146"/>
      <c r="E575" s="145"/>
      <c r="F575" s="147" t="s">
        <v>449</v>
      </c>
      <c r="G575" s="148" t="s">
        <v>1571</v>
      </c>
      <c r="H575" s="148" t="s">
        <v>2660</v>
      </c>
      <c r="I575" s="147" t="s">
        <v>449</v>
      </c>
      <c r="J575" s="148" t="str">
        <f>INDEX(数据元说明!A:F,MATCH(I575,数据元说明!C:C,0),2)</f>
        <v>001040</v>
      </c>
      <c r="K575" s="149" t="str">
        <f>INDEX(数据元说明!A:F,MATCH(I575,数据元说明!C:C,0),5)</f>
        <v>银行自定义。</v>
      </c>
      <c r="L575" s="148" t="str">
        <f>INDEX(数据元说明!A:F,MATCH(I575,数据元说明!C:C,0),6)</f>
        <v>C..600</v>
      </c>
      <c r="M575" s="149" t="s">
        <v>1573</v>
      </c>
      <c r="N575" s="143" t="s">
        <v>57</v>
      </c>
      <c r="O575" s="151"/>
      <c r="P575" s="151"/>
    </row>
    <row r="576" s="61" customFormat="1" ht="30" customHeight="1" outlineLevel="1" spans="1:16">
      <c r="A576" s="130"/>
      <c r="B576" s="36"/>
      <c r="C576" s="25"/>
      <c r="D576" s="25"/>
      <c r="E576" s="36"/>
      <c r="F576" s="131" t="s">
        <v>1574</v>
      </c>
      <c r="G576" s="31" t="s">
        <v>1575</v>
      </c>
      <c r="H576" s="132" t="s">
        <v>2661</v>
      </c>
      <c r="I576" s="131" t="s">
        <v>302</v>
      </c>
      <c r="J576" s="31" t="str">
        <f>INDEX(数据元说明!A:F,MATCH(I576,数据元说明!C:C,0),2)</f>
        <v>001005</v>
      </c>
      <c r="K576" s="133" t="str">
        <f>INDEX(数据元说明!A:F,MATCH(I576,数据元说明!C:C,0),5)</f>
        <v>YYYYMMDD，默认值99991231。</v>
      </c>
      <c r="L576" s="31" t="str">
        <f>INDEX(数据元说明!A:F,MATCH(I576,数据元说明!C:C,0),6)</f>
        <v>C8</v>
      </c>
      <c r="M576" s="133" t="s">
        <v>1577</v>
      </c>
      <c r="N576" s="99"/>
      <c r="O576" s="99"/>
      <c r="P576" s="99"/>
    </row>
    <row r="577" s="61" customFormat="1" ht="30" customHeight="1" spans="1:16">
      <c r="A577" s="125"/>
      <c r="B577" s="34"/>
      <c r="C577" s="19" t="s">
        <v>108</v>
      </c>
      <c r="D577" s="24" t="s">
        <v>109</v>
      </c>
      <c r="E577" s="126">
        <v>411</v>
      </c>
      <c r="F577" s="127"/>
      <c r="G577" s="126"/>
      <c r="H577" s="126"/>
      <c r="I577" s="127"/>
      <c r="J577" s="126"/>
      <c r="K577" s="152"/>
      <c r="L577" s="126"/>
      <c r="M577" s="128" t="str">
        <f>INDEX(表结构总览!E:H,MATCH(D577,表结构总览!E:E,0),4)</f>
        <v>根据会计核算科目，除机关财务账、单列账之外的科目原则上都归入内部账采集；单列账、机关财务账不报送，资本账户需要报送。以内部分户账号为最小颗粒报送，如账户注销或终结，在报送该账户最终状态后的次月可不再报送。交易与核算分离的机构，应根据总账科目中划分出对应内部分户账性质的科目，自定义内部分户账号进行报送。</v>
      </c>
      <c r="N577" s="129" t="s">
        <v>25</v>
      </c>
      <c r="O577" s="129" t="s">
        <v>449</v>
      </c>
      <c r="P577" s="33"/>
    </row>
    <row r="578" ht="30" customHeight="1" outlineLevel="1" spans="1:16">
      <c r="E578" s="94"/>
      <c r="F578" s="97" t="s">
        <v>325</v>
      </c>
      <c r="G578" s="29" t="s">
        <v>1520</v>
      </c>
      <c r="H578" s="96" t="s">
        <v>2662</v>
      </c>
      <c r="I578" s="97" t="s">
        <v>325</v>
      </c>
      <c r="J578" s="29" t="str">
        <f>INDEX(数据元说明!A:F,MATCH(I578,数据元说明!C:C,0),2)</f>
        <v>001010</v>
      </c>
      <c r="K578" s="98" t="str">
        <f>INDEX(数据元说明!A:F,MATCH(I578,数据元说明!C:C,0),5)</f>
        <v>12位人行支付行号或SWIFT行号。</v>
      </c>
      <c r="L578" s="29" t="str">
        <f>INDEX(数据元说明!A:F,MATCH(I578,数据元说明!C:C,0),6)</f>
        <v>C..30</v>
      </c>
      <c r="M578" s="98" t="s">
        <v>2318</v>
      </c>
      <c r="P578" s="99"/>
    </row>
    <row r="579" s="81" customFormat="1" ht="30" customHeight="1" outlineLevel="1" spans="1:16">
      <c r="A579" s="134"/>
      <c r="B579" s="47"/>
      <c r="C579" s="39"/>
      <c r="D579" s="39"/>
      <c r="E579" s="47"/>
      <c r="F579" s="135" t="s">
        <v>329</v>
      </c>
      <c r="G579" s="136" t="s">
        <v>1526</v>
      </c>
      <c r="H579" s="153" t="s">
        <v>2663</v>
      </c>
      <c r="I579" s="135" t="s">
        <v>329</v>
      </c>
      <c r="J579" s="136" t="str">
        <f>INDEX(数据元说明!A:F,MATCH(I579,数据元说明!C:C,0),2)</f>
        <v>001011</v>
      </c>
      <c r="K579" s="138" t="str">
        <f>INDEX(数据元说明!A:F,MATCH(I579,数据元说明!C:C,0),5)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579" s="136" t="str">
        <f>INDEX(数据元说明!A:F,MATCH(I579,数据元说明!C:C,0),6)</f>
        <v>C..30</v>
      </c>
      <c r="M579" s="138" t="s">
        <v>2320</v>
      </c>
      <c r="N579" s="129" t="s">
        <v>25</v>
      </c>
      <c r="O579" s="129" t="s">
        <v>449</v>
      </c>
      <c r="P579" s="139"/>
    </row>
    <row r="580" ht="30" customHeight="1" outlineLevel="1" spans="1:16">
      <c r="A580" s="159"/>
      <c r="B580" s="160"/>
      <c r="C580" s="161"/>
      <c r="D580" s="161"/>
      <c r="E580" s="160"/>
      <c r="F580" s="97" t="s">
        <v>333</v>
      </c>
      <c r="G580" s="29" t="s">
        <v>1523</v>
      </c>
      <c r="H580" s="96" t="s">
        <v>2664</v>
      </c>
      <c r="I580" s="97" t="s">
        <v>333</v>
      </c>
      <c r="J580" s="29" t="str">
        <f>INDEX(数据元说明!A:F,MATCH(I580,数据元说明!C:C,0),2)</f>
        <v>001012</v>
      </c>
      <c r="K580" s="98" t="str">
        <f>INDEX(数据元说明!A:F,MATCH(I580,数据元说明!C:C,0),5)</f>
        <v>银行内部机构号。应具有标识机构的唯一性。</v>
      </c>
      <c r="L580" s="29" t="str">
        <f>INDEX(数据元说明!A:F,MATCH(I580,数据元说明!C:C,0),6)</f>
        <v>C..30</v>
      </c>
      <c r="M580" s="98" t="s">
        <v>2322</v>
      </c>
      <c r="P580" s="99"/>
    </row>
    <row r="581" ht="30" customHeight="1" outlineLevel="1" spans="1:16">
      <c r="A581" s="159"/>
      <c r="B581" s="160"/>
      <c r="C581" s="161"/>
      <c r="D581" s="161"/>
      <c r="E581" s="160"/>
      <c r="F581" s="157" t="s">
        <v>1532</v>
      </c>
      <c r="G581" s="43" t="s">
        <v>1533</v>
      </c>
      <c r="H581" s="153" t="s">
        <v>2665</v>
      </c>
      <c r="I581" s="157" t="s">
        <v>282</v>
      </c>
      <c r="J581" s="43" t="str">
        <f>INDEX(数据元说明!A:F,MATCH(I581,数据元说明!C:C,0),2)</f>
        <v>001001</v>
      </c>
      <c r="K581" s="158" t="str">
        <f>INDEX(数据元说明!A:F,MATCH(I581,数据元说明!C:C,0),5)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581" s="43" t="str">
        <f>INDEX(数据元说明!A:F,MATCH(I581,数据元说明!C:C,0),6)</f>
        <v>C..400</v>
      </c>
      <c r="M581" s="158" t="s">
        <v>2324</v>
      </c>
      <c r="N581" s="139" t="s">
        <v>25</v>
      </c>
      <c r="O581" s="139" t="s">
        <v>280</v>
      </c>
      <c r="P581" s="140" t="s">
        <v>1588</v>
      </c>
    </row>
    <row r="582" s="81" customFormat="1" ht="30" customHeight="1" outlineLevel="1" spans="1:16">
      <c r="A582" s="167"/>
      <c r="B582" s="168"/>
      <c r="C582" s="176"/>
      <c r="D582" s="176"/>
      <c r="E582" s="168"/>
      <c r="F582" s="157" t="s">
        <v>2325</v>
      </c>
      <c r="G582" s="43" t="s">
        <v>2326</v>
      </c>
      <c r="H582" s="153" t="s">
        <v>2666</v>
      </c>
      <c r="I582" s="135" t="s">
        <v>574</v>
      </c>
      <c r="J582" s="43" t="str">
        <f>INDEX(数据元说明!A:F,MATCH(I582,数据元说明!C:C,0),2)</f>
        <v>003002</v>
      </c>
      <c r="K582" s="158" t="str">
        <f>INDEX(数据元说明!A:F,MATCH(I582,数据元说明!C:C,0),5)</f>
        <v>机构实际使用的总账会计科目编码。</v>
      </c>
      <c r="L582" s="43" t="str">
        <f>INDEX(数据元说明!A:F,MATCH(I582,数据元说明!C:C,0),6)</f>
        <v>C..200</v>
      </c>
      <c r="M582" s="138" t="s">
        <v>2328</v>
      </c>
      <c r="N582" s="139" t="s">
        <v>25</v>
      </c>
      <c r="O582" s="139" t="s">
        <v>1516</v>
      </c>
      <c r="P582" s="140"/>
    </row>
    <row r="583" s="81" customFormat="1" ht="30" customHeight="1" outlineLevel="1" spans="1:16">
      <c r="A583" s="167"/>
      <c r="B583" s="168"/>
      <c r="C583" s="176"/>
      <c r="D583" s="176"/>
      <c r="E583" s="168"/>
      <c r="F583" s="157" t="s">
        <v>2329</v>
      </c>
      <c r="G583" s="43" t="s">
        <v>2330</v>
      </c>
      <c r="H583" s="153" t="s">
        <v>2667</v>
      </c>
      <c r="I583" s="135" t="s">
        <v>578</v>
      </c>
      <c r="J583" s="43" t="str">
        <f>INDEX(数据元说明!A:F,MATCH(I583,数据元说明!C:C,0),2)</f>
        <v>003003</v>
      </c>
      <c r="K583" s="158" t="str">
        <f>INDEX(数据元说明!A:F,MATCH(I583,数据元说明!C:C,0),5)</f>
        <v>机构实际使用的总账会计科目编码对应的名称。</v>
      </c>
      <c r="L583" s="43" t="str">
        <f>INDEX(数据元说明!A:F,MATCH(I583,数据元说明!C:C,0),6)</f>
        <v>C..200</v>
      </c>
      <c r="M583" s="138" t="s">
        <v>2328</v>
      </c>
      <c r="N583" s="139" t="s">
        <v>25</v>
      </c>
      <c r="O583" s="139" t="s">
        <v>449</v>
      </c>
      <c r="P583" s="140"/>
    </row>
    <row r="584" s="81" customFormat="1" ht="30" customHeight="1" outlineLevel="1" spans="1:16">
      <c r="A584" s="167"/>
      <c r="B584" s="168"/>
      <c r="C584" s="176"/>
      <c r="D584" s="176"/>
      <c r="E584" s="168"/>
      <c r="F584" s="157" t="s">
        <v>628</v>
      </c>
      <c r="G584" s="43" t="s">
        <v>2334</v>
      </c>
      <c r="H584" s="153" t="s">
        <v>2668</v>
      </c>
      <c r="I584" s="157" t="s">
        <v>628</v>
      </c>
      <c r="J584" s="43" t="str">
        <f>INDEX(数据元说明!A:F,MATCH(I584,数据元说明!C:C,0),2)</f>
        <v>003015</v>
      </c>
      <c r="K584" s="158" t="str">
        <f>INDEX(数据元说明!A:F,MATCH(I584,数据元说明!C:C,0),5)</f>
        <v>账户归属者的名称。如果客户为个人，则为隐私，银行机构变形，变形规则见《采集技术接口说明》。客户是境内涉密机构的，账户名称填报为“*********”。其他情况，则为非隐私，不做变形。</v>
      </c>
      <c r="L584" s="43" t="str">
        <f>INDEX(数据元说明!A:F,MATCH(I584,数据元说明!C:C,0),6)</f>
        <v>C..400</v>
      </c>
      <c r="M584" s="158" t="s">
        <v>2669</v>
      </c>
      <c r="N584" s="139" t="s">
        <v>25</v>
      </c>
      <c r="O584" s="139" t="s">
        <v>1613</v>
      </c>
      <c r="P584" s="140" t="s">
        <v>1588</v>
      </c>
    </row>
    <row r="585" s="61" customFormat="1" ht="30" customHeight="1" outlineLevel="1" spans="1:16">
      <c r="A585" s="93"/>
      <c r="B585" s="94"/>
      <c r="C585" s="95"/>
      <c r="D585" s="95"/>
      <c r="E585" s="94"/>
      <c r="F585" s="97" t="s">
        <v>2670</v>
      </c>
      <c r="G585" s="29" t="s">
        <v>2671</v>
      </c>
      <c r="H585" s="96" t="s">
        <v>2672</v>
      </c>
      <c r="I585" s="97" t="s">
        <v>570</v>
      </c>
      <c r="J585" s="29" t="str">
        <f>INDEX(数据元说明!A:F,MATCH(I585,数据元说明!C:C,0),2)</f>
        <v>003001</v>
      </c>
      <c r="K585" s="98" t="str">
        <f>INDEX(数据元说明!A:F,MATCH(I585,数据元说明!C:C,0),5)</f>
        <v>系统内最细一级的账号，无唯一性约束，不需要和序号、子序号等做拼接。</v>
      </c>
      <c r="L585" s="29" t="str">
        <f>INDEX(数据元说明!A:F,MATCH(I585,数据元说明!C:C,0),6)</f>
        <v>C..60</v>
      </c>
      <c r="M585" s="98" t="s">
        <v>1525</v>
      </c>
      <c r="N585" s="33" t="s">
        <v>25</v>
      </c>
      <c r="O585" s="99"/>
      <c r="P585" s="33" t="s">
        <v>1588</v>
      </c>
    </row>
    <row r="586" s="61" customFormat="1" ht="30" customHeight="1" outlineLevel="1" spans="1:16">
      <c r="A586" s="159"/>
      <c r="B586" s="160"/>
      <c r="C586" s="161"/>
      <c r="D586" s="161"/>
      <c r="E586" s="160"/>
      <c r="F586" s="97" t="s">
        <v>624</v>
      </c>
      <c r="G586" s="29" t="s">
        <v>1989</v>
      </c>
      <c r="H586" s="96" t="s">
        <v>2673</v>
      </c>
      <c r="I586" s="97" t="s">
        <v>624</v>
      </c>
      <c r="J586" s="29" t="str">
        <f>INDEX(数据元说明!A:F,MATCH(I586,数据元说明!C:C,0),2)</f>
        <v>003014</v>
      </c>
      <c r="K586" s="98" t="str">
        <f>INDEX(数据元说明!A:F,MATCH(I586,数据元说明!C:C,0),5)</f>
        <v>遵循《GB/T 12406 表示货币和资金的代码》的字母代码，如CNY。上述文件所列币种无法涵盖的，允许银行自定义填报。多个币种合计折算为人民币（本外币合计）的，填报为BWB。</v>
      </c>
      <c r="L586" s="29" t="str">
        <f>INDEX(数据元说明!A:F,MATCH(I586,数据元说明!C:C,0),6)</f>
        <v>C3</v>
      </c>
      <c r="M586" s="98" t="s">
        <v>1525</v>
      </c>
      <c r="N586" s="33" t="s">
        <v>25</v>
      </c>
      <c r="O586" s="99"/>
      <c r="P586" s="33" t="s">
        <v>1588</v>
      </c>
    </row>
    <row r="587" s="61" customFormat="1" ht="30" customHeight="1" outlineLevel="1" spans="1:16">
      <c r="A587" s="159"/>
      <c r="B587" s="160"/>
      <c r="C587" s="161"/>
      <c r="D587" s="161"/>
      <c r="E587" s="160"/>
      <c r="F587" s="97" t="s">
        <v>604</v>
      </c>
      <c r="G587" s="29" t="s">
        <v>2674</v>
      </c>
      <c r="H587" s="96" t="s">
        <v>2675</v>
      </c>
      <c r="I587" s="97" t="s">
        <v>604</v>
      </c>
      <c r="J587" s="29" t="str">
        <f>INDEX(数据元说明!A:F,MATCH(I587,数据元说明!C:C,0),2)</f>
        <v>003009</v>
      </c>
      <c r="K587" s="98" t="str">
        <f>INDEX(数据元说明!A:F,MATCH(I587,数据元说明!C:C,0),5)</f>
        <v>借，贷，借贷并列。</v>
      </c>
      <c r="L587" s="29" t="str">
        <f>INDEX(数据元说明!A:F,MATCH(I587,数据元说明!C:C,0),6)</f>
        <v>C..12</v>
      </c>
      <c r="M587" s="217"/>
      <c r="N587" s="33" t="s">
        <v>25</v>
      </c>
      <c r="O587" s="99"/>
      <c r="P587" s="33" t="s">
        <v>1588</v>
      </c>
    </row>
    <row r="588" ht="30" customHeight="1" outlineLevel="1" spans="1:16">
      <c r="A588" s="159"/>
      <c r="B588" s="160"/>
      <c r="C588" s="161"/>
      <c r="D588" s="161"/>
      <c r="E588" s="160"/>
      <c r="F588" s="97" t="s">
        <v>2676</v>
      </c>
      <c r="G588" s="29" t="s">
        <v>2677</v>
      </c>
      <c r="H588" s="96" t="s">
        <v>2678</v>
      </c>
      <c r="I588" s="97" t="s">
        <v>613</v>
      </c>
      <c r="J588" s="29" t="str">
        <f>INDEX(数据元说明!A:F,MATCH(I588,数据元说明!C:C,0),2)</f>
        <v>003011</v>
      </c>
      <c r="K588" s="98" t="str">
        <f>INDEX(数据元说明!A:F,MATCH(I588,数据元说明!C:C,0),5)</f>
        <v>与币种相对应金额。</v>
      </c>
      <c r="L588" s="29" t="str">
        <f>INDEX(数据元说明!A:F,MATCH(I588,数据元说明!C:C,0),6)</f>
        <v>D20.2</v>
      </c>
      <c r="M588" s="163"/>
      <c r="N588" s="220"/>
      <c r="O588" s="220"/>
      <c r="P588" s="220"/>
    </row>
    <row r="589" ht="30" customHeight="1" outlineLevel="1" spans="1:16">
      <c r="A589" s="159"/>
      <c r="B589" s="160"/>
      <c r="C589" s="161"/>
      <c r="D589" s="161"/>
      <c r="E589" s="160"/>
      <c r="F589" s="97" t="s">
        <v>2679</v>
      </c>
      <c r="G589" s="29" t="s">
        <v>2680</v>
      </c>
      <c r="H589" s="96" t="s">
        <v>2681</v>
      </c>
      <c r="I589" s="97" t="s">
        <v>613</v>
      </c>
      <c r="J589" s="29" t="str">
        <f>INDEX(数据元说明!A:F,MATCH(I589,数据元说明!C:C,0),2)</f>
        <v>003011</v>
      </c>
      <c r="K589" s="98" t="str">
        <f>INDEX(数据元说明!A:F,MATCH(I589,数据元说明!C:C,0),5)</f>
        <v>与币种相对应金额。</v>
      </c>
      <c r="L589" s="29" t="str">
        <f>INDEX(数据元说明!A:F,MATCH(I589,数据元说明!C:C,0),6)</f>
        <v>D20.2</v>
      </c>
      <c r="M589" s="163"/>
      <c r="N589" s="220"/>
      <c r="O589" s="220"/>
      <c r="P589" s="220"/>
    </row>
    <row r="590" ht="30" customHeight="1" outlineLevel="1" spans="1:16">
      <c r="A590" s="159"/>
      <c r="B590" s="160"/>
      <c r="C590" s="161"/>
      <c r="D590" s="161"/>
      <c r="E590" s="160"/>
      <c r="F590" s="97" t="s">
        <v>2682</v>
      </c>
      <c r="G590" s="29" t="s">
        <v>2683</v>
      </c>
      <c r="H590" s="96" t="s">
        <v>2684</v>
      </c>
      <c r="I590" s="97" t="s">
        <v>287</v>
      </c>
      <c r="J590" s="29" t="str">
        <f>INDEX(数据元说明!A:F,MATCH(I590,数据元说明!C:C,0),2)</f>
        <v>001002</v>
      </c>
      <c r="K590" s="98" t="str">
        <f>INDEX(数据元说明!A:F,MATCH(I590,数据元说明!C:C,0),5)</f>
        <v>是，否。</v>
      </c>
      <c r="L590" s="29" t="str">
        <f>INDEX(数据元说明!A:F,MATCH(I590,数据元说明!C:C,0),6)</f>
        <v>C3</v>
      </c>
      <c r="M590" s="217"/>
      <c r="P590" s="99"/>
    </row>
    <row r="591" s="81" customFormat="1" ht="30" customHeight="1" outlineLevel="1" spans="1:16">
      <c r="A591" s="167"/>
      <c r="B591" s="168"/>
      <c r="C591" s="176"/>
      <c r="D591" s="176"/>
      <c r="E591" s="168"/>
      <c r="F591" s="157" t="s">
        <v>673</v>
      </c>
      <c r="G591" s="43" t="s">
        <v>2685</v>
      </c>
      <c r="H591" s="153" t="s">
        <v>2686</v>
      </c>
      <c r="I591" s="157" t="s">
        <v>673</v>
      </c>
      <c r="J591" s="43" t="str">
        <f>INDEX(数据元说明!A:F,MATCH(I591,数据元说明!C:C,0),2)</f>
        <v>003026</v>
      </c>
      <c r="K591" s="158" t="str">
        <f>INDEX(数据元说明!A:F,MATCH(I591,数据元说明!C:C,0),5)</f>
        <v>利息的计算方法，按月结息，按季结息，按半年结息，按年结息，不定期结息，不记利息，利随本清，其他-银行自定义。无法以枚举类型填报的，以“其他-XX”填报，其中“XX”为银行自定义类型。</v>
      </c>
      <c r="L591" s="43" t="str">
        <f>INDEX(数据元说明!A:F,MATCH(I591,数据元说明!C:C,0),6)</f>
        <v>C..30</v>
      </c>
      <c r="M591" s="162" t="s">
        <v>2687</v>
      </c>
      <c r="N591" s="140" t="s">
        <v>25</v>
      </c>
      <c r="O591" s="140" t="s">
        <v>275</v>
      </c>
      <c r="P591" s="140" t="s">
        <v>1606</v>
      </c>
    </row>
    <row r="592" ht="30" customHeight="1" outlineLevel="1" spans="1:16">
      <c r="A592" s="159"/>
      <c r="B592" s="160"/>
      <c r="C592" s="161"/>
      <c r="D592" s="161"/>
      <c r="E592" s="160"/>
      <c r="F592" s="97" t="s">
        <v>660</v>
      </c>
      <c r="G592" s="29" t="s">
        <v>2343</v>
      </c>
      <c r="H592" s="96" t="s">
        <v>2688</v>
      </c>
      <c r="I592" s="97" t="s">
        <v>660</v>
      </c>
      <c r="J592" s="29" t="str">
        <f>INDEX(数据元说明!A:F,MATCH(I592,数据元说明!C:C,0),2)</f>
        <v>003023</v>
      </c>
      <c r="K592" s="98" t="str">
        <f>INDEX(数据元说明!A:F,MATCH(I592,数据元说明!C:C,0),5)</f>
        <v>百分比为单位，即%，如4.5%填报为4.5。</v>
      </c>
      <c r="L592" s="29" t="str">
        <f>INDEX(数据元说明!A:F,MATCH(I592,数据元说明!C:C,0),6)</f>
        <v>D10.4</v>
      </c>
      <c r="M592" s="217"/>
      <c r="P592" s="99"/>
    </row>
    <row r="593" ht="30" customHeight="1" outlineLevel="1" spans="1:16">
      <c r="A593" s="159"/>
      <c r="B593" s="160"/>
      <c r="C593" s="161"/>
      <c r="D593" s="161"/>
      <c r="E593" s="160"/>
      <c r="F593" s="97" t="s">
        <v>2350</v>
      </c>
      <c r="G593" s="29" t="s">
        <v>2351</v>
      </c>
      <c r="H593" s="96" t="s">
        <v>2689</v>
      </c>
      <c r="I593" s="97" t="s">
        <v>302</v>
      </c>
      <c r="J593" s="29" t="str">
        <f>INDEX(数据元说明!A:F,MATCH(I593,数据元说明!C:C,0),2)</f>
        <v>001005</v>
      </c>
      <c r="K593" s="98" t="str">
        <f>INDEX(数据元说明!A:F,MATCH(I593,数据元说明!C:C,0),5)</f>
        <v>YYYYMMDD，默认值99991231。</v>
      </c>
      <c r="L593" s="29" t="str">
        <f>INDEX(数据元说明!A:F,MATCH(I593,数据元说明!C:C,0),6)</f>
        <v>C8</v>
      </c>
      <c r="M593" s="217"/>
      <c r="P593" s="99"/>
    </row>
    <row r="594" s="81" customFormat="1" ht="30" customHeight="1" outlineLevel="1" spans="1:16">
      <c r="A594" s="154"/>
      <c r="B594" s="155"/>
      <c r="C594" s="156"/>
      <c r="D594" s="156"/>
      <c r="E594" s="155"/>
      <c r="F594" s="157" t="s">
        <v>2360</v>
      </c>
      <c r="G594" s="43" t="s">
        <v>2361</v>
      </c>
      <c r="H594" s="153" t="s">
        <v>2690</v>
      </c>
      <c r="I594" s="157" t="s">
        <v>302</v>
      </c>
      <c r="J594" s="43" t="str">
        <f>INDEX(数据元说明!A:F,MATCH(I594,数据元说明!C:C,0),2)</f>
        <v>001005</v>
      </c>
      <c r="K594" s="158" t="str">
        <f>INDEX(数据元说明!A:F,MATCH(I594,数据元说明!C:C,0),5)</f>
        <v>YYYYMMDD，默认值99991231。</v>
      </c>
      <c r="L594" s="43" t="str">
        <f>INDEX(数据元说明!A:F,MATCH(I594,数据元说明!C:C,0),6)</f>
        <v>C8</v>
      </c>
      <c r="M594" s="138" t="s">
        <v>2363</v>
      </c>
      <c r="N594" s="139" t="s">
        <v>25</v>
      </c>
      <c r="O594" s="140"/>
      <c r="P594" s="139" t="s">
        <v>1606</v>
      </c>
    </row>
    <row r="595" s="81" customFormat="1" ht="30" customHeight="1" outlineLevel="1" spans="1:16">
      <c r="A595" s="154"/>
      <c r="B595" s="155"/>
      <c r="C595" s="156"/>
      <c r="D595" s="156"/>
      <c r="E595" s="155"/>
      <c r="F595" s="157" t="s">
        <v>636</v>
      </c>
      <c r="G595" s="43" t="s">
        <v>2366</v>
      </c>
      <c r="H595" s="153" t="s">
        <v>2691</v>
      </c>
      <c r="I595" s="157" t="s">
        <v>636</v>
      </c>
      <c r="J595" s="43" t="str">
        <f>INDEX(数据元说明!A:F,MATCH(I595,数据元说明!C:C,0),2)</f>
        <v>003017</v>
      </c>
      <c r="K595" s="158" t="str">
        <f>INDEX(数据元说明!A:F,MATCH(I595,数据元说明!C:C,0),5)</f>
        <v>正常，预销户，销户，逾期，冻结，止付，已转让，其他-银行自定义。无法以枚举类型填报的，以“其他-XX”填报，其中“XX”为银行自定义类型。</v>
      </c>
      <c r="L595" s="43" t="str">
        <f>INDEX(数据元说明!A:F,MATCH(I595,数据元说明!C:C,0),6)</f>
        <v>C..30</v>
      </c>
      <c r="M595" s="138"/>
      <c r="N595" s="140" t="s">
        <v>25</v>
      </c>
      <c r="O595" s="139" t="s">
        <v>275</v>
      </c>
      <c r="P595" s="140" t="s">
        <v>1606</v>
      </c>
    </row>
    <row r="596" s="82" customFormat="1" ht="71" outlineLevel="1" spans="1:16">
      <c r="A596" s="144"/>
      <c r="B596" s="145"/>
      <c r="C596" s="146"/>
      <c r="D596" s="146"/>
      <c r="E596" s="145"/>
      <c r="F596" s="147" t="s">
        <v>449</v>
      </c>
      <c r="G596" s="148" t="s">
        <v>1571</v>
      </c>
      <c r="H596" s="148" t="s">
        <v>2692</v>
      </c>
      <c r="I596" s="147" t="s">
        <v>449</v>
      </c>
      <c r="J596" s="148" t="str">
        <f>INDEX(数据元说明!A:F,MATCH(I596,数据元说明!C:C,0),2)</f>
        <v>001040</v>
      </c>
      <c r="K596" s="149" t="str">
        <f>INDEX(数据元说明!A:F,MATCH(I596,数据元说明!C:C,0),5)</f>
        <v>银行自定义。</v>
      </c>
      <c r="L596" s="148" t="str">
        <f>INDEX(数据元说明!A:F,MATCH(I596,数据元说明!C:C,0),6)</f>
        <v>C..600</v>
      </c>
      <c r="M596" s="149" t="s">
        <v>1573</v>
      </c>
      <c r="N596" s="143" t="s">
        <v>57</v>
      </c>
      <c r="O596" s="151"/>
      <c r="P596" s="151"/>
    </row>
    <row r="597" ht="30" customHeight="1" outlineLevel="1" spans="1:16">
      <c r="E597" s="94"/>
      <c r="F597" s="97" t="s">
        <v>1574</v>
      </c>
      <c r="G597" s="29" t="s">
        <v>1575</v>
      </c>
      <c r="H597" s="96" t="s">
        <v>2693</v>
      </c>
      <c r="I597" s="97" t="s">
        <v>302</v>
      </c>
      <c r="J597" s="29" t="str">
        <f>INDEX(数据元说明!A:F,MATCH(I597,数据元说明!C:C,0),2)</f>
        <v>001005</v>
      </c>
      <c r="K597" s="98" t="str">
        <f>INDEX(数据元说明!A:F,MATCH(I597,数据元说明!C:C,0),5)</f>
        <v>YYYYMMDD，默认值99991231。</v>
      </c>
      <c r="L597" s="29" t="str">
        <f>INDEX(数据元说明!A:F,MATCH(I597,数据元说明!C:C,0),6)</f>
        <v>C8</v>
      </c>
      <c r="M597" s="98" t="s">
        <v>1577</v>
      </c>
      <c r="P597" s="99"/>
    </row>
    <row r="598" s="61" customFormat="1" ht="30" customHeight="1" spans="1:16">
      <c r="A598" s="125"/>
      <c r="B598" s="34"/>
      <c r="C598" s="19" t="s">
        <v>111</v>
      </c>
      <c r="D598" s="24" t="s">
        <v>112</v>
      </c>
      <c r="E598" s="126">
        <v>412</v>
      </c>
      <c r="F598" s="127"/>
      <c r="G598" s="126"/>
      <c r="H598" s="126"/>
      <c r="I598" s="127"/>
      <c r="J598" s="126"/>
      <c r="K598" s="152"/>
      <c r="L598" s="126"/>
      <c r="M598" s="128" t="str">
        <f>INDEX(表结构总览!E:H,MATCH(D598,表结构总览!E:E,0),4)</f>
        <v>根据会计核算科目，除机关财务账、单列账之外的科目原则上都归入内部账采集；机关财务账、单列账不需要在此表报送，报送至信用卡和其余六个对公/个人分户账中；资本账户需要报送。</v>
      </c>
      <c r="N598" s="139" t="s">
        <v>25</v>
      </c>
      <c r="O598" s="33"/>
      <c r="P598" s="33"/>
    </row>
    <row r="599" s="87" customFormat="1" ht="30" customHeight="1" spans="1:16">
      <c r="A599" s="141"/>
      <c r="B599" s="142"/>
      <c r="C599" s="39"/>
      <c r="D599" s="40"/>
      <c r="E599" s="47"/>
      <c r="F599" s="135" t="s">
        <v>702</v>
      </c>
      <c r="G599" s="136" t="s">
        <v>2370</v>
      </c>
      <c r="H599" s="137" t="s">
        <v>2694</v>
      </c>
      <c r="I599" s="135" t="s">
        <v>702</v>
      </c>
      <c r="J599" s="136" t="str">
        <f>INDEX(数据元说明!A:F,MATCH(I599,数据元说明!C:C,0),2)</f>
        <v>004001</v>
      </c>
      <c r="K599" s="138" t="str">
        <f>INDEX(数据元说明!A:F,MATCH(I599,数据元说明!C:C,0),5)</f>
        <v>唯一标识该笔交易的编号，银行自定义。可以是业务编号，也可以是交易系统中使用的时间戳，如：时间戳(纳秒)：1530027865231834600。</v>
      </c>
      <c r="L599" s="136" t="str">
        <f>INDEX(数据元说明!A:F,MATCH(I599,数据元说明!C:C,0),6)</f>
        <v>C..100</v>
      </c>
      <c r="M599" s="138" t="s">
        <v>1587</v>
      </c>
      <c r="N599" s="143" t="s">
        <v>57</v>
      </c>
      <c r="O599" s="221"/>
      <c r="P599" s="140"/>
    </row>
    <row r="600" s="61" customFormat="1" ht="30" customHeight="1" outlineLevel="1" spans="1:16">
      <c r="A600" s="130"/>
      <c r="B600" s="36"/>
      <c r="C600" s="25"/>
      <c r="D600" s="25"/>
      <c r="E600" s="36"/>
      <c r="F600" s="131" t="s">
        <v>325</v>
      </c>
      <c r="G600" s="31" t="s">
        <v>1520</v>
      </c>
      <c r="H600" s="132" t="s">
        <v>2695</v>
      </c>
      <c r="I600" s="131" t="s">
        <v>325</v>
      </c>
      <c r="J600" s="31" t="str">
        <f>INDEX(数据元说明!A:F,MATCH(I600,数据元说明!C:C,0),2)</f>
        <v>001010</v>
      </c>
      <c r="K600" s="133" t="str">
        <f>INDEX(数据元说明!A:F,MATCH(I600,数据元说明!C:C,0),5)</f>
        <v>12位人行支付行号或SWIFT行号。</v>
      </c>
      <c r="L600" s="31" t="str">
        <f>INDEX(数据元说明!A:F,MATCH(I600,数据元说明!C:C,0),6)</f>
        <v>C..30</v>
      </c>
      <c r="M600" s="98" t="s">
        <v>2600</v>
      </c>
      <c r="N600" s="99"/>
      <c r="O600" s="99"/>
      <c r="P600" s="99"/>
    </row>
    <row r="601" s="81" customFormat="1" ht="30" customHeight="1" outlineLevel="1" spans="1:16">
      <c r="A601" s="134"/>
      <c r="B601" s="47"/>
      <c r="C601" s="39"/>
      <c r="D601" s="39"/>
      <c r="E601" s="47"/>
      <c r="F601" s="135" t="s">
        <v>329</v>
      </c>
      <c r="G601" s="136" t="s">
        <v>1526</v>
      </c>
      <c r="H601" s="137" t="s">
        <v>2696</v>
      </c>
      <c r="I601" s="135" t="s">
        <v>329</v>
      </c>
      <c r="J601" s="136" t="str">
        <f>INDEX(数据元说明!A:F,MATCH(I601,数据元说明!C:C,0),2)</f>
        <v>001011</v>
      </c>
      <c r="K601" s="138" t="str">
        <f>INDEX(数据元说明!A:F,MATCH(I601,数据元说明!C:C,0),5)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01" s="136" t="str">
        <f>INDEX(数据元说明!A:F,MATCH(I601,数据元说明!C:C,0),6)</f>
        <v>C..30</v>
      </c>
      <c r="M601" s="138" t="s">
        <v>2602</v>
      </c>
      <c r="N601" s="129" t="s">
        <v>25</v>
      </c>
      <c r="O601" s="129" t="s">
        <v>449</v>
      </c>
      <c r="P601" s="139"/>
    </row>
    <row r="602" s="61" customFormat="1" ht="30" customHeight="1" outlineLevel="1" spans="1:16">
      <c r="A602" s="130"/>
      <c r="B602" s="36"/>
      <c r="C602" s="25"/>
      <c r="D602" s="25"/>
      <c r="E602" s="36"/>
      <c r="F602" s="131" t="s">
        <v>333</v>
      </c>
      <c r="G602" s="31" t="s">
        <v>1523</v>
      </c>
      <c r="H602" s="132" t="s">
        <v>2697</v>
      </c>
      <c r="I602" s="131" t="s">
        <v>333</v>
      </c>
      <c r="J602" s="31" t="str">
        <f>INDEX(数据元说明!A:F,MATCH(I602,数据元说明!C:C,0),2)</f>
        <v>001012</v>
      </c>
      <c r="K602" s="133" t="str">
        <f>INDEX(数据元说明!A:F,MATCH(I602,数据元说明!C:C,0),5)</f>
        <v>银行内部机构号。应具有标识机构的唯一性。</v>
      </c>
      <c r="L602" s="31" t="str">
        <f>INDEX(数据元说明!A:F,MATCH(I602,数据元说明!C:C,0),6)</f>
        <v>C..30</v>
      </c>
      <c r="M602" s="98" t="s">
        <v>2604</v>
      </c>
      <c r="N602" s="99"/>
      <c r="O602" s="99"/>
      <c r="P602" s="99"/>
    </row>
    <row r="603" s="61" customFormat="1" ht="30" customHeight="1" outlineLevel="1" spans="1:16">
      <c r="A603" s="130"/>
      <c r="B603" s="36"/>
      <c r="C603" s="25"/>
      <c r="D603" s="25"/>
      <c r="E603" s="36"/>
      <c r="F603" s="135" t="s">
        <v>1532</v>
      </c>
      <c r="G603" s="136" t="s">
        <v>1533</v>
      </c>
      <c r="H603" s="137" t="s">
        <v>2698</v>
      </c>
      <c r="I603" s="135" t="s">
        <v>282</v>
      </c>
      <c r="J603" s="136" t="str">
        <f>INDEX(数据元说明!A:F,MATCH(I603,数据元说明!C:C,0),2)</f>
        <v>001001</v>
      </c>
      <c r="K603" s="138" t="str">
        <f>INDEX(数据元说明!A:F,MATCH(I603,数据元说明!C:C,0),5)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603" s="136" t="str">
        <f>INDEX(数据元说明!A:F,MATCH(I603,数据元说明!C:C,0),6)</f>
        <v>C..400</v>
      </c>
      <c r="M603" s="158" t="s">
        <v>2606</v>
      </c>
      <c r="N603" s="139" t="s">
        <v>25</v>
      </c>
      <c r="O603" s="139" t="s">
        <v>280</v>
      </c>
      <c r="P603" s="140" t="s">
        <v>1588</v>
      </c>
    </row>
    <row r="604" s="81" customFormat="1" ht="30" customHeight="1" outlineLevel="1" spans="1:16">
      <c r="A604" s="134"/>
      <c r="B604" s="47"/>
      <c r="C604" s="39"/>
      <c r="D604" s="39"/>
      <c r="E604" s="47"/>
      <c r="F604" s="135" t="s">
        <v>2325</v>
      </c>
      <c r="G604" s="136" t="s">
        <v>2326</v>
      </c>
      <c r="H604" s="137" t="s">
        <v>2699</v>
      </c>
      <c r="I604" s="135" t="s">
        <v>574</v>
      </c>
      <c r="J604" s="136" t="str">
        <f>INDEX(数据元说明!A:F,MATCH(I604,数据元说明!C:C,0),2)</f>
        <v>003002</v>
      </c>
      <c r="K604" s="138" t="str">
        <f>INDEX(数据元说明!A:F,MATCH(I604,数据元说明!C:C,0),5)</f>
        <v>机构实际使用的总账会计科目编码。</v>
      </c>
      <c r="L604" s="136" t="str">
        <f>INDEX(数据元说明!A:F,MATCH(I604,数据元说明!C:C,0),6)</f>
        <v>C..200</v>
      </c>
      <c r="M604" s="138" t="s">
        <v>2328</v>
      </c>
      <c r="N604" s="139" t="s">
        <v>25</v>
      </c>
      <c r="O604" s="139" t="s">
        <v>1516</v>
      </c>
      <c r="P604" s="140"/>
    </row>
    <row r="605" s="81" customFormat="1" ht="30" customHeight="1" outlineLevel="1" spans="1:16">
      <c r="A605" s="134"/>
      <c r="B605" s="47"/>
      <c r="C605" s="39"/>
      <c r="D605" s="39"/>
      <c r="E605" s="47"/>
      <c r="F605" s="135" t="s">
        <v>2329</v>
      </c>
      <c r="G605" s="136" t="s">
        <v>2330</v>
      </c>
      <c r="H605" s="137" t="s">
        <v>2700</v>
      </c>
      <c r="I605" s="135" t="s">
        <v>578</v>
      </c>
      <c r="J605" s="136" t="str">
        <f>INDEX(数据元说明!A:F,MATCH(I605,数据元说明!C:C,0),2)</f>
        <v>003003</v>
      </c>
      <c r="K605" s="138" t="str">
        <f>INDEX(数据元说明!A:F,MATCH(I605,数据元说明!C:C,0),5)</f>
        <v>机构实际使用的总账会计科目编码对应的名称。</v>
      </c>
      <c r="L605" s="136" t="str">
        <f>INDEX(数据元说明!A:F,MATCH(I605,数据元说明!C:C,0),6)</f>
        <v>C..200</v>
      </c>
      <c r="M605" s="138" t="s">
        <v>2328</v>
      </c>
      <c r="N605" s="139" t="s">
        <v>25</v>
      </c>
      <c r="O605" s="139" t="s">
        <v>449</v>
      </c>
      <c r="P605" s="140"/>
    </row>
    <row r="606" s="81" customFormat="1" ht="30" customHeight="1" outlineLevel="1" spans="1:16">
      <c r="A606" s="134"/>
      <c r="B606" s="47"/>
      <c r="C606" s="39"/>
      <c r="D606" s="39"/>
      <c r="E606" s="47"/>
      <c r="F606" s="135" t="s">
        <v>628</v>
      </c>
      <c r="G606" s="136" t="s">
        <v>2334</v>
      </c>
      <c r="H606" s="137" t="s">
        <v>2701</v>
      </c>
      <c r="I606" s="135" t="s">
        <v>628</v>
      </c>
      <c r="J606" s="136" t="str">
        <f>INDEX(数据元说明!A:F,MATCH(I606,数据元说明!C:C,0),2)</f>
        <v>003015</v>
      </c>
      <c r="K606" s="138" t="str">
        <f>INDEX(数据元说明!A:F,MATCH(I606,数据元说明!C:C,0),5)</f>
        <v>账户归属者的名称。如果客户为个人，则为隐私，银行机构变形，变形规则见《采集技术接口说明》。客户是境内涉密机构的，账户名称填报为“*********”。其他情况，则为非隐私，不做变形。</v>
      </c>
      <c r="L606" s="136" t="str">
        <f>INDEX(数据元说明!A:F,MATCH(I606,数据元说明!C:C,0),6)</f>
        <v>C..400</v>
      </c>
      <c r="M606" s="138" t="s">
        <v>2669</v>
      </c>
      <c r="N606" s="139" t="s">
        <v>25</v>
      </c>
      <c r="O606" s="139" t="s">
        <v>1613</v>
      </c>
      <c r="P606" s="140" t="s">
        <v>1588</v>
      </c>
    </row>
    <row r="607" s="61" customFormat="1" ht="30" customHeight="1" outlineLevel="1" spans="1:16">
      <c r="A607" s="130"/>
      <c r="B607" s="36"/>
      <c r="C607" s="25"/>
      <c r="D607" s="25"/>
      <c r="E607" s="36"/>
      <c r="F607" s="131" t="s">
        <v>2670</v>
      </c>
      <c r="G607" s="31" t="s">
        <v>2671</v>
      </c>
      <c r="H607" s="132" t="s">
        <v>2702</v>
      </c>
      <c r="I607" s="131" t="s">
        <v>570</v>
      </c>
      <c r="J607" s="31" t="str">
        <f>INDEX(数据元说明!A:F,MATCH(I607,数据元说明!C:C,0),2)</f>
        <v>003001</v>
      </c>
      <c r="K607" s="133" t="str">
        <f>INDEX(数据元说明!A:F,MATCH(I607,数据元说明!C:C,0),5)</f>
        <v>系统内最细一级的账号，无唯一性约束，不需要和序号、子序号等做拼接。</v>
      </c>
      <c r="L607" s="31" t="str">
        <f>INDEX(数据元说明!A:F,MATCH(I607,数据元说明!C:C,0),6)</f>
        <v>C..60</v>
      </c>
      <c r="M607" s="133" t="s">
        <v>2703</v>
      </c>
      <c r="N607" s="33" t="s">
        <v>25</v>
      </c>
      <c r="O607" s="99"/>
      <c r="P607" s="33" t="s">
        <v>1588</v>
      </c>
    </row>
    <row r="608" s="61" customFormat="1" ht="30" customHeight="1" outlineLevel="1" spans="1:16">
      <c r="A608" s="130"/>
      <c r="B608" s="36"/>
      <c r="C608" s="25"/>
      <c r="D608" s="25"/>
      <c r="E608" s="36"/>
      <c r="F608" s="131" t="s">
        <v>2395</v>
      </c>
      <c r="G608" s="31" t="s">
        <v>2396</v>
      </c>
      <c r="H608" s="132" t="s">
        <v>2704</v>
      </c>
      <c r="I608" s="131" t="s">
        <v>302</v>
      </c>
      <c r="J608" s="31" t="str">
        <f>INDEX(数据元说明!A:F,MATCH(I608,数据元说明!C:C,0),2)</f>
        <v>001005</v>
      </c>
      <c r="K608" s="133" t="str">
        <f>INDEX(数据元说明!A:F,MATCH(I608,数据元说明!C:C,0),5)</f>
        <v>YYYYMMDD，默认值99991231。</v>
      </c>
      <c r="L608" s="31" t="str">
        <f>INDEX(数据元说明!A:F,MATCH(I608,数据元说明!C:C,0),6)</f>
        <v>C8</v>
      </c>
      <c r="M608" s="98" t="s">
        <v>2398</v>
      </c>
      <c r="N608" s="220"/>
      <c r="O608" s="220"/>
      <c r="P608" s="220"/>
    </row>
    <row r="609" s="61" customFormat="1" ht="30" customHeight="1" outlineLevel="1" spans="1:16">
      <c r="A609" s="130"/>
      <c r="B609" s="36"/>
      <c r="C609" s="25"/>
      <c r="D609" s="25"/>
      <c r="E609" s="36"/>
      <c r="F609" s="131" t="s">
        <v>2399</v>
      </c>
      <c r="G609" s="31" t="s">
        <v>2400</v>
      </c>
      <c r="H609" s="132" t="s">
        <v>2705</v>
      </c>
      <c r="I609" s="131" t="s">
        <v>312</v>
      </c>
      <c r="J609" s="31" t="str">
        <f>INDEX(数据元说明!A:F,MATCH(I609,数据元说明!C:C,0),2)</f>
        <v>001007</v>
      </c>
      <c r="K609" s="133" t="str">
        <f>INDEX(数据元说明!A:F,MATCH(I609,数据元说明!C:C,0),5)</f>
        <v>24小时制时间，精确到秒。hhmmss，默认值000000。</v>
      </c>
      <c r="L609" s="31" t="str">
        <f>INDEX(数据元说明!A:F,MATCH(I609,数据元说明!C:C,0),6)</f>
        <v>C6</v>
      </c>
      <c r="M609" s="98" t="s">
        <v>2402</v>
      </c>
      <c r="N609" s="220"/>
      <c r="O609" s="220"/>
      <c r="P609" s="220"/>
    </row>
    <row r="610" s="61" customFormat="1" ht="30" customHeight="1" outlineLevel="1" spans="1:16">
      <c r="A610" s="130"/>
      <c r="B610" s="36"/>
      <c r="C610" s="25"/>
      <c r="D610" s="25"/>
      <c r="E610" s="36"/>
      <c r="F610" s="131" t="s">
        <v>624</v>
      </c>
      <c r="G610" s="31" t="s">
        <v>1989</v>
      </c>
      <c r="H610" s="132" t="s">
        <v>2706</v>
      </c>
      <c r="I610" s="131" t="s">
        <v>624</v>
      </c>
      <c r="J610" s="31" t="str">
        <f>INDEX(数据元说明!A:F,MATCH(I610,数据元说明!C:C,0),2)</f>
        <v>003014</v>
      </c>
      <c r="K610" s="133" t="str">
        <f>INDEX(数据元说明!A:F,MATCH(I610,数据元说明!C:C,0),5)</f>
        <v>遵循《GB/T 12406 表示货币和资金的代码》的字母代码，如CNY。上述文件所列币种无法涵盖的，允许银行自定义填报。多个币种合计折算为人民币（本外币合计）的，填报为BWB。</v>
      </c>
      <c r="L610" s="31" t="str">
        <f>INDEX(数据元说明!A:F,MATCH(I610,数据元说明!C:C,0),6)</f>
        <v>C3</v>
      </c>
      <c r="M610" s="133"/>
      <c r="N610" s="99"/>
      <c r="O610" s="99"/>
      <c r="P610" s="99"/>
    </row>
    <row r="611" s="81" customFormat="1" ht="30" customHeight="1" outlineLevel="1" spans="1:16">
      <c r="A611" s="134"/>
      <c r="B611" s="47"/>
      <c r="C611" s="39"/>
      <c r="D611" s="39"/>
      <c r="E611" s="47"/>
      <c r="F611" s="135" t="s">
        <v>706</v>
      </c>
      <c r="G611" s="136" t="s">
        <v>2391</v>
      </c>
      <c r="H611" s="137" t="s">
        <v>2707</v>
      </c>
      <c r="I611" s="135" t="s">
        <v>706</v>
      </c>
      <c r="J611" s="136" t="str">
        <f>INDEX(数据元说明!A:F,MATCH(I611,数据元说明!C:C,0),2)</f>
        <v>004002</v>
      </c>
      <c r="K611" s="138" t="str">
        <f>INDEX(数据元说明!A:F,MATCH(I611,数据元说明!C:C,0),5)</f>
        <v>转账，取现，存现，消费，代发，代扣，代缴，结息，批量交易，贷款发放，还款-还本，还款-还息，银证业务，投资理财，其他-银行自定义类型。无法以枚举类型填报的，以“其他-XX”报送，其中“XX”为银行自定义类型。</v>
      </c>
      <c r="L611" s="136" t="str">
        <f>INDEX(数据元说明!A:F,MATCH(I611,数据元说明!C:C,0),6)</f>
        <v>C..60</v>
      </c>
      <c r="M611" s="138"/>
      <c r="N611" s="140" t="s">
        <v>25</v>
      </c>
      <c r="O611" s="140" t="s">
        <v>275</v>
      </c>
      <c r="P611" s="140"/>
    </row>
    <row r="612" s="81" customFormat="1" ht="30" customHeight="1" outlineLevel="1" spans="1:16">
      <c r="A612" s="167"/>
      <c r="B612" s="168"/>
      <c r="C612" s="156"/>
      <c r="D612" s="156"/>
      <c r="E612" s="155"/>
      <c r="F612" s="157" t="s">
        <v>693</v>
      </c>
      <c r="G612" s="43" t="s">
        <v>2393</v>
      </c>
      <c r="H612" s="137" t="s">
        <v>2708</v>
      </c>
      <c r="I612" s="157" t="s">
        <v>693</v>
      </c>
      <c r="J612" s="43" t="str">
        <f>INDEX(数据元说明!A:F,MATCH(I612,数据元说明!C:C,0),2)</f>
        <v>003031</v>
      </c>
      <c r="K612" s="158" t="str">
        <f>INDEX(数据元说明!A:F,MATCH(I612,数据元说明!C:C,0),5)</f>
        <v>借，贷。</v>
      </c>
      <c r="L612" s="43" t="str">
        <f>INDEX(数据元说明!A:F,MATCH(I612,数据元说明!C:C,0),6)</f>
        <v>C3</v>
      </c>
      <c r="M612" s="158"/>
      <c r="N612" s="139" t="s">
        <v>25</v>
      </c>
      <c r="O612" s="139" t="s">
        <v>280</v>
      </c>
      <c r="P612" s="140" t="s">
        <v>1588</v>
      </c>
    </row>
    <row r="613" s="61" customFormat="1" ht="30" customHeight="1" outlineLevel="1" spans="1:16">
      <c r="A613" s="130"/>
      <c r="B613" s="36"/>
      <c r="C613" s="25"/>
      <c r="D613" s="25"/>
      <c r="E613" s="36"/>
      <c r="F613" s="131" t="s">
        <v>2404</v>
      </c>
      <c r="G613" s="31" t="s">
        <v>2405</v>
      </c>
      <c r="H613" s="132" t="s">
        <v>2709</v>
      </c>
      <c r="I613" s="131" t="s">
        <v>609</v>
      </c>
      <c r="J613" s="31" t="str">
        <f>INDEX(数据元说明!A:F,MATCH(I613,数据元说明!C:C,0),2)</f>
        <v>003010</v>
      </c>
      <c r="K613" s="133" t="str">
        <f>INDEX(数据元说明!A:F,MATCH(I613,数据元说明!C:C,0),5)</f>
        <v>与币种相对应金额。</v>
      </c>
      <c r="L613" s="31" t="str">
        <f>INDEX(数据元说明!A:F,MATCH(I613,数据元说明!C:C,0),6)</f>
        <v>D20.2</v>
      </c>
      <c r="M613" s="133"/>
      <c r="N613" s="99"/>
      <c r="O613" s="99"/>
      <c r="P613" s="99"/>
    </row>
    <row r="614" s="81" customFormat="1" ht="30" customHeight="1" outlineLevel="1" spans="1:16">
      <c r="A614" s="167"/>
      <c r="B614" s="168"/>
      <c r="C614" s="176"/>
      <c r="D614" s="176"/>
      <c r="E614" s="168"/>
      <c r="F614" s="157" t="s">
        <v>2676</v>
      </c>
      <c r="G614" s="43" t="s">
        <v>2677</v>
      </c>
      <c r="H614" s="137" t="s">
        <v>2710</v>
      </c>
      <c r="I614" s="157" t="s">
        <v>613</v>
      </c>
      <c r="J614" s="43" t="str">
        <f>INDEX(数据元说明!A:F,MATCH(I614,数据元说明!C:C,0),2)</f>
        <v>003011</v>
      </c>
      <c r="K614" s="158" t="str">
        <f>INDEX(数据元说明!A:F,MATCH(I614,数据元说明!C:C,0),5)</f>
        <v>与币种相对应金额。</v>
      </c>
      <c r="L614" s="43" t="str">
        <f>INDEX(数据元说明!A:F,MATCH(I614,数据元说明!C:C,0),6)</f>
        <v>D20.2</v>
      </c>
      <c r="M614" s="224"/>
      <c r="N614" s="225" t="s">
        <v>57</v>
      </c>
      <c r="O614" s="221"/>
      <c r="P614" s="221"/>
    </row>
    <row r="615" s="81" customFormat="1" ht="30" customHeight="1" outlineLevel="1" spans="1:16">
      <c r="A615" s="167"/>
      <c r="B615" s="168"/>
      <c r="C615" s="176"/>
      <c r="D615" s="176"/>
      <c r="E615" s="168"/>
      <c r="F615" s="157" t="s">
        <v>2679</v>
      </c>
      <c r="G615" s="43" t="s">
        <v>2680</v>
      </c>
      <c r="H615" s="137" t="s">
        <v>2711</v>
      </c>
      <c r="I615" s="157" t="s">
        <v>613</v>
      </c>
      <c r="J615" s="43" t="str">
        <f>INDEX(数据元说明!A:F,MATCH(I615,数据元说明!C:C,0),2)</f>
        <v>003011</v>
      </c>
      <c r="K615" s="158" t="str">
        <f>INDEX(数据元说明!A:F,MATCH(I615,数据元说明!C:C,0),5)</f>
        <v>与币种相对应金额。</v>
      </c>
      <c r="L615" s="43" t="str">
        <f>INDEX(数据元说明!A:F,MATCH(I615,数据元说明!C:C,0),6)</f>
        <v>D20.2</v>
      </c>
      <c r="M615" s="224"/>
      <c r="N615" s="225" t="s">
        <v>57</v>
      </c>
      <c r="O615" s="221"/>
      <c r="P615" s="221"/>
    </row>
    <row r="616" s="81" customFormat="1" ht="30" customHeight="1" outlineLevel="1" spans="1:16">
      <c r="A616" s="141"/>
      <c r="B616" s="142"/>
      <c r="C616" s="39"/>
      <c r="D616" s="39"/>
      <c r="E616" s="47"/>
      <c r="F616" s="135" t="s">
        <v>2411</v>
      </c>
      <c r="G616" s="136" t="s">
        <v>2412</v>
      </c>
      <c r="H616" s="137" t="s">
        <v>2712</v>
      </c>
      <c r="I616" s="157" t="s">
        <v>570</v>
      </c>
      <c r="J616" s="136" t="str">
        <f>INDEX(数据元说明!A:F,MATCH(I616,数据元说明!C:C,0),2)</f>
        <v>003001</v>
      </c>
      <c r="K616" s="138" t="str">
        <f>INDEX(数据元说明!A:F,MATCH(I616,数据元说明!C:C,0),5)</f>
        <v>系统内最细一级的账号，无唯一性约束，不需要和序号、子序号等做拼接。</v>
      </c>
      <c r="L616" s="136" t="str">
        <f>INDEX(数据元说明!A:F,MATCH(I616,数据元说明!C:C,0),6)</f>
        <v>C..60</v>
      </c>
      <c r="M616" s="158" t="s">
        <v>2713</v>
      </c>
      <c r="N616" s="140" t="s">
        <v>25</v>
      </c>
      <c r="O616" s="140" t="s">
        <v>449</v>
      </c>
      <c r="P616" s="140"/>
    </row>
    <row r="617" s="81" customFormat="1" ht="30" customHeight="1" outlineLevel="1" spans="1:16">
      <c r="A617" s="154"/>
      <c r="B617" s="155"/>
      <c r="C617" s="156"/>
      <c r="D617" s="156"/>
      <c r="E617" s="155"/>
      <c r="F617" s="157" t="s">
        <v>2714</v>
      </c>
      <c r="G617" s="43" t="s">
        <v>2715</v>
      </c>
      <c r="H617" s="137" t="s">
        <v>2716</v>
      </c>
      <c r="I617" s="135" t="s">
        <v>574</v>
      </c>
      <c r="J617" s="43" t="str">
        <f>INDEX(数据元说明!A:F,MATCH(I617,数据元说明!C:C,0),2)</f>
        <v>003002</v>
      </c>
      <c r="K617" s="158" t="str">
        <f>INDEX(数据元说明!A:F,MATCH(I617,数据元说明!C:C,0),5)</f>
        <v>机构实际使用的总账会计科目编码。</v>
      </c>
      <c r="L617" s="43" t="str">
        <f>INDEX(数据元说明!A:F,MATCH(I617,数据元说明!C:C,0),6)</f>
        <v>C..200</v>
      </c>
      <c r="M617" s="222" t="s">
        <v>2717</v>
      </c>
      <c r="N617" s="139" t="s">
        <v>25</v>
      </c>
      <c r="O617" s="139" t="s">
        <v>1613</v>
      </c>
      <c r="P617" s="221"/>
    </row>
    <row r="618" s="81" customFormat="1" ht="30" customHeight="1" outlineLevel="1" spans="1:16">
      <c r="A618" s="154"/>
      <c r="B618" s="155"/>
      <c r="C618" s="156"/>
      <c r="D618" s="156"/>
      <c r="E618" s="155"/>
      <c r="F618" s="157" t="s">
        <v>2718</v>
      </c>
      <c r="G618" s="43" t="s">
        <v>2719</v>
      </c>
      <c r="H618" s="137" t="s">
        <v>2720</v>
      </c>
      <c r="I618" s="135" t="s">
        <v>578</v>
      </c>
      <c r="J618" s="43" t="str">
        <f>INDEX(数据元说明!A:F,MATCH(I618,数据元说明!C:C,0),2)</f>
        <v>003003</v>
      </c>
      <c r="K618" s="158" t="str">
        <f>INDEX(数据元说明!A:F,MATCH(I618,数据元说明!C:C,0),5)</f>
        <v>机构实际使用的总账会计科目编码对应的名称。</v>
      </c>
      <c r="L618" s="43" t="str">
        <f>INDEX(数据元说明!A:F,MATCH(I618,数据元说明!C:C,0),6)</f>
        <v>C..200</v>
      </c>
      <c r="M618" s="222" t="s">
        <v>2721</v>
      </c>
      <c r="N618" s="139" t="s">
        <v>25</v>
      </c>
      <c r="O618" s="139" t="s">
        <v>449</v>
      </c>
      <c r="P618" s="221"/>
    </row>
    <row r="619" s="81" customFormat="1" ht="30" customHeight="1" outlineLevel="1" spans="1:16">
      <c r="A619" s="167"/>
      <c r="B619" s="168"/>
      <c r="C619" s="176"/>
      <c r="D619" s="176"/>
      <c r="E619" s="168"/>
      <c r="F619" s="157" t="s">
        <v>2415</v>
      </c>
      <c r="G619" s="43" t="s">
        <v>2416</v>
      </c>
      <c r="H619" s="137" t="s">
        <v>2722</v>
      </c>
      <c r="I619" s="157" t="s">
        <v>628</v>
      </c>
      <c r="J619" s="43" t="str">
        <f>INDEX(数据元说明!A:F,MATCH(I619,数据元说明!C:C,0),2)</f>
        <v>003015</v>
      </c>
      <c r="K619" s="158" t="str">
        <f>INDEX(数据元说明!A:F,MATCH(I619,数据元说明!C:C,0),5)</f>
        <v>账户归属者的名称。如果客户为个人，则为隐私，银行机构变形，变形规则见《采集技术接口说明》。客户是境内涉密机构的，账户名称填报为“*********”。其他情况，则为非隐私，不做变形。</v>
      </c>
      <c r="L619" s="43" t="str">
        <f>INDEX(数据元说明!A:F,MATCH(I619,数据元说明!C:C,0),6)</f>
        <v>C..400</v>
      </c>
      <c r="M619" s="158" t="s">
        <v>2723</v>
      </c>
      <c r="N619" s="139" t="s">
        <v>25</v>
      </c>
      <c r="O619" s="139" t="s">
        <v>1613</v>
      </c>
      <c r="P619" s="139"/>
    </row>
    <row r="620" s="81" customFormat="1" ht="30" customHeight="1" outlineLevel="1" spans="1:16">
      <c r="A620" s="167"/>
      <c r="B620" s="168"/>
      <c r="C620" s="176"/>
      <c r="D620" s="176"/>
      <c r="E620" s="168"/>
      <c r="F620" s="157" t="s">
        <v>2419</v>
      </c>
      <c r="G620" s="43" t="s">
        <v>2420</v>
      </c>
      <c r="H620" s="137" t="s">
        <v>2724</v>
      </c>
      <c r="I620" s="157" t="s">
        <v>325</v>
      </c>
      <c r="J620" s="43" t="str">
        <f>INDEX(数据元说明!A:F,MATCH(I620,数据元说明!C:C,0),2)</f>
        <v>001010</v>
      </c>
      <c r="K620" s="158" t="str">
        <f>INDEX(数据元说明!A:F,MATCH(I620,数据元说明!C:C,0),5)</f>
        <v>12位人行支付行号或SWIFT行号。</v>
      </c>
      <c r="L620" s="43" t="str">
        <f>INDEX(数据元说明!A:F,MATCH(I620,数据元说明!C:C,0),6)</f>
        <v>C..30</v>
      </c>
      <c r="M620" s="222" t="s">
        <v>2422</v>
      </c>
      <c r="N620" s="221" t="s">
        <v>25</v>
      </c>
      <c r="O620" s="221" t="s">
        <v>449</v>
      </c>
      <c r="P620" s="221"/>
    </row>
    <row r="621" s="81" customFormat="1" ht="30" customHeight="1" outlineLevel="1" spans="1:16">
      <c r="A621" s="167"/>
      <c r="B621" s="168"/>
      <c r="C621" s="176"/>
      <c r="D621" s="176"/>
      <c r="E621" s="168"/>
      <c r="F621" s="157" t="s">
        <v>2423</v>
      </c>
      <c r="G621" s="43" t="s">
        <v>2424</v>
      </c>
      <c r="H621" s="137" t="s">
        <v>2725</v>
      </c>
      <c r="I621" s="157" t="s">
        <v>282</v>
      </c>
      <c r="J621" s="43" t="str">
        <f>INDEX(数据元说明!A:F,MATCH(I621,数据元说明!C:C,0),2)</f>
        <v>001001</v>
      </c>
      <c r="K621" s="158" t="str">
        <f>INDEX(数据元说明!A:F,MATCH(I621,数据元说明!C:C,0),5)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621" s="43" t="str">
        <f>INDEX(数据元说明!A:F,MATCH(I621,数据元说明!C:C,0),6)</f>
        <v>C..400</v>
      </c>
      <c r="M621" s="222" t="s">
        <v>2426</v>
      </c>
      <c r="N621" s="221" t="s">
        <v>25</v>
      </c>
      <c r="O621" s="221" t="s">
        <v>1673</v>
      </c>
      <c r="P621" s="221"/>
    </row>
    <row r="622" s="81" customFormat="1" ht="30" customHeight="1" outlineLevel="1" spans="1:16">
      <c r="A622" s="167"/>
      <c r="B622" s="168"/>
      <c r="C622" s="156"/>
      <c r="D622" s="156"/>
      <c r="E622" s="155"/>
      <c r="F622" s="157" t="s">
        <v>718</v>
      </c>
      <c r="G622" s="43" t="s">
        <v>1779</v>
      </c>
      <c r="H622" s="137" t="s">
        <v>2726</v>
      </c>
      <c r="I622" s="157" t="s">
        <v>718</v>
      </c>
      <c r="J622" s="43" t="str">
        <f>INDEX(数据元说明!A:F,MATCH(I622,数据元说明!C:C,0),2)</f>
        <v>004005</v>
      </c>
      <c r="K622" s="158" t="str">
        <f>INDEX(数据元说明!A:F,MATCH(I622,数据元说明!C:C,0),5)</f>
        <v>银行自定义交易内容的简要描述。可以是转账凭证上的备注、附言。</v>
      </c>
      <c r="L622" s="43" t="str">
        <f>INDEX(数据元说明!A:F,MATCH(I622,数据元说明!C:C,0),6)</f>
        <v>C..400</v>
      </c>
      <c r="M622" s="158"/>
      <c r="N622" s="139" t="s">
        <v>25</v>
      </c>
      <c r="O622" s="139" t="s">
        <v>275</v>
      </c>
      <c r="P622" s="140" t="s">
        <v>1588</v>
      </c>
    </row>
    <row r="623" s="61" customFormat="1" ht="30" customHeight="1" outlineLevel="1" spans="1:16">
      <c r="A623" s="159"/>
      <c r="B623" s="160"/>
      <c r="C623" s="95"/>
      <c r="D623" s="95"/>
      <c r="E623" s="94"/>
      <c r="F623" s="97" t="s">
        <v>722</v>
      </c>
      <c r="G623" s="29" t="s">
        <v>2428</v>
      </c>
      <c r="H623" s="132" t="s">
        <v>2727</v>
      </c>
      <c r="I623" s="97" t="s">
        <v>722</v>
      </c>
      <c r="J623" s="29" t="str">
        <f>INDEX(数据元说明!A:F,MATCH(I623,数据元说明!C:C,0),2)</f>
        <v>004006</v>
      </c>
      <c r="K623" s="98" t="str">
        <f>INDEX(数据元说明!A:F,MATCH(I623,数据元说明!C:C,0),5)</f>
        <v>正常，冲补抹。</v>
      </c>
      <c r="L623" s="29" t="str">
        <f>INDEX(数据元说明!A:F,MATCH(I623,数据元说明!C:C,0),6)</f>
        <v>C..9</v>
      </c>
      <c r="M623" s="98" t="s">
        <v>2430</v>
      </c>
      <c r="N623" s="33" t="s">
        <v>25</v>
      </c>
      <c r="O623" s="99"/>
      <c r="P623" s="33" t="s">
        <v>1588</v>
      </c>
    </row>
    <row r="624" s="81" customFormat="1" ht="30" customHeight="1" outlineLevel="1" spans="1:16">
      <c r="A624" s="167"/>
      <c r="B624" s="168"/>
      <c r="C624" s="156"/>
      <c r="D624" s="156"/>
      <c r="E624" s="155"/>
      <c r="F624" s="157" t="s">
        <v>710</v>
      </c>
      <c r="G624" s="43" t="s">
        <v>2434</v>
      </c>
      <c r="H624" s="137" t="s">
        <v>2728</v>
      </c>
      <c r="I624" s="157" t="s">
        <v>710</v>
      </c>
      <c r="J624" s="43" t="str">
        <f>INDEX(数据元说明!A:F,MATCH(I624,数据元说明!C:C,0),2)</f>
        <v>004003</v>
      </c>
      <c r="K624" s="158" t="str">
        <f>INDEX(数据元说明!A:F,MATCH(I624,数据元说明!C:C,0),5)</f>
        <v>柜面，ATM，VTM，POS，网银，手机银行，银联交易，三方支付-银行自定义，其他-银行自定义。交易类型为三方支付的，以“三方支付-XX”填报，其中“XX”为第三方支付平台名称。如无法以枚举类型填报，则以“其他-XX”填报，其中“XX”为银行自定义类型。</v>
      </c>
      <c r="L624" s="43" t="str">
        <f>INDEX(数据元说明!A:F,MATCH(I624,数据元说明!C:C,0),6)</f>
        <v>C..60</v>
      </c>
      <c r="M624" s="162" t="s">
        <v>2436</v>
      </c>
      <c r="N624" s="140" t="s">
        <v>25</v>
      </c>
      <c r="O624" s="139" t="s">
        <v>275</v>
      </c>
      <c r="P624" s="140" t="s">
        <v>1606</v>
      </c>
    </row>
    <row r="625" s="81" customFormat="1" ht="30" customHeight="1" outlineLevel="1" spans="1:16">
      <c r="A625" s="167"/>
      <c r="B625" s="168"/>
      <c r="C625" s="156"/>
      <c r="D625" s="156"/>
      <c r="E625" s="155"/>
      <c r="F625" s="157" t="s">
        <v>714</v>
      </c>
      <c r="G625" s="43" t="s">
        <v>2431</v>
      </c>
      <c r="H625" s="137" t="s">
        <v>2729</v>
      </c>
      <c r="I625" s="157" t="s">
        <v>714</v>
      </c>
      <c r="J625" s="43" t="str">
        <f>INDEX(数据元说明!A:F,MATCH(I625,数据元说明!C:C,0),2)</f>
        <v>004004</v>
      </c>
      <c r="K625" s="158" t="str">
        <f>INDEX(数据元说明!A:F,MATCH(I625,数据元说明!C:C,0),5)</f>
        <v>现，转。</v>
      </c>
      <c r="L625" s="43" t="str">
        <f>INDEX(数据元说明!A:F,MATCH(I625,数据元说明!C:C,0),6)</f>
        <v>C3</v>
      </c>
      <c r="M625" s="138" t="s">
        <v>2433</v>
      </c>
      <c r="N625" s="139" t="s">
        <v>25</v>
      </c>
      <c r="O625" s="139" t="s">
        <v>449</v>
      </c>
      <c r="P625" s="140"/>
    </row>
    <row r="626" ht="30" customHeight="1" outlineLevel="1" spans="1:16">
      <c r="A626" s="159"/>
      <c r="B626" s="160"/>
      <c r="E626" s="94"/>
      <c r="F626" s="97" t="s">
        <v>2456</v>
      </c>
      <c r="G626" s="29" t="s">
        <v>2457</v>
      </c>
      <c r="H626" s="132" t="s">
        <v>2730</v>
      </c>
      <c r="I626" s="97" t="s">
        <v>368</v>
      </c>
      <c r="J626" s="29" t="str">
        <f>INDEX(数据元说明!A:F,MATCH(I626,数据元说明!C:C,0),2)</f>
        <v>001021</v>
      </c>
      <c r="K626" s="98" t="str">
        <f>INDEX(数据元说明!A:F,MATCH(I626,数据元说明!C:C,0),5)</f>
        <v>柜员编号，银行自定义。</v>
      </c>
      <c r="L626" s="29" t="str">
        <f>INDEX(数据元说明!A:F,MATCH(I626,数据元说明!C:C,0),6)</f>
        <v>C..30</v>
      </c>
      <c r="M626" s="163" t="s">
        <v>2151</v>
      </c>
      <c r="P626" s="99"/>
    </row>
    <row r="627" ht="30" customHeight="1" outlineLevel="1" spans="1:16">
      <c r="A627" s="159"/>
      <c r="B627" s="160"/>
      <c r="E627" s="94"/>
      <c r="F627" s="97" t="s">
        <v>2459</v>
      </c>
      <c r="G627" s="29" t="s">
        <v>2460</v>
      </c>
      <c r="H627" s="132" t="s">
        <v>2731</v>
      </c>
      <c r="I627" s="97" t="s">
        <v>368</v>
      </c>
      <c r="J627" s="29" t="str">
        <f>INDEX(数据元说明!A:F,MATCH(I627,数据元说明!C:C,0),2)</f>
        <v>001021</v>
      </c>
      <c r="K627" s="98" t="str">
        <f>INDEX(数据元说明!A:F,MATCH(I627,数据元说明!C:C,0),5)</f>
        <v>柜员编号，银行自定义。</v>
      </c>
      <c r="L627" s="29" t="str">
        <f>INDEX(数据元说明!A:F,MATCH(I627,数据元说明!C:C,0),6)</f>
        <v>C..30</v>
      </c>
      <c r="M627" s="163" t="s">
        <v>2462</v>
      </c>
      <c r="P627" s="99"/>
    </row>
    <row r="628" ht="30" customHeight="1" outlineLevel="1" spans="1:16">
      <c r="A628" s="159"/>
      <c r="B628" s="160"/>
      <c r="E628" s="94"/>
      <c r="F628" s="97" t="s">
        <v>2732</v>
      </c>
      <c r="G628" s="29" t="s">
        <v>2733</v>
      </c>
      <c r="H628" s="132" t="s">
        <v>2734</v>
      </c>
      <c r="I628" s="97" t="s">
        <v>302</v>
      </c>
      <c r="J628" s="29" t="str">
        <f>INDEX(数据元说明!A:F,MATCH(I628,数据元说明!C:C,0),2)</f>
        <v>001005</v>
      </c>
      <c r="K628" s="98" t="str">
        <f>INDEX(数据元说明!A:F,MATCH(I628,数据元说明!C:C,0),5)</f>
        <v>YYYYMMDD，默认值99991231。</v>
      </c>
      <c r="L628" s="29" t="str">
        <f>INDEX(数据元说明!A:F,MATCH(I628,数据元说明!C:C,0),6)</f>
        <v>C8</v>
      </c>
      <c r="P628" s="99"/>
    </row>
    <row r="629" ht="30" customHeight="1" outlineLevel="1" spans="1:16">
      <c r="A629" s="159"/>
      <c r="B629" s="160"/>
      <c r="E629" s="94"/>
      <c r="F629" s="97" t="s">
        <v>2735</v>
      </c>
      <c r="G629" s="29" t="s">
        <v>2736</v>
      </c>
      <c r="H629" s="132" t="s">
        <v>2737</v>
      </c>
      <c r="I629" s="97" t="s">
        <v>302</v>
      </c>
      <c r="J629" s="29" t="str">
        <f>INDEX(数据元说明!A:F,MATCH(I629,数据元说明!C:C,0),2)</f>
        <v>001005</v>
      </c>
      <c r="K629" s="98" t="str">
        <f>INDEX(数据元说明!A:F,MATCH(I629,数据元说明!C:C,0),5)</f>
        <v>YYYYMMDD，默认值99991231。</v>
      </c>
      <c r="L629" s="29" t="str">
        <f>INDEX(数据元说明!A:F,MATCH(I629,数据元说明!C:C,0),6)</f>
        <v>C8</v>
      </c>
      <c r="P629" s="99"/>
    </row>
    <row r="630" s="82" customFormat="1" ht="71" outlineLevel="1" spans="1:16">
      <c r="A630" s="144"/>
      <c r="B630" s="145"/>
      <c r="C630" s="146"/>
      <c r="D630" s="146"/>
      <c r="E630" s="145"/>
      <c r="F630" s="147" t="s">
        <v>449</v>
      </c>
      <c r="G630" s="148" t="s">
        <v>1571</v>
      </c>
      <c r="H630" s="148" t="s">
        <v>2738</v>
      </c>
      <c r="I630" s="147" t="s">
        <v>449</v>
      </c>
      <c r="J630" s="148" t="str">
        <f>INDEX(数据元说明!A:F,MATCH(I630,数据元说明!C:C,0),2)</f>
        <v>001040</v>
      </c>
      <c r="K630" s="149" t="str">
        <f>INDEX(数据元说明!A:F,MATCH(I630,数据元说明!C:C,0),5)</f>
        <v>银行自定义。</v>
      </c>
      <c r="L630" s="148" t="str">
        <f>INDEX(数据元说明!A:F,MATCH(I630,数据元说明!C:C,0),6)</f>
        <v>C..600</v>
      </c>
      <c r="M630" s="149" t="s">
        <v>1573</v>
      </c>
      <c r="N630" s="143" t="s">
        <v>57</v>
      </c>
      <c r="O630" s="151"/>
      <c r="P630" s="151"/>
    </row>
    <row r="631" ht="30" customHeight="1" outlineLevel="1" spans="1:16">
      <c r="E631" s="94"/>
      <c r="F631" s="97" t="s">
        <v>1574</v>
      </c>
      <c r="G631" s="29" t="s">
        <v>1575</v>
      </c>
      <c r="H631" s="132" t="s">
        <v>2739</v>
      </c>
      <c r="I631" s="97" t="s">
        <v>302</v>
      </c>
      <c r="J631" s="29" t="str">
        <f>INDEX(数据元说明!A:F,MATCH(I631,数据元说明!C:C,0),2)</f>
        <v>001005</v>
      </c>
      <c r="K631" s="98" t="str">
        <f>INDEX(数据元说明!A:F,MATCH(I631,数据元说明!C:C,0),5)</f>
        <v>YYYYMMDD，默认值99991231。</v>
      </c>
      <c r="L631" s="29" t="str">
        <f>INDEX(数据元说明!A:F,MATCH(I631,数据元说明!C:C,0),6)</f>
        <v>C8</v>
      </c>
      <c r="M631" s="98" t="s">
        <v>1577</v>
      </c>
      <c r="P631" s="99"/>
    </row>
    <row r="632" s="81" customFormat="1" ht="30" customHeight="1" spans="1:16">
      <c r="A632" s="199"/>
      <c r="B632" s="49"/>
      <c r="C632" s="37" t="s">
        <v>114</v>
      </c>
      <c r="D632" s="38" t="s">
        <v>115</v>
      </c>
      <c r="E632" s="181" t="s">
        <v>2740</v>
      </c>
      <c r="F632" s="182"/>
      <c r="G632" s="183"/>
      <c r="H632" s="181"/>
      <c r="I632" s="182"/>
      <c r="J632" s="183"/>
      <c r="K632" s="128"/>
      <c r="L632" s="183"/>
      <c r="M632" s="128" t="str">
        <f>INDEX(表结构总览!E:H,MATCH(D632,表结构总览!E:E,0),4)</f>
        <v>本表为开展各项表内、表外信贷业务，以个人名义在银行机构所开立的信贷账户信息。报送范围：1104报表G01_VII[2.21 个人贷款(不含个人经营性贷款)] + [4.个人经营性贷款] - [2.21.1信用卡] + G01_I_2《委托贷款投向统计表》[2.21个人贷款(不含个人经营性贷款)] 。个体工商户、私营业主以营业执照等证件开立的对公账户也计入本表。表内个人贷款不报送信用卡业务。表外业务只报送委托贷款（非现金管理项下），其他不报送。以信贷借据号为最小粒度报送，借据结清、核销或转让的，可在报送最后状态的次月不再报送。账户状态为“销户”时，也可于次月不再报送。</v>
      </c>
      <c r="N632" s="129" t="s">
        <v>25</v>
      </c>
      <c r="O632" s="129" t="s">
        <v>449</v>
      </c>
      <c r="P632" s="139"/>
    </row>
    <row r="633" ht="30" customHeight="1" outlineLevel="1" spans="1:16">
      <c r="E633" s="94"/>
      <c r="F633" s="97" t="s">
        <v>325</v>
      </c>
      <c r="G633" s="29" t="s">
        <v>1520</v>
      </c>
      <c r="H633" s="96" t="s">
        <v>2741</v>
      </c>
      <c r="I633" s="97" t="s">
        <v>325</v>
      </c>
      <c r="J633" s="29" t="str">
        <f>INDEX(数据元说明!A:F,MATCH(I633,数据元说明!C:C,0),2)</f>
        <v>001010</v>
      </c>
      <c r="K633" s="98" t="str">
        <f>INDEX(数据元说明!A:F,MATCH(I633,数据元说明!C:C,0),5)</f>
        <v>12位人行支付行号或SWIFT行号。</v>
      </c>
      <c r="L633" s="29" t="str">
        <f>INDEX(数据元说明!A:F,MATCH(I633,数据元说明!C:C,0),6)</f>
        <v>C..30</v>
      </c>
      <c r="M633" s="98" t="s">
        <v>2318</v>
      </c>
      <c r="P633" s="99"/>
    </row>
    <row r="634" s="81" customFormat="1" ht="30" customHeight="1" outlineLevel="1" spans="1:16">
      <c r="A634" s="134"/>
      <c r="B634" s="47"/>
      <c r="C634" s="39"/>
      <c r="D634" s="39"/>
      <c r="E634" s="47"/>
      <c r="F634" s="135" t="s">
        <v>329</v>
      </c>
      <c r="G634" s="136" t="s">
        <v>1526</v>
      </c>
      <c r="H634" s="153" t="s">
        <v>2742</v>
      </c>
      <c r="I634" s="135" t="s">
        <v>329</v>
      </c>
      <c r="J634" s="136" t="str">
        <f>INDEX(数据元说明!A:F,MATCH(I634,数据元说明!C:C,0),2)</f>
        <v>001011</v>
      </c>
      <c r="K634" s="138" t="str">
        <f>INDEX(数据元说明!A:F,MATCH(I634,数据元说明!C:C,0),5)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34" s="136" t="str">
        <f>INDEX(数据元说明!A:F,MATCH(I634,数据元说明!C:C,0),6)</f>
        <v>C..30</v>
      </c>
      <c r="M634" s="138" t="s">
        <v>2320</v>
      </c>
      <c r="N634" s="129" t="s">
        <v>25</v>
      </c>
      <c r="O634" s="129" t="s">
        <v>449</v>
      </c>
      <c r="P634" s="139"/>
    </row>
    <row r="635" ht="30" customHeight="1" outlineLevel="1" spans="1:16">
      <c r="A635" s="159"/>
      <c r="B635" s="160"/>
      <c r="C635" s="161"/>
      <c r="D635" s="161"/>
      <c r="E635" s="160"/>
      <c r="F635" s="97" t="s">
        <v>333</v>
      </c>
      <c r="G635" s="29" t="s">
        <v>1523</v>
      </c>
      <c r="H635" s="96" t="s">
        <v>2743</v>
      </c>
      <c r="I635" s="97" t="s">
        <v>333</v>
      </c>
      <c r="J635" s="29" t="str">
        <f>INDEX(数据元说明!A:F,MATCH(I635,数据元说明!C:C,0),2)</f>
        <v>001012</v>
      </c>
      <c r="K635" s="98" t="str">
        <f>INDEX(数据元说明!A:F,MATCH(I635,数据元说明!C:C,0),5)</f>
        <v>银行内部机构号。应具有标识机构的唯一性。</v>
      </c>
      <c r="L635" s="29" t="str">
        <f>INDEX(数据元说明!A:F,MATCH(I635,数据元说明!C:C,0),6)</f>
        <v>C..30</v>
      </c>
      <c r="M635" s="98" t="s">
        <v>2322</v>
      </c>
      <c r="P635" s="99"/>
    </row>
    <row r="636" ht="30" customHeight="1" outlineLevel="1" spans="1:16">
      <c r="A636" s="159"/>
      <c r="B636" s="160"/>
      <c r="C636" s="161"/>
      <c r="D636" s="161"/>
      <c r="E636" s="160"/>
      <c r="F636" s="157" t="s">
        <v>1532</v>
      </c>
      <c r="G636" s="43" t="s">
        <v>1533</v>
      </c>
      <c r="H636" s="153" t="s">
        <v>2744</v>
      </c>
      <c r="I636" s="157" t="s">
        <v>282</v>
      </c>
      <c r="J636" s="43" t="str">
        <f>INDEX(数据元说明!A:F,MATCH(I636,数据元说明!C:C,0),2)</f>
        <v>001001</v>
      </c>
      <c r="K636" s="158" t="str">
        <f>INDEX(数据元说明!A:F,MATCH(I636,数据元说明!C:C,0),5)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636" s="43" t="str">
        <f>INDEX(数据元说明!A:F,MATCH(I636,数据元说明!C:C,0),6)</f>
        <v>C..400</v>
      </c>
      <c r="M636" s="158" t="s">
        <v>2324</v>
      </c>
      <c r="N636" s="129" t="s">
        <v>25</v>
      </c>
      <c r="O636" s="129" t="s">
        <v>280</v>
      </c>
      <c r="P636" s="187" t="s">
        <v>1588</v>
      </c>
    </row>
    <row r="637" s="81" customFormat="1" ht="30" customHeight="1" outlineLevel="1" spans="1:16">
      <c r="A637" s="167"/>
      <c r="B637" s="168"/>
      <c r="C637" s="176"/>
      <c r="D637" s="176"/>
      <c r="E637" s="168"/>
      <c r="F637" s="157" t="s">
        <v>2325</v>
      </c>
      <c r="G637" s="43" t="s">
        <v>2326</v>
      </c>
      <c r="H637" s="153" t="s">
        <v>2745</v>
      </c>
      <c r="I637" s="135" t="s">
        <v>574</v>
      </c>
      <c r="J637" s="43" t="str">
        <f>INDEX(数据元说明!A:F,MATCH(I637,数据元说明!C:C,0),2)</f>
        <v>003002</v>
      </c>
      <c r="K637" s="158" t="str">
        <f>INDEX(数据元说明!A:F,MATCH(I637,数据元说明!C:C,0),5)</f>
        <v>机构实际使用的总账会计科目编码。</v>
      </c>
      <c r="L637" s="43" t="str">
        <f>INDEX(数据元说明!A:F,MATCH(I637,数据元说明!C:C,0),6)</f>
        <v>C..200</v>
      </c>
      <c r="M637" s="138" t="s">
        <v>2328</v>
      </c>
      <c r="N637" s="139" t="s">
        <v>25</v>
      </c>
      <c r="O637" s="139" t="s">
        <v>1516</v>
      </c>
      <c r="P637" s="221"/>
    </row>
    <row r="638" s="81" customFormat="1" ht="30" customHeight="1" outlineLevel="1" spans="1:16">
      <c r="A638" s="167"/>
      <c r="B638" s="168"/>
      <c r="C638" s="176"/>
      <c r="D638" s="176"/>
      <c r="E638" s="168"/>
      <c r="F638" s="157" t="s">
        <v>2329</v>
      </c>
      <c r="G638" s="43" t="s">
        <v>2330</v>
      </c>
      <c r="H638" s="153" t="s">
        <v>2746</v>
      </c>
      <c r="I638" s="135" t="s">
        <v>578</v>
      </c>
      <c r="J638" s="43" t="str">
        <f>INDEX(数据元说明!A:F,MATCH(I638,数据元说明!C:C,0),2)</f>
        <v>003003</v>
      </c>
      <c r="K638" s="158" t="str">
        <f>INDEX(数据元说明!A:F,MATCH(I638,数据元说明!C:C,0),5)</f>
        <v>机构实际使用的总账会计科目编码对应的名称。</v>
      </c>
      <c r="L638" s="43" t="str">
        <f>INDEX(数据元说明!A:F,MATCH(I638,数据元说明!C:C,0),6)</f>
        <v>C..200</v>
      </c>
      <c r="M638" s="138" t="s">
        <v>2328</v>
      </c>
      <c r="N638" s="139" t="s">
        <v>25</v>
      </c>
      <c r="O638" s="139" t="s">
        <v>449</v>
      </c>
      <c r="P638" s="140"/>
    </row>
    <row r="639" s="61" customFormat="1" ht="30" customHeight="1" outlineLevel="1" spans="1:16">
      <c r="A639" s="159"/>
      <c r="B639" s="160"/>
      <c r="C639" s="161"/>
      <c r="D639" s="161"/>
      <c r="E639" s="160"/>
      <c r="F639" s="97" t="s">
        <v>453</v>
      </c>
      <c r="G639" s="29" t="s">
        <v>1680</v>
      </c>
      <c r="H639" s="96" t="s">
        <v>2747</v>
      </c>
      <c r="I639" s="97" t="s">
        <v>453</v>
      </c>
      <c r="J639" s="29" t="str">
        <f>INDEX(数据元说明!A:F,MATCH(I639,数据元说明!C:C,0),2)</f>
        <v>002001</v>
      </c>
      <c r="K639" s="98" t="str">
        <f>INDEX(数据元说明!A:F,MATCH(I639,数据元说明!C:C,0),5)</f>
        <v>银行自定义的唯一识别客户的标识。供应链融资的填写供应链融资编码。</v>
      </c>
      <c r="L639" s="29" t="str">
        <f>INDEX(数据元说明!A:F,MATCH(I639,数据元说明!C:C,0),6)</f>
        <v>C..60</v>
      </c>
      <c r="M639" s="98" t="s">
        <v>2333</v>
      </c>
      <c r="N639" s="33" t="s">
        <v>25</v>
      </c>
      <c r="O639" s="99"/>
      <c r="P639" s="226" t="s">
        <v>1588</v>
      </c>
    </row>
    <row r="640" s="81" customFormat="1" ht="30" customHeight="1" outlineLevel="1" spans="1:16">
      <c r="A640" s="167"/>
      <c r="B640" s="168"/>
      <c r="C640" s="176"/>
      <c r="D640" s="176"/>
      <c r="E640" s="168"/>
      <c r="F640" s="157" t="s">
        <v>628</v>
      </c>
      <c r="G640" s="43" t="s">
        <v>2334</v>
      </c>
      <c r="H640" s="153" t="s">
        <v>2748</v>
      </c>
      <c r="I640" s="157" t="s">
        <v>628</v>
      </c>
      <c r="J640" s="43" t="str">
        <f>INDEX(数据元说明!A:F,MATCH(I640,数据元说明!C:C,0),2)</f>
        <v>003015</v>
      </c>
      <c r="K640" s="158" t="str">
        <f>INDEX(数据元说明!A:F,MATCH(I640,数据元说明!C:C,0),5)</f>
        <v>账户归属者的名称。如果客户为个人，则为隐私，银行机构变形，变形规则见《采集技术接口说明》。客户是境内涉密机构的，账户名称填报为“*********”。其他情况，则为非隐私，不做变形。</v>
      </c>
      <c r="L640" s="43" t="str">
        <f>INDEX(数据元说明!A:F,MATCH(I640,数据元说明!C:C,0),6)</f>
        <v>C..400</v>
      </c>
      <c r="M640" s="158" t="s">
        <v>2336</v>
      </c>
      <c r="N640" s="139" t="s">
        <v>25</v>
      </c>
      <c r="O640" s="139" t="s">
        <v>449</v>
      </c>
      <c r="P640" s="140"/>
    </row>
    <row r="641" s="61" customFormat="1" ht="30" customHeight="1" outlineLevel="1" spans="1:16">
      <c r="A641" s="159"/>
      <c r="B641" s="160"/>
      <c r="C641" s="161"/>
      <c r="D641" s="161"/>
      <c r="E641" s="160"/>
      <c r="F641" s="97" t="s">
        <v>2749</v>
      </c>
      <c r="G641" s="29" t="s">
        <v>2750</v>
      </c>
      <c r="H641" s="96" t="s">
        <v>2751</v>
      </c>
      <c r="I641" s="97" t="s">
        <v>570</v>
      </c>
      <c r="J641" s="29" t="str">
        <f>INDEX(数据元说明!A:F,MATCH(I641,数据元说明!C:C,0),2)</f>
        <v>003001</v>
      </c>
      <c r="K641" s="98" t="str">
        <f>INDEX(数据元说明!A:F,MATCH(I641,数据元说明!C:C,0),5)</f>
        <v>系统内最细一级的账号，无唯一性约束，不需要和序号、子序号等做拼接。</v>
      </c>
      <c r="L641" s="29" t="str">
        <f>INDEX(数据元说明!A:F,MATCH(I641,数据元说明!C:C,0),6)</f>
        <v>C..60</v>
      </c>
      <c r="M641" s="98" t="s">
        <v>1587</v>
      </c>
      <c r="N641" s="33" t="s">
        <v>25</v>
      </c>
      <c r="O641" s="99"/>
      <c r="P641" s="226" t="s">
        <v>1588</v>
      </c>
    </row>
    <row r="642" s="61" customFormat="1" ht="30" customHeight="1" outlineLevel="1" spans="1:16">
      <c r="A642" s="159"/>
      <c r="B642" s="160"/>
      <c r="C642" s="95"/>
      <c r="D642" s="95"/>
      <c r="E642" s="94"/>
      <c r="F642" s="97" t="s">
        <v>2752</v>
      </c>
      <c r="G642" s="29" t="s">
        <v>2753</v>
      </c>
      <c r="H642" s="96" t="s">
        <v>2754</v>
      </c>
      <c r="I642" s="97" t="s">
        <v>677</v>
      </c>
      <c r="J642" s="29" t="str">
        <f>INDEX(数据元说明!A:F,MATCH(I642,数据元说明!C:C,0),2)</f>
        <v>003027</v>
      </c>
      <c r="K642" s="98" t="str">
        <f>INDEX(数据元说明!A:F,MATCH(I642,数据元说明!C:C,0),5)</f>
        <v>借据统一编号。</v>
      </c>
      <c r="L642" s="29" t="str">
        <f>INDEX(数据元说明!A:F,MATCH(I642,数据元说明!C:C,0),6)</f>
        <v>C..100</v>
      </c>
      <c r="M642" s="98" t="s">
        <v>2755</v>
      </c>
      <c r="N642" s="33" t="s">
        <v>25</v>
      </c>
      <c r="O642" s="99"/>
      <c r="P642" s="226" t="s">
        <v>1588</v>
      </c>
    </row>
    <row r="643" ht="30" customHeight="1" outlineLevel="1" spans="1:16">
      <c r="A643" s="159"/>
      <c r="B643" s="160"/>
      <c r="C643" s="161"/>
      <c r="D643" s="161"/>
      <c r="E643" s="160"/>
      <c r="F643" s="157" t="s">
        <v>2756</v>
      </c>
      <c r="G643" s="43" t="s">
        <v>2757</v>
      </c>
      <c r="H643" s="153" t="s">
        <v>2758</v>
      </c>
      <c r="I643" s="157" t="s">
        <v>660</v>
      </c>
      <c r="J643" s="43" t="str">
        <f>INDEX(数据元说明!A:F,MATCH(I643,数据元说明!C:C,0),2)</f>
        <v>003023</v>
      </c>
      <c r="K643" s="158" t="str">
        <f>INDEX(数据元说明!A:F,MATCH(I643,数据元说明!C:C,0),5)</f>
        <v>百分比为单位，即%，如4.5%填报为4.5。</v>
      </c>
      <c r="L643" s="43" t="str">
        <f>INDEX(数据元说明!A:F,MATCH(I643,数据元说明!C:C,0),6)</f>
        <v>D10.4</v>
      </c>
      <c r="M643" s="138" t="s">
        <v>2759</v>
      </c>
      <c r="N643" s="187" t="s">
        <v>25</v>
      </c>
      <c r="O643" s="139" t="s">
        <v>2494</v>
      </c>
      <c r="P643" s="139"/>
    </row>
    <row r="644" s="61" customFormat="1" ht="30" customHeight="1" outlineLevel="1" spans="1:16">
      <c r="A644" s="159"/>
      <c r="B644" s="160"/>
      <c r="C644" s="161"/>
      <c r="D644" s="161"/>
      <c r="E644" s="160"/>
      <c r="F644" s="97" t="s">
        <v>624</v>
      </c>
      <c r="G644" s="29" t="s">
        <v>1989</v>
      </c>
      <c r="H644" s="96" t="s">
        <v>2760</v>
      </c>
      <c r="I644" s="97" t="s">
        <v>624</v>
      </c>
      <c r="J644" s="29" t="str">
        <f>INDEX(数据元说明!A:F,MATCH(I644,数据元说明!C:C,0),2)</f>
        <v>003014</v>
      </c>
      <c r="K644" s="98" t="str">
        <f>INDEX(数据元说明!A:F,MATCH(I644,数据元说明!C:C,0),5)</f>
        <v>遵循《GB/T 12406 表示货币和资金的代码》的字母代码，如CNY。上述文件所列币种无法涵盖的，允许银行自定义填报。多个币种合计折算为人民币（本外币合计）的，填报为BWB。</v>
      </c>
      <c r="L644" s="29" t="str">
        <f>INDEX(数据元说明!A:F,MATCH(I644,数据元说明!C:C,0),6)</f>
        <v>C3</v>
      </c>
      <c r="M644" s="98" t="s">
        <v>1525</v>
      </c>
      <c r="N644" s="33" t="s">
        <v>25</v>
      </c>
      <c r="O644" s="99"/>
      <c r="P644" s="33" t="s">
        <v>1588</v>
      </c>
    </row>
    <row r="645" s="81" customFormat="1" ht="74.25" customHeight="1" outlineLevel="1" spans="1:16">
      <c r="A645" s="141"/>
      <c r="B645" s="142"/>
      <c r="C645" s="177"/>
      <c r="D645" s="177"/>
      <c r="E645" s="142"/>
      <c r="F645" s="135" t="s">
        <v>2761</v>
      </c>
      <c r="G645" s="136" t="s">
        <v>2762</v>
      </c>
      <c r="H645" s="153" t="s">
        <v>2763</v>
      </c>
      <c r="I645" s="135" t="s">
        <v>609</v>
      </c>
      <c r="J645" s="136" t="str">
        <f>INDEX(数据元说明!A:F,MATCH(I645,数据元说明!C:C,0),2)</f>
        <v>003010</v>
      </c>
      <c r="K645" s="138" t="str">
        <f>INDEX(数据元说明!A:F,MATCH(I645,数据元说明!C:C,0),5)</f>
        <v>与币种相对应金额。</v>
      </c>
      <c r="L645" s="136" t="str">
        <f>INDEX(数据元说明!A:F,MATCH(I645,数据元说明!C:C,0),6)</f>
        <v>D20.2</v>
      </c>
      <c r="M645" s="138" t="s">
        <v>2764</v>
      </c>
      <c r="N645" s="129" t="s">
        <v>25</v>
      </c>
      <c r="O645" s="129" t="s">
        <v>1550</v>
      </c>
      <c r="P645" s="139"/>
    </row>
    <row r="646" s="81" customFormat="1" ht="54" customHeight="1" outlineLevel="1" spans="1:16">
      <c r="A646" s="141"/>
      <c r="B646" s="142"/>
      <c r="C646" s="39"/>
      <c r="D646" s="39"/>
      <c r="E646" s="47"/>
      <c r="F646" s="135" t="s">
        <v>2765</v>
      </c>
      <c r="G646" s="136" t="s">
        <v>2766</v>
      </c>
      <c r="H646" s="153" t="s">
        <v>2767</v>
      </c>
      <c r="I646" s="135" t="s">
        <v>613</v>
      </c>
      <c r="J646" s="136" t="str">
        <f>INDEX(数据元说明!A:F,MATCH(I646,数据元说明!C:C,0),2)</f>
        <v>003011</v>
      </c>
      <c r="K646" s="138" t="str">
        <f>INDEX(数据元说明!A:F,MATCH(I646,数据元说明!C:C,0),5)</f>
        <v>与币种相对应金额。</v>
      </c>
      <c r="L646" s="136" t="str">
        <f>INDEX(数据元说明!A:F,MATCH(I646,数据元说明!C:C,0),6)</f>
        <v>D20.2</v>
      </c>
      <c r="M646" s="138" t="s">
        <v>2768</v>
      </c>
      <c r="N646" s="143" t="s">
        <v>57</v>
      </c>
      <c r="O646" s="139"/>
      <c r="P646" s="139"/>
    </row>
    <row r="647" s="81" customFormat="1" ht="49" customHeight="1" outlineLevel="1" spans="1:16">
      <c r="A647" s="141"/>
      <c r="B647" s="142"/>
      <c r="C647" s="39"/>
      <c r="D647" s="39"/>
      <c r="E647" s="47"/>
      <c r="F647" s="135" t="s">
        <v>2769</v>
      </c>
      <c r="G647" s="136" t="s">
        <v>2770</v>
      </c>
      <c r="H647" s="153" t="s">
        <v>2771</v>
      </c>
      <c r="I647" s="135" t="s">
        <v>302</v>
      </c>
      <c r="J647" s="136" t="str">
        <f>INDEX(数据元说明!A:F,MATCH(I647,数据元说明!C:C,0),2)</f>
        <v>001005</v>
      </c>
      <c r="K647" s="138" t="str">
        <f>INDEX(数据元说明!A:F,MATCH(I647,数据元说明!C:C,0),5)</f>
        <v>YYYYMMDD，默认值99991231。</v>
      </c>
      <c r="L647" s="136" t="str">
        <f>INDEX(数据元说明!A:F,MATCH(I647,数据元说明!C:C,0),6)</f>
        <v>C8</v>
      </c>
      <c r="M647" s="138" t="s">
        <v>2772</v>
      </c>
      <c r="N647" s="143" t="s">
        <v>57</v>
      </c>
      <c r="O647" s="139"/>
      <c r="P647" s="139"/>
    </row>
    <row r="648" s="81" customFormat="1" ht="30" customHeight="1" outlineLevel="1" spans="1:16">
      <c r="A648" s="154"/>
      <c r="B648" s="155"/>
      <c r="C648" s="156"/>
      <c r="D648" s="156"/>
      <c r="E648" s="155"/>
      <c r="F648" s="157" t="s">
        <v>2490</v>
      </c>
      <c r="G648" s="43" t="s">
        <v>2491</v>
      </c>
      <c r="H648" s="153" t="s">
        <v>2773</v>
      </c>
      <c r="I648" s="157" t="s">
        <v>302</v>
      </c>
      <c r="J648" s="43" t="str">
        <f>INDEX(数据元说明!A:F,MATCH(I648,数据元说明!C:C,0),2)</f>
        <v>001005</v>
      </c>
      <c r="K648" s="158" t="str">
        <f>INDEX(数据元说明!A:F,MATCH(I648,数据元说明!C:C,0),5)</f>
        <v>YYYYMMDD，默认值99991231。</v>
      </c>
      <c r="L648" s="43" t="str">
        <f>INDEX(数据元说明!A:F,MATCH(I648,数据元说明!C:C,0),6)</f>
        <v>C8</v>
      </c>
      <c r="M648" s="158" t="s">
        <v>2774</v>
      </c>
      <c r="N648" s="139" t="s">
        <v>25</v>
      </c>
      <c r="O648" s="139" t="s">
        <v>449</v>
      </c>
      <c r="P648" s="140"/>
    </row>
    <row r="649" ht="30" customHeight="1" outlineLevel="1" spans="1:16">
      <c r="A649" s="159"/>
      <c r="B649" s="160"/>
      <c r="E649" s="94"/>
      <c r="F649" s="97" t="s">
        <v>2350</v>
      </c>
      <c r="G649" s="29" t="s">
        <v>2351</v>
      </c>
      <c r="H649" s="96" t="s">
        <v>2775</v>
      </c>
      <c r="I649" s="97" t="s">
        <v>302</v>
      </c>
      <c r="J649" s="29" t="str">
        <f>INDEX(数据元说明!A:F,MATCH(I649,数据元说明!C:C,0),2)</f>
        <v>001005</v>
      </c>
      <c r="K649" s="98" t="str">
        <f>INDEX(数据元说明!A:F,MATCH(I649,数据元说明!C:C,0),5)</f>
        <v>YYYYMMDD，默认值99991231。</v>
      </c>
      <c r="L649" s="29" t="str">
        <f>INDEX(数据元说明!A:F,MATCH(I649,数据元说明!C:C,0),6)</f>
        <v>C8</v>
      </c>
      <c r="P649" s="99"/>
    </row>
    <row r="650" s="81" customFormat="1" ht="30" customHeight="1" outlineLevel="1" spans="1:16">
      <c r="A650" s="167"/>
      <c r="B650" s="168"/>
      <c r="C650" s="156"/>
      <c r="D650" s="156"/>
      <c r="E650" s="155"/>
      <c r="F650" s="157" t="s">
        <v>2360</v>
      </c>
      <c r="G650" s="43" t="s">
        <v>2361</v>
      </c>
      <c r="H650" s="153" t="s">
        <v>2776</v>
      </c>
      <c r="I650" s="157" t="s">
        <v>302</v>
      </c>
      <c r="J650" s="43" t="str">
        <f>INDEX(数据元说明!A:F,MATCH(I650,数据元说明!C:C,0),2)</f>
        <v>001005</v>
      </c>
      <c r="K650" s="158" t="str">
        <f>INDEX(数据元说明!A:F,MATCH(I650,数据元说明!C:C,0),5)</f>
        <v>YYYYMMDD，默认值99991231。</v>
      </c>
      <c r="L650" s="43" t="str">
        <f>INDEX(数据元说明!A:F,MATCH(I650,数据元说明!C:C,0),6)</f>
        <v>C8</v>
      </c>
      <c r="M650" s="138" t="s">
        <v>2363</v>
      </c>
      <c r="N650" s="139" t="s">
        <v>25</v>
      </c>
      <c r="O650" s="140"/>
      <c r="P650" s="139" t="s">
        <v>1606</v>
      </c>
    </row>
    <row r="651" s="81" customFormat="1" ht="30" customHeight="1" outlineLevel="1" spans="1:16">
      <c r="A651" s="167"/>
      <c r="B651" s="168"/>
      <c r="C651" s="156"/>
      <c r="D651" s="156"/>
      <c r="E651" s="155"/>
      <c r="F651" s="157" t="s">
        <v>839</v>
      </c>
      <c r="G651" s="43" t="s">
        <v>2777</v>
      </c>
      <c r="H651" s="153" t="s">
        <v>2778</v>
      </c>
      <c r="I651" s="157" t="s">
        <v>839</v>
      </c>
      <c r="J651" s="407" t="str">
        <f>INDEX(数据元说明!A:F,MATCH(I651,数据元说明!C:C,0),2)</f>
        <v>005026</v>
      </c>
      <c r="K651" s="158" t="str">
        <f>INDEX(数据元说明!A:F,MATCH(I651,数据元说明!C:C,0),5)</f>
        <v>正常、结清、逾期、核销、转让，其他-银行自定义。以枚举类型填报，如无法以枚举类型填报，则以“其他-XX”填报，其中“XX”为银行自定义状态。</v>
      </c>
      <c r="L651" s="43" t="str">
        <f>INDEX(数据元说明!A:F,MATCH(I651,数据元说明!C:C,0),6)</f>
        <v>C..30</v>
      </c>
      <c r="M651" s="138"/>
      <c r="N651" s="140" t="s">
        <v>25</v>
      </c>
      <c r="O651" s="139" t="s">
        <v>1514</v>
      </c>
      <c r="P651" s="140"/>
    </row>
    <row r="652" s="81" customFormat="1" ht="30" customHeight="1" outlineLevel="1" spans="1:16">
      <c r="A652" s="167"/>
      <c r="B652" s="168"/>
      <c r="C652" s="156"/>
      <c r="D652" s="156"/>
      <c r="E652" s="155"/>
      <c r="F652" s="157" t="s">
        <v>636</v>
      </c>
      <c r="G652" s="43" t="s">
        <v>2366</v>
      </c>
      <c r="H652" s="153" t="s">
        <v>2779</v>
      </c>
      <c r="I652" s="157" t="s">
        <v>636</v>
      </c>
      <c r="J652" s="43" t="str">
        <f>INDEX(数据元说明!A:F,MATCH(I652,数据元说明!C:C,0),2)</f>
        <v>003017</v>
      </c>
      <c r="K652" s="158" t="str">
        <f>INDEX(数据元说明!A:F,MATCH(I652,数据元说明!C:C,0),5)</f>
        <v>正常，预销户，销户，逾期，冻结，止付，已转让，其他-银行自定义。无法以枚举类型填报的，以“其他-XX”填报，其中“XX”为银行自定义类型。</v>
      </c>
      <c r="L652" s="43" t="str">
        <f>INDEX(数据元说明!A:F,MATCH(I652,数据元说明!C:C,0),6)</f>
        <v>C..30</v>
      </c>
      <c r="M652" s="138"/>
      <c r="N652" s="139" t="s">
        <v>25</v>
      </c>
      <c r="O652" s="139" t="s">
        <v>1516</v>
      </c>
      <c r="P652" s="140"/>
    </row>
    <row r="653" s="82" customFormat="1" ht="71" outlineLevel="1" spans="1:16">
      <c r="A653" s="144"/>
      <c r="B653" s="145"/>
      <c r="C653" s="146"/>
      <c r="D653" s="146"/>
      <c r="E653" s="145"/>
      <c r="F653" s="147" t="s">
        <v>449</v>
      </c>
      <c r="G653" s="148" t="s">
        <v>1571</v>
      </c>
      <c r="H653" s="148" t="s">
        <v>2780</v>
      </c>
      <c r="I653" s="147" t="s">
        <v>449</v>
      </c>
      <c r="J653" s="148" t="str">
        <f>INDEX(数据元说明!A:F,MATCH(I653,数据元说明!C:C,0),2)</f>
        <v>001040</v>
      </c>
      <c r="K653" s="149" t="str">
        <f>INDEX(数据元说明!A:F,MATCH(I653,数据元说明!C:C,0),5)</f>
        <v>银行自定义。</v>
      </c>
      <c r="L653" s="148" t="str">
        <f>INDEX(数据元说明!A:F,MATCH(I653,数据元说明!C:C,0),6)</f>
        <v>C..600</v>
      </c>
      <c r="M653" s="149" t="s">
        <v>1573</v>
      </c>
      <c r="N653" s="143" t="s">
        <v>57</v>
      </c>
      <c r="O653" s="151"/>
      <c r="P653" s="151"/>
    </row>
    <row r="654" s="81" customFormat="1" ht="30" customHeight="1" outlineLevel="1" spans="1:16">
      <c r="A654" s="167"/>
      <c r="B654" s="168"/>
      <c r="C654" s="156"/>
      <c r="D654" s="156"/>
      <c r="E654" s="155"/>
      <c r="F654" s="97" t="s">
        <v>1574</v>
      </c>
      <c r="G654" s="29" t="s">
        <v>1575</v>
      </c>
      <c r="H654" s="96" t="s">
        <v>2781</v>
      </c>
      <c r="I654" s="97" t="s">
        <v>302</v>
      </c>
      <c r="J654" s="29" t="str">
        <f>INDEX(数据元说明!A:F,MATCH(I654,数据元说明!C:C,0),2)</f>
        <v>001005</v>
      </c>
      <c r="K654" s="98" t="str">
        <f>INDEX(数据元说明!A:F,MATCH(I654,数据元说明!C:C,0),5)</f>
        <v>YYYYMMDD，默认值99991231。</v>
      </c>
      <c r="L654" s="29" t="str">
        <f>INDEX(数据元说明!A:F,MATCH(I654,数据元说明!C:C,0),6)</f>
        <v>C8</v>
      </c>
      <c r="M654" s="98" t="s">
        <v>1577</v>
      </c>
    </row>
    <row r="655" s="81" customFormat="1" ht="30" customHeight="1" spans="1:16">
      <c r="A655" s="179"/>
      <c r="B655" s="180"/>
      <c r="C655" s="37" t="s">
        <v>117</v>
      </c>
      <c r="D655" s="38" t="s">
        <v>118</v>
      </c>
      <c r="E655" s="181" t="s">
        <v>2782</v>
      </c>
      <c r="F655" s="182"/>
      <c r="G655" s="183"/>
      <c r="H655" s="181"/>
      <c r="I655" s="182"/>
      <c r="J655" s="183"/>
      <c r="K655" s="128"/>
      <c r="L655" s="183"/>
      <c r="M655" s="128" t="str">
        <f>INDEX(表结构总览!E:H,MATCH(D655,表结构总览!E:E,0),4)</f>
        <v>所有影响个人信贷账户余额或利息变动的交易信息，包括还本、还息，不包括查询交易。贷款核销或者转让（包括资产证券化）也应该在本表体现：明细科目填报本金科目，交易金额为核销或转让前本金余额，余额为0，交易对手填写借款人自身信息，摘要中标明核销或者转让交易。</v>
      </c>
      <c r="N655" s="139" t="s">
        <v>25</v>
      </c>
      <c r="O655" s="139" t="s">
        <v>449</v>
      </c>
      <c r="P655" s="139"/>
    </row>
    <row r="656" s="87" customFormat="1" ht="30" customHeight="1" spans="1:16">
      <c r="A656" s="141"/>
      <c r="B656" s="142"/>
      <c r="C656" s="39"/>
      <c r="D656" s="40"/>
      <c r="E656" s="47"/>
      <c r="F656" s="135" t="s">
        <v>702</v>
      </c>
      <c r="G656" s="136" t="s">
        <v>2370</v>
      </c>
      <c r="H656" s="137" t="s">
        <v>2783</v>
      </c>
      <c r="I656" s="135" t="s">
        <v>702</v>
      </c>
      <c r="J656" s="136" t="str">
        <f>INDEX(数据元说明!A:F,MATCH(I656,数据元说明!C:C,0),2)</f>
        <v>004001</v>
      </c>
      <c r="K656" s="138" t="str">
        <f>INDEX(数据元说明!A:F,MATCH(I656,数据元说明!C:C,0),5)</f>
        <v>唯一标识该笔交易的编号，银行自定义。可以是业务编号，也可以是交易系统中使用的时间戳，如：时间戳(纳秒)：1530027865231834600。</v>
      </c>
      <c r="L656" s="136" t="str">
        <f>INDEX(数据元说明!A:F,MATCH(I656,数据元说明!C:C,0),6)</f>
        <v>C..100</v>
      </c>
      <c r="M656" s="138" t="s">
        <v>1587</v>
      </c>
      <c r="N656" s="143" t="s">
        <v>57</v>
      </c>
      <c r="O656" s="221"/>
      <c r="P656" s="140"/>
    </row>
    <row r="657" ht="30" customHeight="1" outlineLevel="1" spans="1:16">
      <c r="A657" s="159"/>
      <c r="B657" s="160"/>
      <c r="E657" s="94"/>
      <c r="F657" s="97" t="s">
        <v>325</v>
      </c>
      <c r="G657" s="29" t="s">
        <v>1520</v>
      </c>
      <c r="H657" s="132" t="s">
        <v>2784</v>
      </c>
      <c r="I657" s="97" t="s">
        <v>325</v>
      </c>
      <c r="J657" s="29" t="str">
        <f>INDEX(数据元说明!A:F,MATCH(I657,数据元说明!C:C,0),2)</f>
        <v>001010</v>
      </c>
      <c r="K657" s="98" t="str">
        <f>INDEX(数据元说明!A:F,MATCH(I657,数据元说明!C:C,0),5)</f>
        <v>12位人行支付行号或SWIFT行号。</v>
      </c>
      <c r="L657" s="29" t="str">
        <f>INDEX(数据元说明!A:F,MATCH(I657,数据元说明!C:C,0),6)</f>
        <v>C..30</v>
      </c>
      <c r="M657" s="98" t="s">
        <v>2785</v>
      </c>
      <c r="P657" s="99"/>
    </row>
    <row r="658" s="81" customFormat="1" ht="30" customHeight="1" outlineLevel="1" spans="1:16">
      <c r="A658" s="134"/>
      <c r="B658" s="47"/>
      <c r="C658" s="39"/>
      <c r="D658" s="39"/>
      <c r="E658" s="47"/>
      <c r="F658" s="135" t="s">
        <v>329</v>
      </c>
      <c r="G658" s="136" t="s">
        <v>1526</v>
      </c>
      <c r="H658" s="137" t="s">
        <v>2786</v>
      </c>
      <c r="I658" s="135" t="s">
        <v>329</v>
      </c>
      <c r="J658" s="136" t="str">
        <f>INDEX(数据元说明!A:F,MATCH(I658,数据元说明!C:C,0),2)</f>
        <v>001011</v>
      </c>
      <c r="K658" s="138" t="str">
        <f>INDEX(数据元说明!A:F,MATCH(I658,数据元说明!C:C,0),5)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58" s="136" t="str">
        <f>INDEX(数据元说明!A:F,MATCH(I658,数据元说明!C:C,0),6)</f>
        <v>C..30</v>
      </c>
      <c r="M658" s="138" t="s">
        <v>2787</v>
      </c>
      <c r="N658" s="129" t="s">
        <v>25</v>
      </c>
      <c r="O658" s="129" t="s">
        <v>449</v>
      </c>
      <c r="P658" s="139"/>
    </row>
    <row r="659" ht="30" customHeight="1" outlineLevel="1" spans="1:16">
      <c r="A659" s="159"/>
      <c r="B659" s="160"/>
      <c r="E659" s="94"/>
      <c r="F659" s="97" t="s">
        <v>333</v>
      </c>
      <c r="G659" s="29" t="s">
        <v>1523</v>
      </c>
      <c r="H659" s="132" t="s">
        <v>2788</v>
      </c>
      <c r="I659" s="97" t="s">
        <v>333</v>
      </c>
      <c r="J659" s="29" t="str">
        <f>INDEX(数据元说明!A:F,MATCH(I659,数据元说明!C:C,0),2)</f>
        <v>001012</v>
      </c>
      <c r="K659" s="98" t="str">
        <f>INDEX(数据元说明!A:F,MATCH(I659,数据元说明!C:C,0),5)</f>
        <v>银行内部机构号。应具有标识机构的唯一性。</v>
      </c>
      <c r="L659" s="29" t="str">
        <f>INDEX(数据元说明!A:F,MATCH(I659,数据元说明!C:C,0),6)</f>
        <v>C..30</v>
      </c>
      <c r="M659" s="98" t="s">
        <v>2789</v>
      </c>
      <c r="P659" s="99"/>
    </row>
    <row r="660" s="61" customFormat="1" ht="30" customHeight="1" outlineLevel="1" spans="1:16">
      <c r="A660" s="159"/>
      <c r="B660" s="160"/>
      <c r="C660" s="95"/>
      <c r="D660" s="95"/>
      <c r="E660" s="94"/>
      <c r="F660" s="97" t="s">
        <v>2375</v>
      </c>
      <c r="G660" s="29" t="s">
        <v>2376</v>
      </c>
      <c r="H660" s="132" t="s">
        <v>2790</v>
      </c>
      <c r="I660" s="97" t="s">
        <v>333</v>
      </c>
      <c r="J660" s="29" t="str">
        <f>INDEX(数据元说明!A:F,MATCH(I660,数据元说明!C:C,0),2)</f>
        <v>001012</v>
      </c>
      <c r="K660" s="98" t="str">
        <f>INDEX(数据元说明!A:F,MATCH(I660,数据元说明!C:C,0),5)</f>
        <v>银行内部机构号。应具有标识机构的唯一性。</v>
      </c>
      <c r="L660" s="29" t="str">
        <f>INDEX(数据元说明!A:F,MATCH(I660,数据元说明!C:C,0),6)</f>
        <v>C..30</v>
      </c>
      <c r="M660" s="133" t="s">
        <v>2378</v>
      </c>
      <c r="N660" s="99"/>
      <c r="O660" s="99"/>
      <c r="P660" s="99"/>
    </row>
    <row r="661" ht="30" customHeight="1" outlineLevel="1" spans="1:16">
      <c r="A661" s="159"/>
      <c r="B661" s="160"/>
      <c r="C661" s="161"/>
      <c r="D661" s="161"/>
      <c r="E661" s="160"/>
      <c r="F661" s="157" t="s">
        <v>1532</v>
      </c>
      <c r="G661" s="43" t="s">
        <v>1533</v>
      </c>
      <c r="H661" s="137" t="s">
        <v>2791</v>
      </c>
      <c r="I661" s="157" t="s">
        <v>282</v>
      </c>
      <c r="J661" s="43" t="str">
        <f>INDEX(数据元说明!A:F,MATCH(I661,数据元说明!C:C,0),2)</f>
        <v>001001</v>
      </c>
      <c r="K661" s="158" t="str">
        <f>INDEX(数据元说明!A:F,MATCH(I661,数据元说明!C:C,0),5)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661" s="43" t="str">
        <f>INDEX(数据元说明!A:F,MATCH(I661,数据元说明!C:C,0),6)</f>
        <v>C..400</v>
      </c>
      <c r="M661" s="158" t="s">
        <v>2792</v>
      </c>
      <c r="N661" s="139" t="s">
        <v>25</v>
      </c>
      <c r="O661" s="139" t="s">
        <v>280</v>
      </c>
      <c r="P661" s="140" t="s">
        <v>1588</v>
      </c>
    </row>
    <row r="662" s="81" customFormat="1" ht="30" customHeight="1" outlineLevel="1" spans="1:16">
      <c r="A662" s="167"/>
      <c r="B662" s="168"/>
      <c r="C662" s="156"/>
      <c r="D662" s="156"/>
      <c r="E662" s="155"/>
      <c r="F662" s="157" t="s">
        <v>2325</v>
      </c>
      <c r="G662" s="43" t="s">
        <v>2326</v>
      </c>
      <c r="H662" s="137" t="s">
        <v>2793</v>
      </c>
      <c r="I662" s="135" t="s">
        <v>574</v>
      </c>
      <c r="J662" s="43" t="str">
        <f>INDEX(数据元说明!A:F,MATCH(I662,数据元说明!C:C,0),2)</f>
        <v>003002</v>
      </c>
      <c r="K662" s="158" t="str">
        <f>INDEX(数据元说明!A:F,MATCH(I662,数据元说明!C:C,0),5)</f>
        <v>机构实际使用的总账会计科目编码。</v>
      </c>
      <c r="L662" s="43" t="str">
        <f>INDEX(数据元说明!A:F,MATCH(I662,数据元说明!C:C,0),6)</f>
        <v>C..200</v>
      </c>
      <c r="M662" s="138" t="s">
        <v>2328</v>
      </c>
      <c r="N662" s="139" t="s">
        <v>25</v>
      </c>
      <c r="O662" s="139" t="s">
        <v>1516</v>
      </c>
      <c r="P662" s="140"/>
    </row>
    <row r="663" s="81" customFormat="1" ht="30" customHeight="1" outlineLevel="1" spans="1:16">
      <c r="A663" s="167"/>
      <c r="B663" s="168"/>
      <c r="C663" s="176"/>
      <c r="D663" s="176"/>
      <c r="E663" s="168"/>
      <c r="F663" s="157" t="s">
        <v>2329</v>
      </c>
      <c r="G663" s="43" t="s">
        <v>2330</v>
      </c>
      <c r="H663" s="137" t="s">
        <v>2794</v>
      </c>
      <c r="I663" s="135" t="s">
        <v>578</v>
      </c>
      <c r="J663" s="43" t="str">
        <f>INDEX(数据元说明!A:F,MATCH(I663,数据元说明!C:C,0),2)</f>
        <v>003003</v>
      </c>
      <c r="K663" s="158" t="str">
        <f>INDEX(数据元说明!A:F,MATCH(I663,数据元说明!C:C,0),5)</f>
        <v>机构实际使用的总账会计科目编码对应的名称。</v>
      </c>
      <c r="L663" s="43" t="str">
        <f>INDEX(数据元说明!A:F,MATCH(I663,数据元说明!C:C,0),6)</f>
        <v>C..200</v>
      </c>
      <c r="M663" s="138" t="s">
        <v>2328</v>
      </c>
      <c r="N663" s="139" t="s">
        <v>25</v>
      </c>
      <c r="O663" s="139" t="s">
        <v>449</v>
      </c>
      <c r="P663" s="140"/>
    </row>
    <row r="664" s="61" customFormat="1" ht="30" customHeight="1" outlineLevel="1" spans="1:16">
      <c r="A664" s="159"/>
      <c r="B664" s="160"/>
      <c r="C664" s="95"/>
      <c r="D664" s="95"/>
      <c r="E664" s="94"/>
      <c r="F664" s="97" t="s">
        <v>453</v>
      </c>
      <c r="G664" s="29" t="s">
        <v>1680</v>
      </c>
      <c r="H664" s="132" t="s">
        <v>2795</v>
      </c>
      <c r="I664" s="97" t="s">
        <v>453</v>
      </c>
      <c r="J664" s="29" t="str">
        <f>INDEX(数据元说明!A:F,MATCH(I664,数据元说明!C:C,0),2)</f>
        <v>002001</v>
      </c>
      <c r="K664" s="98" t="str">
        <f>INDEX(数据元说明!A:F,MATCH(I664,数据元说明!C:C,0),5)</f>
        <v>银行自定义的唯一识别客户的标识。供应链融资的填写供应链融资编码。</v>
      </c>
      <c r="L664" s="29" t="str">
        <f>INDEX(数据元说明!A:F,MATCH(I664,数据元说明!C:C,0),6)</f>
        <v>C..60</v>
      </c>
      <c r="M664" s="98" t="s">
        <v>2333</v>
      </c>
      <c r="N664" s="33" t="s">
        <v>25</v>
      </c>
      <c r="O664" s="99"/>
      <c r="P664" s="33" t="s">
        <v>1588</v>
      </c>
    </row>
    <row r="665" s="81" customFormat="1" ht="30" customHeight="1" outlineLevel="1" spans="1:16">
      <c r="A665" s="167"/>
      <c r="B665" s="168"/>
      <c r="C665" s="176"/>
      <c r="D665" s="176"/>
      <c r="E665" s="168"/>
      <c r="F665" s="157" t="s">
        <v>628</v>
      </c>
      <c r="G665" s="43" t="s">
        <v>2334</v>
      </c>
      <c r="H665" s="137" t="s">
        <v>2796</v>
      </c>
      <c r="I665" s="157" t="s">
        <v>628</v>
      </c>
      <c r="J665" s="43" t="str">
        <f>INDEX(数据元说明!A:F,MATCH(I665,数据元说明!C:C,0),2)</f>
        <v>003015</v>
      </c>
      <c r="K665" s="158" t="str">
        <f>INDEX(数据元说明!A:F,MATCH(I665,数据元说明!C:C,0),5)</f>
        <v>账户归属者的名称。如果客户为个人，则为隐私，银行机构变形，变形规则见《采集技术接口说明》。客户是境内涉密机构的，账户名称填报为“*********”。其他情况，则为非隐私，不做变形。</v>
      </c>
      <c r="L665" s="43" t="str">
        <f>INDEX(数据元说明!A:F,MATCH(I665,数据元说明!C:C,0),6)</f>
        <v>C..400</v>
      </c>
      <c r="M665" s="158" t="s">
        <v>2336</v>
      </c>
      <c r="N665" s="139" t="s">
        <v>25</v>
      </c>
      <c r="O665" s="139" t="s">
        <v>449</v>
      </c>
      <c r="P665" s="140" t="s">
        <v>1588</v>
      </c>
    </row>
    <row r="666" s="81" customFormat="1" ht="30" customHeight="1" outlineLevel="1" spans="1:16">
      <c r="A666" s="154"/>
      <c r="B666" s="155"/>
      <c r="C666" s="156"/>
      <c r="D666" s="156"/>
      <c r="E666" s="155"/>
      <c r="F666" s="157" t="s">
        <v>457</v>
      </c>
      <c r="G666" s="43" t="s">
        <v>1592</v>
      </c>
      <c r="H666" s="137" t="s">
        <v>2797</v>
      </c>
      <c r="I666" s="157" t="s">
        <v>457</v>
      </c>
      <c r="J666" s="43" t="str">
        <f>INDEX(数据元说明!A:F,MATCH(I666,数据元说明!C:C,0),2)</f>
        <v>002002</v>
      </c>
      <c r="K666" s="158" t="str">
        <f>INDEX(数据元说明!A:F,MATCH(I666,数据元说明!C:C,0),5)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666" s="43" t="str">
        <f>INDEX(数据元说明!A:F,MATCH(I666,数据元说明!C:C,0),6)</f>
        <v>C..60</v>
      </c>
      <c r="M666" s="158"/>
      <c r="N666" s="143" t="s">
        <v>57</v>
      </c>
      <c r="O666" s="140"/>
      <c r="P666" s="205"/>
    </row>
    <row r="667" s="81" customFormat="1" ht="30" customHeight="1" outlineLevel="1" spans="1:16">
      <c r="A667" s="154"/>
      <c r="B667" s="155"/>
      <c r="C667" s="156"/>
      <c r="D667" s="156"/>
      <c r="E667" s="155"/>
      <c r="F667" s="157" t="s">
        <v>461</v>
      </c>
      <c r="G667" s="43" t="s">
        <v>1594</v>
      </c>
      <c r="H667" s="137" t="s">
        <v>2798</v>
      </c>
      <c r="I667" s="157" t="s">
        <v>461</v>
      </c>
      <c r="J667" s="43" t="str">
        <f>INDEX(数据元说明!A:F,MATCH(I667,数据元说明!C:C,0),2)</f>
        <v>002003</v>
      </c>
      <c r="K667" s="158" t="str">
        <f>INDEX(数据元说明!A:F,MATCH(I667,数据元说明!C:C,0),5)</f>
        <v>与证件类别对应的证件号码。涉及个人身份证件时需按照本规范给定规则进行脱敏处理。</v>
      </c>
      <c r="L667" s="43" t="str">
        <f>INDEX(数据元说明!A:F,MATCH(I667,数据元说明!C:C,0),6)</f>
        <v>C..70</v>
      </c>
      <c r="M667" s="158" t="s">
        <v>2386</v>
      </c>
      <c r="N667" s="143" t="s">
        <v>57</v>
      </c>
      <c r="O667" s="140"/>
      <c r="P667" s="205"/>
    </row>
    <row r="668" s="61" customFormat="1" ht="30" customHeight="1" outlineLevel="1" spans="1:16">
      <c r="A668" s="93"/>
      <c r="B668" s="94"/>
      <c r="C668" s="95"/>
      <c r="D668" s="95"/>
      <c r="E668" s="94"/>
      <c r="F668" s="97" t="s">
        <v>2749</v>
      </c>
      <c r="G668" s="29" t="s">
        <v>2750</v>
      </c>
      <c r="H668" s="132" t="s">
        <v>2799</v>
      </c>
      <c r="I668" s="97" t="s">
        <v>570</v>
      </c>
      <c r="J668" s="29" t="str">
        <f>INDEX(数据元说明!A:F,MATCH(I668,数据元说明!C:C,0),2)</f>
        <v>003001</v>
      </c>
      <c r="K668" s="98" t="str">
        <f>INDEX(数据元说明!A:F,MATCH(I668,数据元说明!C:C,0),5)</f>
        <v>系统内最细一级的账号，无唯一性约束，不需要和序号、子序号等做拼接。</v>
      </c>
      <c r="L668" s="29" t="str">
        <f>INDEX(数据元说明!A:F,MATCH(I668,数据元说明!C:C,0),6)</f>
        <v>C..60</v>
      </c>
      <c r="M668" s="98" t="s">
        <v>2800</v>
      </c>
      <c r="N668" s="33" t="s">
        <v>25</v>
      </c>
      <c r="O668" s="99"/>
      <c r="P668" s="33" t="s">
        <v>1588</v>
      </c>
    </row>
    <row r="669" s="61" customFormat="1" ht="30" customHeight="1" outlineLevel="1" spans="1:16">
      <c r="A669" s="159"/>
      <c r="B669" s="160"/>
      <c r="C669" s="95"/>
      <c r="D669" s="95"/>
      <c r="E669" s="94"/>
      <c r="F669" s="97" t="s">
        <v>2752</v>
      </c>
      <c r="G669" s="29" t="s">
        <v>2753</v>
      </c>
      <c r="H669" s="132" t="s">
        <v>2801</v>
      </c>
      <c r="I669" s="97" t="s">
        <v>677</v>
      </c>
      <c r="J669" s="29" t="str">
        <f>INDEX(数据元说明!A:F,MATCH(I669,数据元说明!C:C,0),2)</f>
        <v>003027</v>
      </c>
      <c r="K669" s="98" t="str">
        <f>INDEX(数据元说明!A:F,MATCH(I669,数据元说明!C:C,0),5)</f>
        <v>借据统一编号。</v>
      </c>
      <c r="L669" s="29" t="str">
        <f>INDEX(数据元说明!A:F,MATCH(I669,数据元说明!C:C,0),6)</f>
        <v>C..100</v>
      </c>
      <c r="M669" s="98" t="s">
        <v>2755</v>
      </c>
      <c r="N669" s="33" t="s">
        <v>25</v>
      </c>
      <c r="O669" s="99"/>
      <c r="P669" s="33" t="s">
        <v>1588</v>
      </c>
    </row>
    <row r="670" s="61" customFormat="1" ht="30" customHeight="1" outlineLevel="1" spans="1:16">
      <c r="A670" s="159"/>
      <c r="B670" s="160"/>
      <c r="C670" s="161"/>
      <c r="D670" s="161"/>
      <c r="E670" s="160"/>
      <c r="F670" s="97" t="s">
        <v>2395</v>
      </c>
      <c r="G670" s="29" t="s">
        <v>2396</v>
      </c>
      <c r="H670" s="132" t="s">
        <v>2802</v>
      </c>
      <c r="I670" s="97" t="s">
        <v>302</v>
      </c>
      <c r="J670" s="29" t="str">
        <f>INDEX(数据元说明!A:F,MATCH(I670,数据元说明!C:C,0),2)</f>
        <v>001005</v>
      </c>
      <c r="K670" s="98" t="str">
        <f>INDEX(数据元说明!A:F,MATCH(I670,数据元说明!C:C,0),5)</f>
        <v>YYYYMMDD，默认值99991231。</v>
      </c>
      <c r="L670" s="29" t="str">
        <f>INDEX(数据元说明!A:F,MATCH(I670,数据元说明!C:C,0),6)</f>
        <v>C8</v>
      </c>
      <c r="M670" s="98" t="s">
        <v>2398</v>
      </c>
      <c r="N670" s="220"/>
      <c r="O670" s="220"/>
      <c r="P670" s="220"/>
    </row>
    <row r="671" s="61" customFormat="1" ht="30" customHeight="1" outlineLevel="1" spans="1:16">
      <c r="A671" s="159"/>
      <c r="B671" s="160"/>
      <c r="C671" s="161"/>
      <c r="D671" s="161"/>
      <c r="E671" s="160"/>
      <c r="F671" s="97" t="s">
        <v>2399</v>
      </c>
      <c r="G671" s="29" t="s">
        <v>2400</v>
      </c>
      <c r="H671" s="132" t="s">
        <v>2803</v>
      </c>
      <c r="I671" s="97" t="s">
        <v>312</v>
      </c>
      <c r="J671" s="29" t="str">
        <f>INDEX(数据元说明!A:F,MATCH(I671,数据元说明!C:C,0),2)</f>
        <v>001007</v>
      </c>
      <c r="K671" s="98" t="str">
        <f>INDEX(数据元说明!A:F,MATCH(I671,数据元说明!C:C,0),5)</f>
        <v>24小时制时间，精确到秒。hhmmss，默认值000000。</v>
      </c>
      <c r="L671" s="29" t="str">
        <f>INDEX(数据元说明!A:F,MATCH(I671,数据元说明!C:C,0),6)</f>
        <v>C6</v>
      </c>
      <c r="M671" s="98" t="s">
        <v>2402</v>
      </c>
      <c r="N671" s="220"/>
      <c r="O671" s="220"/>
      <c r="P671" s="220"/>
    </row>
    <row r="672" s="81" customFormat="1" ht="30" customHeight="1" outlineLevel="1" spans="1:16">
      <c r="A672" s="167"/>
      <c r="B672" s="168"/>
      <c r="C672" s="176"/>
      <c r="D672" s="176"/>
      <c r="E672" s="168"/>
      <c r="F672" s="157" t="s">
        <v>706</v>
      </c>
      <c r="G672" s="43" t="s">
        <v>2391</v>
      </c>
      <c r="H672" s="137" t="s">
        <v>2804</v>
      </c>
      <c r="I672" s="157" t="s">
        <v>706</v>
      </c>
      <c r="J672" s="43" t="str">
        <f>INDEX(数据元说明!A:F,MATCH(I672,数据元说明!C:C,0),2)</f>
        <v>004002</v>
      </c>
      <c r="K672" s="158" t="str">
        <f>INDEX(数据元说明!A:F,MATCH(I672,数据元说明!C:C,0),5)</f>
        <v>转账，取现，存现，消费，代发，代扣，代缴，结息，批量交易，贷款发放，还款-还本，还款-还息，银证业务，投资理财，其他-银行自定义类型。无法以枚举类型填报的，以“其他-XX”报送，其中“XX”为银行自定义类型。</v>
      </c>
      <c r="L672" s="43" t="str">
        <f>INDEX(数据元说明!A:F,MATCH(I672,数据元说明!C:C,0),6)</f>
        <v>C..60</v>
      </c>
      <c r="M672" s="162"/>
      <c r="N672" s="140" t="s">
        <v>25</v>
      </c>
      <c r="O672" s="140" t="s">
        <v>275</v>
      </c>
      <c r="P672" s="140"/>
    </row>
    <row r="673" s="81" customFormat="1" ht="30" customHeight="1" outlineLevel="1" spans="1:16">
      <c r="A673" s="167"/>
      <c r="B673" s="168"/>
      <c r="C673" s="176"/>
      <c r="D673" s="176"/>
      <c r="E673" s="168"/>
      <c r="F673" s="157" t="s">
        <v>693</v>
      </c>
      <c r="G673" s="43" t="s">
        <v>2393</v>
      </c>
      <c r="H673" s="137" t="s">
        <v>2805</v>
      </c>
      <c r="I673" s="157" t="s">
        <v>693</v>
      </c>
      <c r="J673" s="43" t="str">
        <f>INDEX(数据元说明!A:F,MATCH(I673,数据元说明!C:C,0),2)</f>
        <v>003031</v>
      </c>
      <c r="K673" s="158" t="str">
        <f>INDEX(数据元说明!A:F,MATCH(I673,数据元说明!C:C,0),5)</f>
        <v>借，贷。</v>
      </c>
      <c r="L673" s="43" t="str">
        <f>INDEX(数据元说明!A:F,MATCH(I673,数据元说明!C:C,0),6)</f>
        <v>C3</v>
      </c>
      <c r="M673" s="162"/>
      <c r="N673" s="140" t="s">
        <v>25</v>
      </c>
      <c r="O673" s="139" t="s">
        <v>280</v>
      </c>
      <c r="P673" s="140"/>
    </row>
    <row r="674" s="61" customFormat="1" ht="30" customHeight="1" outlineLevel="1" spans="1:16">
      <c r="A674" s="159"/>
      <c r="B674" s="160"/>
      <c r="C674" s="161"/>
      <c r="D674" s="161"/>
      <c r="E674" s="160"/>
      <c r="F674" s="131" t="s">
        <v>624</v>
      </c>
      <c r="G674" s="31" t="s">
        <v>1989</v>
      </c>
      <c r="H674" s="132" t="s">
        <v>2806</v>
      </c>
      <c r="I674" s="131" t="s">
        <v>624</v>
      </c>
      <c r="J674" s="31" t="str">
        <f>INDEX(数据元说明!A:F,MATCH(I674,数据元说明!C:C,0),2)</f>
        <v>003014</v>
      </c>
      <c r="K674" s="133" t="str">
        <f>INDEX(数据元说明!A:F,MATCH(I674,数据元说明!C:C,0),5)</f>
        <v>遵循《GB/T 12406 表示货币和资金的代码》的字母代码，如CNY。上述文件所列币种无法涵盖的，允许银行自定义填报。多个币种合计折算为人民币（本外币合计）的，填报为BWB。</v>
      </c>
      <c r="L674" s="31" t="str">
        <f>INDEX(数据元说明!A:F,MATCH(I674,数据元说明!C:C,0),6)</f>
        <v>C3</v>
      </c>
      <c r="M674" s="163"/>
      <c r="N674" s="33" t="s">
        <v>25</v>
      </c>
      <c r="O674" s="99"/>
      <c r="P674" s="33" t="s">
        <v>1588</v>
      </c>
    </row>
    <row r="675" s="81" customFormat="1" ht="30" customHeight="1" outlineLevel="1" spans="1:16">
      <c r="A675" s="167"/>
      <c r="B675" s="168"/>
      <c r="C675" s="176"/>
      <c r="D675" s="176"/>
      <c r="E675" s="168"/>
      <c r="F675" s="157" t="s">
        <v>2404</v>
      </c>
      <c r="G675" s="43" t="s">
        <v>2405</v>
      </c>
      <c r="H675" s="137" t="s">
        <v>2807</v>
      </c>
      <c r="I675" s="157" t="s">
        <v>609</v>
      </c>
      <c r="J675" s="43" t="str">
        <f>INDEX(数据元说明!A:F,MATCH(I675,数据元说明!C:C,0),2)</f>
        <v>003010</v>
      </c>
      <c r="K675" s="158" t="str">
        <f>INDEX(数据元说明!A:F,MATCH(I675,数据元说明!C:C,0),5)</f>
        <v>与币种相对应金额。</v>
      </c>
      <c r="L675" s="43" t="str">
        <f>INDEX(数据元说明!A:F,MATCH(I675,数据元说明!C:C,0),6)</f>
        <v>D20.2</v>
      </c>
      <c r="M675" s="162" t="s">
        <v>2808</v>
      </c>
      <c r="N675" s="221" t="s">
        <v>25</v>
      </c>
      <c r="O675" s="221" t="s">
        <v>449</v>
      </c>
      <c r="P675" s="140"/>
    </row>
    <row r="676" s="81" customFormat="1" ht="30" customHeight="1" outlineLevel="1" spans="1:16">
      <c r="A676" s="167"/>
      <c r="B676" s="168"/>
      <c r="C676" s="176"/>
      <c r="D676" s="176"/>
      <c r="E676" s="168"/>
      <c r="F676" s="157" t="s">
        <v>2407</v>
      </c>
      <c r="G676" s="43" t="s">
        <v>2408</v>
      </c>
      <c r="H676" s="137" t="s">
        <v>2809</v>
      </c>
      <c r="I676" s="157" t="s">
        <v>613</v>
      </c>
      <c r="J676" s="43" t="str">
        <f>INDEX(数据元说明!A:F,MATCH(I676,数据元说明!C:C,0),2)</f>
        <v>003011</v>
      </c>
      <c r="K676" s="158" t="str">
        <f>INDEX(数据元说明!A:F,MATCH(I676,数据元说明!C:C,0),5)</f>
        <v>与币种相对应金额。</v>
      </c>
      <c r="L676" s="43" t="str">
        <f>INDEX(数据元说明!A:F,MATCH(I676,数据元说明!C:C,0),6)</f>
        <v>D20.2</v>
      </c>
      <c r="M676" s="158" t="s">
        <v>2810</v>
      </c>
      <c r="N676" s="221" t="s">
        <v>25</v>
      </c>
      <c r="O676" s="221" t="s">
        <v>449</v>
      </c>
      <c r="P676" s="140"/>
    </row>
    <row r="677" s="81" customFormat="1" ht="30" customHeight="1" outlineLevel="1" spans="1:16">
      <c r="A677" s="167"/>
      <c r="B677" s="168"/>
      <c r="C677" s="176"/>
      <c r="D677" s="176"/>
      <c r="E677" s="168"/>
      <c r="F677" s="157" t="s">
        <v>2411</v>
      </c>
      <c r="G677" s="43" t="s">
        <v>2412</v>
      </c>
      <c r="H677" s="137" t="s">
        <v>2811</v>
      </c>
      <c r="I677" s="157" t="s">
        <v>697</v>
      </c>
      <c r="J677" s="43" t="str">
        <f>INDEX(数据元说明!A:F,MATCH(I677,数据元说明!C:C,0),2)</f>
        <v>003032</v>
      </c>
      <c r="K677" s="158" t="str">
        <f>INDEX(数据元说明!A:F,MATCH(I677,数据元说明!C:C,0),5)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677" s="43" t="str">
        <f>INDEX(数据元说明!A:F,MATCH(I677,数据元说明!C:C,0),6)</f>
        <v>C..60</v>
      </c>
      <c r="M677" s="158" t="s">
        <v>2522</v>
      </c>
      <c r="N677" s="221" t="s">
        <v>25</v>
      </c>
      <c r="O677" s="221" t="s">
        <v>449</v>
      </c>
      <c r="P677" s="221"/>
    </row>
    <row r="678" s="81" customFormat="1" ht="30" customHeight="1" outlineLevel="1" spans="1:16">
      <c r="A678" s="167"/>
      <c r="B678" s="168"/>
      <c r="C678" s="176"/>
      <c r="D678" s="176"/>
      <c r="E678" s="168"/>
      <c r="F678" s="157" t="s">
        <v>2415</v>
      </c>
      <c r="G678" s="43" t="s">
        <v>2416</v>
      </c>
      <c r="H678" s="137" t="s">
        <v>2812</v>
      </c>
      <c r="I678" s="157" t="s">
        <v>628</v>
      </c>
      <c r="J678" s="43" t="str">
        <f>INDEX(数据元说明!A:F,MATCH(I678,数据元说明!C:C,0),2)</f>
        <v>003015</v>
      </c>
      <c r="K678" s="158" t="str">
        <f>INDEX(数据元说明!A:F,MATCH(I678,数据元说明!C:C,0),5)</f>
        <v>账户归属者的名称。如果客户为个人，则为隐私，银行机构变形，变形规则见《采集技术接口说明》。客户是境内涉密机构的，账户名称填报为“*********”。其他情况，则为非隐私，不做变形。</v>
      </c>
      <c r="L678" s="43" t="str">
        <f>INDEX(数据元说明!A:F,MATCH(I678,数据元说明!C:C,0),6)</f>
        <v>C..400</v>
      </c>
      <c r="M678" s="158" t="s">
        <v>2418</v>
      </c>
      <c r="N678" s="139" t="s">
        <v>25</v>
      </c>
      <c r="O678" s="139" t="s">
        <v>1613</v>
      </c>
      <c r="P678" s="139"/>
    </row>
    <row r="679" s="81" customFormat="1" ht="30" customHeight="1" outlineLevel="1" spans="1:16">
      <c r="A679" s="141"/>
      <c r="B679" s="142"/>
      <c r="C679" s="177"/>
      <c r="D679" s="177"/>
      <c r="E679" s="142"/>
      <c r="F679" s="135" t="s">
        <v>2419</v>
      </c>
      <c r="G679" s="43" t="s">
        <v>2420</v>
      </c>
      <c r="H679" s="137" t="s">
        <v>2813</v>
      </c>
      <c r="I679" s="135" t="s">
        <v>325</v>
      </c>
      <c r="J679" s="136" t="str">
        <f>INDEX(数据元说明!A:F,MATCH(I679,数据元说明!C:C,0),2)</f>
        <v>001010</v>
      </c>
      <c r="K679" s="138" t="str">
        <f>INDEX(数据元说明!A:F,MATCH(I679,数据元说明!C:C,0),5)</f>
        <v>12位人行支付行号或SWIFT行号。</v>
      </c>
      <c r="L679" s="136" t="str">
        <f>INDEX(数据元说明!A:F,MATCH(I679,数据元说明!C:C,0),6)</f>
        <v>C..30</v>
      </c>
      <c r="M679" s="222" t="s">
        <v>2422</v>
      </c>
      <c r="N679" s="221" t="s">
        <v>25</v>
      </c>
      <c r="O679" s="221" t="s">
        <v>449</v>
      </c>
      <c r="P679" s="221"/>
    </row>
    <row r="680" s="81" customFormat="1" ht="30" customHeight="1" outlineLevel="1" spans="1:16">
      <c r="A680" s="167"/>
      <c r="B680" s="168"/>
      <c r="C680" s="176"/>
      <c r="D680" s="176"/>
      <c r="E680" s="168"/>
      <c r="F680" s="157" t="s">
        <v>2423</v>
      </c>
      <c r="G680" s="43" t="s">
        <v>2424</v>
      </c>
      <c r="H680" s="137" t="s">
        <v>2814</v>
      </c>
      <c r="I680" s="157" t="s">
        <v>282</v>
      </c>
      <c r="J680" s="43" t="str">
        <f>INDEX(数据元说明!A:F,MATCH(I680,数据元说明!C:C,0),2)</f>
        <v>001001</v>
      </c>
      <c r="K680" s="158" t="str">
        <f>INDEX(数据元说明!A:F,MATCH(I680,数据元说明!C:C,0),5)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680" s="43" t="str">
        <f>INDEX(数据元说明!A:F,MATCH(I680,数据元说明!C:C,0),6)</f>
        <v>C..400</v>
      </c>
      <c r="M680" s="222" t="s">
        <v>2426</v>
      </c>
      <c r="N680" s="221" t="s">
        <v>25</v>
      </c>
      <c r="O680" s="221" t="s">
        <v>1673</v>
      </c>
      <c r="P680" s="221"/>
    </row>
    <row r="681" s="81" customFormat="1" ht="30" customHeight="1" outlineLevel="1" spans="1:16">
      <c r="A681" s="141"/>
      <c r="B681" s="142"/>
      <c r="C681" s="177"/>
      <c r="D681" s="177"/>
      <c r="E681" s="142"/>
      <c r="F681" s="135" t="s">
        <v>718</v>
      </c>
      <c r="G681" s="136" t="s">
        <v>1779</v>
      </c>
      <c r="H681" s="137" t="s">
        <v>2815</v>
      </c>
      <c r="I681" s="135" t="s">
        <v>718</v>
      </c>
      <c r="J681" s="136" t="str">
        <f>INDEX(数据元说明!A:F,MATCH(I681,数据元说明!C:C,0),2)</f>
        <v>004005</v>
      </c>
      <c r="K681" s="138" t="str">
        <f>INDEX(数据元说明!A:F,MATCH(I681,数据元说明!C:C,0),5)</f>
        <v>银行自定义交易内容的简要描述。可以是转账凭证上的备注、附言。</v>
      </c>
      <c r="L681" s="136" t="str">
        <f>INDEX(数据元说明!A:F,MATCH(I681,数据元说明!C:C,0),6)</f>
        <v>C..400</v>
      </c>
      <c r="M681" s="224"/>
      <c r="N681" s="139" t="s">
        <v>25</v>
      </c>
      <c r="O681" s="139" t="s">
        <v>275</v>
      </c>
      <c r="P681" s="140" t="s">
        <v>1588</v>
      </c>
    </row>
    <row r="682" s="81" customFormat="1" ht="30" customHeight="1" outlineLevel="1" spans="1:16">
      <c r="A682" s="141"/>
      <c r="B682" s="142"/>
      <c r="C682" s="177"/>
      <c r="D682" s="177"/>
      <c r="E682" s="142"/>
      <c r="F682" s="135" t="s">
        <v>710</v>
      </c>
      <c r="G682" s="136" t="s">
        <v>2434</v>
      </c>
      <c r="H682" s="137" t="s">
        <v>2816</v>
      </c>
      <c r="I682" s="135" t="s">
        <v>710</v>
      </c>
      <c r="J682" s="136" t="str">
        <f>INDEX(数据元说明!A:F,MATCH(I682,数据元说明!C:C,0),2)</f>
        <v>004003</v>
      </c>
      <c r="K682" s="138" t="str">
        <f>INDEX(数据元说明!A:F,MATCH(I682,数据元说明!C:C,0),5)</f>
        <v>柜面，ATM，VTM，POS，网银，手机银行，银联交易，三方支付-银行自定义，其他-银行自定义。交易类型为三方支付的，以“三方支付-XX”填报，其中“XX”为第三方支付平台名称。如无法以枚举类型填报，则以“其他-XX”填报，其中“XX”为银行自定义类型。</v>
      </c>
      <c r="L682" s="136" t="str">
        <f>INDEX(数据元说明!A:F,MATCH(I682,数据元说明!C:C,0),6)</f>
        <v>C..60</v>
      </c>
      <c r="M682" s="162" t="s">
        <v>2436</v>
      </c>
      <c r="N682" s="140" t="s">
        <v>25</v>
      </c>
      <c r="O682" s="139" t="s">
        <v>275</v>
      </c>
      <c r="P682" s="140" t="s">
        <v>1606</v>
      </c>
    </row>
    <row r="683" s="61" customFormat="1" ht="30" customHeight="1" outlineLevel="1" spans="1:16">
      <c r="A683" s="184"/>
      <c r="B683" s="185"/>
      <c r="C683" s="186"/>
      <c r="D683" s="186"/>
      <c r="E683" s="185"/>
      <c r="F683" s="131" t="s">
        <v>722</v>
      </c>
      <c r="G683" s="31" t="s">
        <v>2428</v>
      </c>
      <c r="H683" s="132" t="s">
        <v>2817</v>
      </c>
      <c r="I683" s="131" t="s">
        <v>722</v>
      </c>
      <c r="J683" s="31" t="str">
        <f>INDEX(数据元说明!A:F,MATCH(I683,数据元说明!C:C,0),2)</f>
        <v>004006</v>
      </c>
      <c r="K683" s="133" t="str">
        <f>INDEX(数据元说明!A:F,MATCH(I683,数据元说明!C:C,0),5)</f>
        <v>正常，冲补抹。</v>
      </c>
      <c r="L683" s="31" t="str">
        <f>INDEX(数据元说明!A:F,MATCH(I683,数据元说明!C:C,0),6)</f>
        <v>C..9</v>
      </c>
      <c r="M683" s="163" t="s">
        <v>2430</v>
      </c>
      <c r="N683" s="99"/>
      <c r="O683" s="99"/>
      <c r="P683" s="99"/>
    </row>
    <row r="684" s="81" customFormat="1" ht="41.25" customHeight="1" outlineLevel="1" spans="1:16">
      <c r="A684" s="134"/>
      <c r="B684" s="47"/>
      <c r="C684" s="39"/>
      <c r="D684" s="39"/>
      <c r="E684" s="47"/>
      <c r="F684" s="135" t="s">
        <v>2443</v>
      </c>
      <c r="G684" s="136" t="s">
        <v>2444</v>
      </c>
      <c r="H684" s="137" t="s">
        <v>2818</v>
      </c>
      <c r="I684" s="135" t="s">
        <v>353</v>
      </c>
      <c r="J684" s="136" t="str">
        <f>INDEX(数据元说明!A:F,MATCH(I684,数据元说明!C:C,0),2)</f>
        <v>001017</v>
      </c>
      <c r="K684" s="138" t="str">
        <f>INDEX(数据元说明!A:F,MATCH(I684,数据元说明!C:C,0),5)</f>
        <v>姓名。</v>
      </c>
      <c r="L684" s="136" t="str">
        <f>INDEX(数据元说明!A:F,MATCH(I684,数据元说明!C:C,0),6)</f>
        <v>C..200</v>
      </c>
      <c r="M684" s="158" t="s">
        <v>2534</v>
      </c>
      <c r="N684" s="139" t="s">
        <v>25</v>
      </c>
      <c r="O684" s="139" t="s">
        <v>449</v>
      </c>
      <c r="P684" s="139"/>
    </row>
    <row r="685" s="61" customFormat="1" ht="30" customHeight="1" outlineLevel="1" spans="1:16">
      <c r="A685" s="130"/>
      <c r="B685" s="36"/>
      <c r="C685" s="25"/>
      <c r="D685" s="25"/>
      <c r="E685" s="36"/>
      <c r="F685" s="131" t="s">
        <v>2447</v>
      </c>
      <c r="G685" s="31" t="s">
        <v>2448</v>
      </c>
      <c r="H685" s="132" t="s">
        <v>2819</v>
      </c>
      <c r="I685" s="131" t="s">
        <v>457</v>
      </c>
      <c r="J685" s="31" t="str">
        <f>INDEX(数据元说明!A:F,MATCH(I685,数据元说明!C:C,0),2)</f>
        <v>002002</v>
      </c>
      <c r="K685" s="133" t="str">
        <f>INDEX(数据元说明!A:F,MATCH(I685,数据元说明!C:C,0),5)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685" s="31" t="str">
        <f>INDEX(数据元说明!A:F,MATCH(I685,数据元说明!C:C,0),6)</f>
        <v>C..60</v>
      </c>
      <c r="M685" s="133" t="s">
        <v>2820</v>
      </c>
      <c r="N685" s="33"/>
      <c r="O685" s="33"/>
      <c r="P685" s="33"/>
    </row>
    <row r="686" s="81" customFormat="1" ht="30" customHeight="1" outlineLevel="1" spans="1:16">
      <c r="A686" s="134"/>
      <c r="B686" s="47"/>
      <c r="C686" s="39"/>
      <c r="D686" s="39"/>
      <c r="E686" s="47"/>
      <c r="F686" s="135" t="s">
        <v>2451</v>
      </c>
      <c r="G686" s="136" t="s">
        <v>2452</v>
      </c>
      <c r="H686" s="137" t="s">
        <v>2821</v>
      </c>
      <c r="I686" s="135" t="s">
        <v>461</v>
      </c>
      <c r="J686" s="136" t="str">
        <f>INDEX(数据元说明!A:F,MATCH(I686,数据元说明!C:C,0),2)</f>
        <v>002003</v>
      </c>
      <c r="K686" s="138" t="str">
        <f>INDEX(数据元说明!A:F,MATCH(I686,数据元说明!C:C,0),5)</f>
        <v>与证件类别对应的证件号码。涉及个人身份证件时需按照本规范给定规则进行脱敏处理。</v>
      </c>
      <c r="L686" s="136" t="str">
        <f>INDEX(数据元说明!A:F,MATCH(I686,数据元说明!C:C,0),6)</f>
        <v>C..70</v>
      </c>
      <c r="M686" s="138" t="s">
        <v>2822</v>
      </c>
      <c r="N686" s="139" t="s">
        <v>25</v>
      </c>
      <c r="O686" s="139" t="s">
        <v>280</v>
      </c>
      <c r="P686" s="139"/>
    </row>
    <row r="687" s="61" customFormat="1" ht="30" customHeight="1" outlineLevel="1" spans="1:16">
      <c r="A687" s="130"/>
      <c r="B687" s="36"/>
      <c r="C687" s="25"/>
      <c r="D687" s="25"/>
      <c r="E687" s="36"/>
      <c r="F687" s="131" t="s">
        <v>2456</v>
      </c>
      <c r="G687" s="31" t="s">
        <v>2457</v>
      </c>
      <c r="H687" s="132" t="s">
        <v>2823</v>
      </c>
      <c r="I687" s="131" t="s">
        <v>368</v>
      </c>
      <c r="J687" s="31" t="str">
        <f>INDEX(数据元说明!A:F,MATCH(I687,数据元说明!C:C,0),2)</f>
        <v>001021</v>
      </c>
      <c r="K687" s="133" t="str">
        <f>INDEX(数据元说明!A:F,MATCH(I687,数据元说明!C:C,0),5)</f>
        <v>柜员编号，银行自定义。</v>
      </c>
      <c r="L687" s="31" t="str">
        <f>INDEX(数据元说明!A:F,MATCH(I687,数据元说明!C:C,0),6)</f>
        <v>C..30</v>
      </c>
      <c r="M687" s="163" t="s">
        <v>2151</v>
      </c>
      <c r="N687" s="99"/>
      <c r="O687" s="99"/>
      <c r="P687" s="99"/>
    </row>
    <row r="688" s="61" customFormat="1" ht="30" customHeight="1" outlineLevel="1" spans="1:16">
      <c r="A688" s="130"/>
      <c r="B688" s="36"/>
      <c r="C688" s="25"/>
      <c r="D688" s="25"/>
      <c r="E688" s="36"/>
      <c r="F688" s="131" t="s">
        <v>2459</v>
      </c>
      <c r="G688" s="31" t="s">
        <v>2460</v>
      </c>
      <c r="H688" s="132" t="s">
        <v>2824</v>
      </c>
      <c r="I688" s="131" t="s">
        <v>368</v>
      </c>
      <c r="J688" s="31" t="str">
        <f>INDEX(数据元说明!A:F,MATCH(I688,数据元说明!C:C,0),2)</f>
        <v>001021</v>
      </c>
      <c r="K688" s="133" t="str">
        <f>INDEX(数据元说明!A:F,MATCH(I688,数据元说明!C:C,0),5)</f>
        <v>柜员编号，银行自定义。</v>
      </c>
      <c r="L688" s="31" t="str">
        <f>INDEX(数据元说明!A:F,MATCH(I688,数据元说明!C:C,0),6)</f>
        <v>C..30</v>
      </c>
      <c r="M688" s="163" t="s">
        <v>2462</v>
      </c>
      <c r="N688" s="33"/>
      <c r="O688" s="33"/>
      <c r="P688" s="33"/>
    </row>
    <row r="689" s="81" customFormat="1" ht="30" customHeight="1" outlineLevel="1" spans="1:16">
      <c r="A689" s="141"/>
      <c r="B689" s="142"/>
      <c r="C689" s="177"/>
      <c r="D689" s="177"/>
      <c r="E689" s="142"/>
      <c r="F689" s="135" t="s">
        <v>714</v>
      </c>
      <c r="G689" s="136" t="s">
        <v>2431</v>
      </c>
      <c r="H689" s="137" t="s">
        <v>2825</v>
      </c>
      <c r="I689" s="135" t="s">
        <v>714</v>
      </c>
      <c r="J689" s="136" t="str">
        <f>INDEX(数据元说明!A:F,MATCH(I689,数据元说明!C:C,0),2)</f>
        <v>004004</v>
      </c>
      <c r="K689" s="138" t="str">
        <f>INDEX(数据元说明!A:F,MATCH(I689,数据元说明!C:C,0),5)</f>
        <v>现，转。</v>
      </c>
      <c r="L689" s="136" t="str">
        <f>INDEX(数据元说明!A:F,MATCH(I689,数据元说明!C:C,0),6)</f>
        <v>C3</v>
      </c>
      <c r="M689" s="138" t="s">
        <v>2433</v>
      </c>
      <c r="N689" s="139" t="s">
        <v>25</v>
      </c>
      <c r="O689" s="139" t="s">
        <v>449</v>
      </c>
      <c r="P689" s="140"/>
    </row>
    <row r="690" s="82" customFormat="1" ht="71" outlineLevel="1" spans="1:16">
      <c r="A690" s="144"/>
      <c r="B690" s="145"/>
      <c r="C690" s="146"/>
      <c r="D690" s="146"/>
      <c r="E690" s="145"/>
      <c r="F690" s="147" t="s">
        <v>449</v>
      </c>
      <c r="G690" s="148" t="s">
        <v>1571</v>
      </c>
      <c r="H690" s="148" t="s">
        <v>2826</v>
      </c>
      <c r="I690" s="147" t="s">
        <v>449</v>
      </c>
      <c r="J690" s="148" t="str">
        <f>INDEX(数据元说明!A:F,MATCH(I690,数据元说明!C:C,0),2)</f>
        <v>001040</v>
      </c>
      <c r="K690" s="149" t="str">
        <f>INDEX(数据元说明!A:F,MATCH(I690,数据元说明!C:C,0),5)</f>
        <v>银行自定义。</v>
      </c>
      <c r="L690" s="148" t="str">
        <f>INDEX(数据元说明!A:F,MATCH(I690,数据元说明!C:C,0),6)</f>
        <v>C..600</v>
      </c>
      <c r="M690" s="149" t="s">
        <v>1573</v>
      </c>
      <c r="N690" s="143" t="s">
        <v>57</v>
      </c>
      <c r="O690" s="151"/>
      <c r="P690" s="151"/>
    </row>
    <row r="691" s="61" customFormat="1" ht="30" customHeight="1" outlineLevel="1" spans="1:16">
      <c r="A691" s="130"/>
      <c r="B691" s="36"/>
      <c r="C691" s="25"/>
      <c r="D691" s="25"/>
      <c r="E691" s="36"/>
      <c r="F691" s="131" t="s">
        <v>1574</v>
      </c>
      <c r="G691" s="31" t="s">
        <v>1575</v>
      </c>
      <c r="H691" s="132" t="s">
        <v>2827</v>
      </c>
      <c r="I691" s="131" t="s">
        <v>302</v>
      </c>
      <c r="J691" s="31" t="str">
        <f>INDEX(数据元说明!A:F,MATCH(I691,数据元说明!C:C,0),2)</f>
        <v>001005</v>
      </c>
      <c r="K691" s="133" t="str">
        <f>INDEX(数据元说明!A:F,MATCH(I691,数据元说明!C:C,0),5)</f>
        <v>YYYYMMDD，默认值99991231。</v>
      </c>
      <c r="L691" s="31" t="str">
        <f>INDEX(数据元说明!A:F,MATCH(I691,数据元说明!C:C,0),6)</f>
        <v>C8</v>
      </c>
      <c r="M691" s="133" t="s">
        <v>1577</v>
      </c>
      <c r="N691" s="99"/>
      <c r="O691" s="99"/>
      <c r="P691" s="99"/>
    </row>
    <row r="692" s="81" customFormat="1" ht="30" customHeight="1" spans="1:16">
      <c r="A692" s="179"/>
      <c r="B692" s="180"/>
      <c r="C692" s="37" t="s">
        <v>120</v>
      </c>
      <c r="D692" s="38" t="s">
        <v>121</v>
      </c>
      <c r="E692" s="181" t="s">
        <v>2828</v>
      </c>
      <c r="F692" s="182"/>
      <c r="G692" s="183"/>
      <c r="H692" s="181"/>
      <c r="I692" s="182"/>
      <c r="J692" s="183"/>
      <c r="K692" s="128"/>
      <c r="L692" s="183"/>
      <c r="M692" s="128" t="str">
        <f>INDEX(表结构总览!E:H,MATCH(D692,表结构总览!E:E,0),4)</f>
        <v>除个人以外的各类机构（包括企业、机关团体、社保基金、部队、住房公积金）为开展各项信贷业务，在银行机构所开立的信贷账户信息。报送范围：1104报表G01_VII[1.各项贷款] - [2.21 个人贷款(不含个人经营性贷款)] - [4.个人经营性贷款] + G01_I_2《委托贷款投向统计表》[1.委托贷款合计（非现金管理项下）] - G01_I_2[2.21个人贷款(不含个人经营性贷款)]。表外业务只报送委托贷款（非现金管理项下），其他不报送。对于票据贴现和买断式转贴现，可以填报为信贷分户账号=信贷借据号=票据号码；对于其他若没有对应信贷分户账号的业务，可以填报为信贷分户账号=信贷借据号=业务编号。以信贷借据号为最小粒度报送，借据结清、核销或转让的，可在报送最后状态的次月不再报送。账户状态为“销户”时，也可于次月不再报送。</v>
      </c>
      <c r="N692" s="139" t="s">
        <v>25</v>
      </c>
      <c r="O692" s="139" t="s">
        <v>449</v>
      </c>
      <c r="P692" s="139"/>
    </row>
    <row r="693" ht="30" customHeight="1" outlineLevel="1" spans="1:16">
      <c r="E693" s="94"/>
      <c r="F693" s="97" t="s">
        <v>325</v>
      </c>
      <c r="G693" s="29" t="s">
        <v>1520</v>
      </c>
      <c r="H693" s="96" t="s">
        <v>2829</v>
      </c>
      <c r="I693" s="97" t="s">
        <v>325</v>
      </c>
      <c r="J693" s="29" t="str">
        <f>INDEX(数据元说明!A:F,MATCH(I693,数据元说明!C:C,0),2)</f>
        <v>001010</v>
      </c>
      <c r="K693" s="98" t="str">
        <f>INDEX(数据元说明!A:F,MATCH(I693,数据元说明!C:C,0),5)</f>
        <v>12位人行支付行号或SWIFT行号。</v>
      </c>
      <c r="L693" s="29" t="str">
        <f>INDEX(数据元说明!A:F,MATCH(I693,数据元说明!C:C,0),6)</f>
        <v>C..30</v>
      </c>
      <c r="M693" s="98" t="s">
        <v>2318</v>
      </c>
      <c r="P693" s="99"/>
    </row>
    <row r="694" s="81" customFormat="1" ht="30" customHeight="1" outlineLevel="1" spans="1:16">
      <c r="A694" s="134"/>
      <c r="B694" s="47"/>
      <c r="C694" s="39"/>
      <c r="D694" s="39"/>
      <c r="E694" s="47"/>
      <c r="F694" s="135" t="s">
        <v>329</v>
      </c>
      <c r="G694" s="136" t="s">
        <v>1526</v>
      </c>
      <c r="H694" s="153" t="s">
        <v>2830</v>
      </c>
      <c r="I694" s="135" t="s">
        <v>329</v>
      </c>
      <c r="J694" s="136" t="str">
        <f>INDEX(数据元说明!A:F,MATCH(I694,数据元说明!C:C,0),2)</f>
        <v>001011</v>
      </c>
      <c r="K694" s="138" t="str">
        <f>INDEX(数据元说明!A:F,MATCH(I694,数据元说明!C:C,0),5)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694" s="136" t="str">
        <f>INDEX(数据元说明!A:F,MATCH(I694,数据元说明!C:C,0),6)</f>
        <v>C..30</v>
      </c>
      <c r="M694" s="138" t="s">
        <v>2320</v>
      </c>
      <c r="N694" s="129" t="s">
        <v>25</v>
      </c>
      <c r="O694" s="129" t="s">
        <v>449</v>
      </c>
      <c r="P694" s="139"/>
    </row>
    <row r="695" ht="30" customHeight="1" outlineLevel="1" spans="1:16">
      <c r="E695" s="94"/>
      <c r="F695" s="97" t="s">
        <v>333</v>
      </c>
      <c r="G695" s="29" t="s">
        <v>1523</v>
      </c>
      <c r="H695" s="96" t="s">
        <v>2831</v>
      </c>
      <c r="I695" s="97" t="s">
        <v>333</v>
      </c>
      <c r="J695" s="29" t="str">
        <f>INDEX(数据元说明!A:F,MATCH(I695,数据元说明!C:C,0),2)</f>
        <v>001012</v>
      </c>
      <c r="K695" s="98" t="str">
        <f>INDEX(数据元说明!A:F,MATCH(I695,数据元说明!C:C,0),5)</f>
        <v>银行内部机构号。应具有标识机构的唯一性。</v>
      </c>
      <c r="L695" s="29" t="str">
        <f>INDEX(数据元说明!A:F,MATCH(I695,数据元说明!C:C,0),6)</f>
        <v>C..30</v>
      </c>
      <c r="M695" s="98" t="s">
        <v>2322</v>
      </c>
      <c r="P695" s="99"/>
    </row>
    <row r="696" ht="30" customHeight="1" outlineLevel="1" spans="1:16">
      <c r="E696" s="94"/>
      <c r="F696" s="157" t="s">
        <v>1532</v>
      </c>
      <c r="G696" s="43" t="s">
        <v>1533</v>
      </c>
      <c r="H696" s="153" t="s">
        <v>2832</v>
      </c>
      <c r="I696" s="157" t="s">
        <v>282</v>
      </c>
      <c r="J696" s="43" t="str">
        <f>INDEX(数据元说明!A:F,MATCH(I696,数据元说明!C:C,0),2)</f>
        <v>001001</v>
      </c>
      <c r="K696" s="158" t="str">
        <f>INDEX(数据元说明!A:F,MATCH(I696,数据元说明!C:C,0),5)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696" s="43" t="str">
        <f>INDEX(数据元说明!A:F,MATCH(I696,数据元说明!C:C,0),6)</f>
        <v>C..400</v>
      </c>
      <c r="M696" s="158" t="s">
        <v>2324</v>
      </c>
      <c r="N696" s="139" t="s">
        <v>25</v>
      </c>
      <c r="O696" s="139" t="s">
        <v>280</v>
      </c>
      <c r="P696" s="140" t="s">
        <v>1588</v>
      </c>
    </row>
    <row r="697" s="81" customFormat="1" ht="30" customHeight="1" outlineLevel="1" spans="1:16">
      <c r="A697" s="154"/>
      <c r="B697" s="155"/>
      <c r="C697" s="156"/>
      <c r="D697" s="156"/>
      <c r="E697" s="155"/>
      <c r="F697" s="157" t="s">
        <v>2325</v>
      </c>
      <c r="G697" s="43" t="s">
        <v>2326</v>
      </c>
      <c r="H697" s="153" t="s">
        <v>2833</v>
      </c>
      <c r="I697" s="135" t="s">
        <v>574</v>
      </c>
      <c r="J697" s="43" t="str">
        <f>INDEX(数据元说明!A:F,MATCH(I697,数据元说明!C:C,0),2)</f>
        <v>003002</v>
      </c>
      <c r="K697" s="158" t="str">
        <f>INDEX(数据元说明!A:F,MATCH(I697,数据元说明!C:C,0),5)</f>
        <v>机构实际使用的总账会计科目编码。</v>
      </c>
      <c r="L697" s="43" t="str">
        <f>INDEX(数据元说明!A:F,MATCH(I697,数据元说明!C:C,0),6)</f>
        <v>C..200</v>
      </c>
      <c r="M697" s="138" t="s">
        <v>2328</v>
      </c>
      <c r="N697" s="139" t="s">
        <v>25</v>
      </c>
      <c r="O697" s="139" t="s">
        <v>1516</v>
      </c>
      <c r="P697" s="140"/>
    </row>
    <row r="698" s="81" customFormat="1" ht="30" customHeight="1" outlineLevel="1" spans="1:16">
      <c r="A698" s="167"/>
      <c r="B698" s="168"/>
      <c r="C698" s="176"/>
      <c r="D698" s="176"/>
      <c r="E698" s="168"/>
      <c r="F698" s="157" t="s">
        <v>2329</v>
      </c>
      <c r="G698" s="43" t="s">
        <v>2330</v>
      </c>
      <c r="H698" s="153" t="s">
        <v>2834</v>
      </c>
      <c r="I698" s="135" t="s">
        <v>578</v>
      </c>
      <c r="J698" s="43" t="str">
        <f>INDEX(数据元说明!A:F,MATCH(I698,数据元说明!C:C,0),2)</f>
        <v>003003</v>
      </c>
      <c r="K698" s="158" t="str">
        <f>INDEX(数据元说明!A:F,MATCH(I698,数据元说明!C:C,0),5)</f>
        <v>机构实际使用的总账会计科目编码对应的名称。</v>
      </c>
      <c r="L698" s="43" t="str">
        <f>INDEX(数据元说明!A:F,MATCH(I698,数据元说明!C:C,0),6)</f>
        <v>C..200</v>
      </c>
      <c r="M698" s="138" t="s">
        <v>2328</v>
      </c>
      <c r="N698" s="139" t="s">
        <v>25</v>
      </c>
      <c r="O698" s="139" t="s">
        <v>449</v>
      </c>
      <c r="P698" s="139"/>
    </row>
    <row r="699" s="61" customFormat="1" ht="30" customHeight="1" outlineLevel="1" spans="1:16">
      <c r="A699" s="93"/>
      <c r="B699" s="94"/>
      <c r="C699" s="95"/>
      <c r="D699" s="95"/>
      <c r="E699" s="94"/>
      <c r="F699" s="97" t="s">
        <v>453</v>
      </c>
      <c r="G699" s="29" t="s">
        <v>1680</v>
      </c>
      <c r="H699" s="96" t="s">
        <v>2835</v>
      </c>
      <c r="I699" s="97" t="s">
        <v>453</v>
      </c>
      <c r="J699" s="29" t="str">
        <f>INDEX(数据元说明!A:F,MATCH(I699,数据元说明!C:C,0),2)</f>
        <v>002001</v>
      </c>
      <c r="K699" s="98" t="str">
        <f>INDEX(数据元说明!A:F,MATCH(I699,数据元说明!C:C,0),5)</f>
        <v>银行自定义的唯一识别客户的标识。供应链融资的填写供应链融资编码。</v>
      </c>
      <c r="L699" s="29" t="str">
        <f>INDEX(数据元说明!A:F,MATCH(I699,数据元说明!C:C,0),6)</f>
        <v>C..60</v>
      </c>
      <c r="M699" s="98" t="s">
        <v>2548</v>
      </c>
      <c r="N699" s="33" t="s">
        <v>25</v>
      </c>
      <c r="O699" s="99"/>
      <c r="P699" s="33" t="s">
        <v>1588</v>
      </c>
    </row>
    <row r="700" s="81" customFormat="1" ht="30" customHeight="1" outlineLevel="1" spans="1:16">
      <c r="A700" s="154"/>
      <c r="B700" s="155"/>
      <c r="C700" s="156"/>
      <c r="D700" s="156"/>
      <c r="E700" s="155"/>
      <c r="F700" s="157" t="s">
        <v>628</v>
      </c>
      <c r="G700" s="43" t="s">
        <v>2334</v>
      </c>
      <c r="H700" s="153" t="s">
        <v>2836</v>
      </c>
      <c r="I700" s="157" t="s">
        <v>628</v>
      </c>
      <c r="J700" s="43" t="str">
        <f>INDEX(数据元说明!A:F,MATCH(I700,数据元说明!C:C,0),2)</f>
        <v>003015</v>
      </c>
      <c r="K700" s="158" t="str">
        <f>INDEX(数据元说明!A:F,MATCH(I700,数据元说明!C:C,0),5)</f>
        <v>账户归属者的名称。如果客户为个人，则为隐私，银行机构变形，变形规则见《采集技术接口说明》。客户是境内涉密机构的，账户名称填报为“*********”。其他情况，则为非隐私，不做变形。</v>
      </c>
      <c r="L700" s="43" t="str">
        <f>INDEX(数据元说明!A:F,MATCH(I700,数据元说明!C:C,0),6)</f>
        <v>C..400</v>
      </c>
      <c r="M700" s="158" t="s">
        <v>2669</v>
      </c>
      <c r="N700" s="129" t="s">
        <v>25</v>
      </c>
      <c r="O700" s="139" t="s">
        <v>1613</v>
      </c>
      <c r="P700" s="140"/>
    </row>
    <row r="701" s="61" customFormat="1" ht="30" customHeight="1" outlineLevel="1" spans="1:16">
      <c r="A701" s="93"/>
      <c r="B701" s="94"/>
      <c r="C701" s="95"/>
      <c r="D701" s="95"/>
      <c r="E701" s="94"/>
      <c r="F701" s="97" t="s">
        <v>2749</v>
      </c>
      <c r="G701" s="29" t="s">
        <v>2750</v>
      </c>
      <c r="H701" s="96" t="s">
        <v>2837</v>
      </c>
      <c r="I701" s="97" t="s">
        <v>570</v>
      </c>
      <c r="J701" s="29" t="str">
        <f>INDEX(数据元说明!A:F,MATCH(I701,数据元说明!C:C,0),2)</f>
        <v>003001</v>
      </c>
      <c r="K701" s="98" t="str">
        <f>INDEX(数据元说明!A:F,MATCH(I701,数据元说明!C:C,0),5)</f>
        <v>系统内最细一级的账号，无唯一性约束，不需要和序号、子序号等做拼接。</v>
      </c>
      <c r="L701" s="29" t="str">
        <f>INDEX(数据元说明!A:F,MATCH(I701,数据元说明!C:C,0),6)</f>
        <v>C..60</v>
      </c>
      <c r="M701" s="98" t="s">
        <v>1587</v>
      </c>
      <c r="N701" s="226" t="s">
        <v>25</v>
      </c>
      <c r="O701" s="99"/>
      <c r="P701" s="33" t="s">
        <v>1588</v>
      </c>
    </row>
    <row r="702" s="61" customFormat="1" ht="30" customHeight="1" outlineLevel="1" spans="1:16">
      <c r="A702" s="130"/>
      <c r="B702" s="36"/>
      <c r="C702" s="25"/>
      <c r="D702" s="25"/>
      <c r="E702" s="36"/>
      <c r="F702" s="131" t="s">
        <v>2752</v>
      </c>
      <c r="G702" s="31" t="s">
        <v>2753</v>
      </c>
      <c r="H702" s="96" t="s">
        <v>2838</v>
      </c>
      <c r="I702" s="131" t="s">
        <v>677</v>
      </c>
      <c r="J702" s="31" t="str">
        <f>INDEX(数据元说明!A:F,MATCH(I702,数据元说明!C:C,0),2)</f>
        <v>003027</v>
      </c>
      <c r="K702" s="133" t="str">
        <f>INDEX(数据元说明!A:F,MATCH(I702,数据元说明!C:C,0),5)</f>
        <v>借据统一编号。</v>
      </c>
      <c r="L702" s="31" t="str">
        <f>INDEX(数据元说明!A:F,MATCH(I702,数据元说明!C:C,0),6)</f>
        <v>C..100</v>
      </c>
      <c r="M702" s="133" t="s">
        <v>2839</v>
      </c>
      <c r="N702" s="226" t="s">
        <v>25</v>
      </c>
      <c r="O702" s="99"/>
      <c r="P702" s="33" t="s">
        <v>1588</v>
      </c>
    </row>
    <row r="703" s="61" customFormat="1" ht="30" customHeight="1" outlineLevel="1" spans="1:16">
      <c r="A703" s="159"/>
      <c r="B703" s="160"/>
      <c r="C703" s="161"/>
      <c r="D703" s="161"/>
      <c r="E703" s="160"/>
      <c r="F703" s="97" t="s">
        <v>2756</v>
      </c>
      <c r="G703" s="29" t="s">
        <v>2840</v>
      </c>
      <c r="H703" s="96" t="s">
        <v>2841</v>
      </c>
      <c r="I703" s="97" t="s">
        <v>660</v>
      </c>
      <c r="J703" s="29" t="str">
        <f>INDEX(数据元说明!A:F,MATCH(I703,数据元说明!C:C,0),2)</f>
        <v>003023</v>
      </c>
      <c r="K703" s="98" t="str">
        <f>INDEX(数据元说明!A:F,MATCH(I703,数据元说明!C:C,0),5)</f>
        <v>百分比为单位，即%，如4.5%填报为4.5。</v>
      </c>
      <c r="L703" s="29" t="str">
        <f>INDEX(数据元说明!A:F,MATCH(I703,数据元说明!C:C,0),6)</f>
        <v>D10.4</v>
      </c>
      <c r="M703" s="138" t="s">
        <v>2759</v>
      </c>
      <c r="N703" s="187" t="s">
        <v>25</v>
      </c>
      <c r="O703" s="33" t="s">
        <v>2842</v>
      </c>
      <c r="P703" s="33"/>
    </row>
    <row r="704" s="61" customFormat="1" ht="30" customHeight="1" outlineLevel="1" spans="1:16">
      <c r="A704" s="93"/>
      <c r="B704" s="94"/>
      <c r="C704" s="95"/>
      <c r="D704" s="95"/>
      <c r="E704" s="94"/>
      <c r="F704" s="97" t="s">
        <v>624</v>
      </c>
      <c r="G704" s="29" t="s">
        <v>1989</v>
      </c>
      <c r="H704" s="96" t="s">
        <v>2843</v>
      </c>
      <c r="I704" s="97" t="s">
        <v>624</v>
      </c>
      <c r="J704" s="29" t="str">
        <f>INDEX(数据元说明!A:F,MATCH(I704,数据元说明!C:C,0),2)</f>
        <v>003014</v>
      </c>
      <c r="K704" s="98" t="str">
        <f>INDEX(数据元说明!A:F,MATCH(I704,数据元说明!C:C,0),5)</f>
        <v>遵循《GB/T 12406 表示货币和资金的代码》的字母代码，如CNY。上述文件所列币种无法涵盖的，允许银行自定义填报。多个币种合计折算为人民币（本外币合计）的，填报为BWB。</v>
      </c>
      <c r="L704" s="29" t="str">
        <f>INDEX(数据元说明!A:F,MATCH(I704,数据元说明!C:C,0),6)</f>
        <v>C3</v>
      </c>
      <c r="M704" s="98" t="s">
        <v>1525</v>
      </c>
      <c r="N704" s="226" t="s">
        <v>25</v>
      </c>
      <c r="O704" s="99"/>
      <c r="P704" s="33" t="s">
        <v>1588</v>
      </c>
    </row>
    <row r="705" s="81" customFormat="1" ht="30" customHeight="1" outlineLevel="1" spans="1:16">
      <c r="A705" s="141"/>
      <c r="B705" s="142"/>
      <c r="C705" s="39"/>
      <c r="D705" s="39"/>
      <c r="E705" s="47"/>
      <c r="F705" s="135" t="s">
        <v>2761</v>
      </c>
      <c r="G705" s="136" t="s">
        <v>2762</v>
      </c>
      <c r="H705" s="153" t="s">
        <v>2844</v>
      </c>
      <c r="I705" s="135" t="s">
        <v>609</v>
      </c>
      <c r="J705" s="136" t="str">
        <f>INDEX(数据元说明!A:F,MATCH(I705,数据元说明!C:C,0),2)</f>
        <v>003010</v>
      </c>
      <c r="K705" s="138" t="str">
        <f>INDEX(数据元说明!A:F,MATCH(I705,数据元说明!C:C,0),5)</f>
        <v>与币种相对应金额。</v>
      </c>
      <c r="L705" s="136" t="str">
        <f>INDEX(数据元说明!A:F,MATCH(I705,数据元说明!C:C,0),6)</f>
        <v>D20.2</v>
      </c>
      <c r="M705" s="138" t="s">
        <v>2764</v>
      </c>
      <c r="N705" s="129" t="s">
        <v>25</v>
      </c>
      <c r="O705" s="139" t="s">
        <v>1550</v>
      </c>
      <c r="P705" s="139"/>
    </row>
    <row r="706" s="81" customFormat="1" ht="30" customHeight="1" outlineLevel="1" spans="1:16">
      <c r="A706" s="141"/>
      <c r="B706" s="142"/>
      <c r="C706" s="39"/>
      <c r="D706" s="39"/>
      <c r="E706" s="47"/>
      <c r="F706" s="135" t="s">
        <v>2765</v>
      </c>
      <c r="G706" s="136" t="s">
        <v>2766</v>
      </c>
      <c r="H706" s="153" t="s">
        <v>2845</v>
      </c>
      <c r="I706" s="135" t="s">
        <v>613</v>
      </c>
      <c r="J706" s="136" t="str">
        <f>INDEX(数据元说明!A:F,MATCH(I706,数据元说明!C:C,0),2)</f>
        <v>003011</v>
      </c>
      <c r="K706" s="138" t="str">
        <f>INDEX(数据元说明!A:F,MATCH(I706,数据元说明!C:C,0),5)</f>
        <v>与币种相对应金额。</v>
      </c>
      <c r="L706" s="136" t="str">
        <f>INDEX(数据元说明!A:F,MATCH(I706,数据元说明!C:C,0),6)</f>
        <v>D20.2</v>
      </c>
      <c r="M706" s="138" t="s">
        <v>2768</v>
      </c>
      <c r="N706" s="143" t="s">
        <v>57</v>
      </c>
      <c r="O706" s="139"/>
      <c r="P706" s="139"/>
    </row>
    <row r="707" s="81" customFormat="1" ht="30" customHeight="1" outlineLevel="1" spans="1:16">
      <c r="A707" s="167"/>
      <c r="B707" s="168"/>
      <c r="C707" s="156"/>
      <c r="D707" s="156"/>
      <c r="E707" s="155"/>
      <c r="F707" s="157" t="s">
        <v>2769</v>
      </c>
      <c r="G707" s="43" t="s">
        <v>2770</v>
      </c>
      <c r="H707" s="153" t="s">
        <v>2846</v>
      </c>
      <c r="I707" s="157" t="s">
        <v>302</v>
      </c>
      <c r="J707" s="43" t="str">
        <f>INDEX(数据元说明!A:F,MATCH(I707,数据元说明!C:C,0),2)</f>
        <v>001005</v>
      </c>
      <c r="K707" s="158" t="str">
        <f>INDEX(数据元说明!A:F,MATCH(I707,数据元说明!C:C,0),5)</f>
        <v>YYYYMMDD，默认值99991231。</v>
      </c>
      <c r="L707" s="43" t="str">
        <f>INDEX(数据元说明!A:F,MATCH(I707,数据元说明!C:C,0),6)</f>
        <v>C8</v>
      </c>
      <c r="M707" s="138" t="s">
        <v>2772</v>
      </c>
      <c r="N707" s="143" t="s">
        <v>57</v>
      </c>
      <c r="O707" s="139"/>
      <c r="P707" s="139"/>
    </row>
    <row r="708" s="81" customFormat="1" ht="30" customHeight="1" outlineLevel="1" spans="1:16">
      <c r="A708" s="167"/>
      <c r="B708" s="168"/>
      <c r="C708" s="156"/>
      <c r="D708" s="156"/>
      <c r="E708" s="155"/>
      <c r="F708" s="97" t="s">
        <v>2490</v>
      </c>
      <c r="G708" s="29" t="s">
        <v>2491</v>
      </c>
      <c r="H708" s="96" t="s">
        <v>2847</v>
      </c>
      <c r="I708" s="97" t="s">
        <v>302</v>
      </c>
      <c r="J708" s="29" t="str">
        <f>INDEX(数据元说明!A:F,MATCH(I708,数据元说明!C:C,0),2)</f>
        <v>001005</v>
      </c>
      <c r="K708" s="98" t="str">
        <f>INDEX(数据元说明!A:F,MATCH(I708,数据元说明!C:C,0),5)</f>
        <v>YYYYMMDD，默认值99991231。</v>
      </c>
      <c r="L708" s="29" t="str">
        <f>INDEX(数据元说明!A:F,MATCH(I708,数据元说明!C:C,0),6)</f>
        <v>C8</v>
      </c>
      <c r="M708" s="158" t="s">
        <v>2774</v>
      </c>
      <c r="N708" s="139" t="s">
        <v>25</v>
      </c>
      <c r="O708" s="139" t="s">
        <v>449</v>
      </c>
      <c r="P708" s="99"/>
    </row>
    <row r="709" s="81" customFormat="1" ht="30" customHeight="1" outlineLevel="1" spans="1:16">
      <c r="A709" s="167"/>
      <c r="B709" s="168"/>
      <c r="C709" s="156"/>
      <c r="D709" s="156"/>
      <c r="E709" s="155"/>
      <c r="F709" s="97" t="s">
        <v>2350</v>
      </c>
      <c r="G709" s="29" t="s">
        <v>2351</v>
      </c>
      <c r="H709" s="96" t="s">
        <v>2848</v>
      </c>
      <c r="I709" s="97" t="s">
        <v>302</v>
      </c>
      <c r="J709" s="29" t="str">
        <f>INDEX(数据元说明!A:F,MATCH(I709,数据元说明!C:C,0),2)</f>
        <v>001005</v>
      </c>
      <c r="K709" s="98" t="str">
        <f>INDEX(数据元说明!A:F,MATCH(I709,数据元说明!C:C,0),5)</f>
        <v>YYYYMMDD，默认值99991231。</v>
      </c>
      <c r="L709" s="29" t="str">
        <f>INDEX(数据元说明!A:F,MATCH(I709,数据元说明!C:C,0),6)</f>
        <v>C8</v>
      </c>
      <c r="M709" s="98"/>
      <c r="N709" s="99"/>
      <c r="O709" s="99"/>
      <c r="P709" s="99"/>
    </row>
    <row r="710" s="81" customFormat="1" ht="30" customHeight="1" outlineLevel="1" spans="1:16">
      <c r="A710" s="167"/>
      <c r="B710" s="168"/>
      <c r="C710" s="156"/>
      <c r="D710" s="156"/>
      <c r="E710" s="155"/>
      <c r="F710" s="157" t="s">
        <v>2360</v>
      </c>
      <c r="G710" s="43" t="s">
        <v>2361</v>
      </c>
      <c r="H710" s="153" t="s">
        <v>2849</v>
      </c>
      <c r="I710" s="157" t="s">
        <v>302</v>
      </c>
      <c r="J710" s="43" t="str">
        <f>INDEX(数据元说明!A:F,MATCH(I710,数据元说明!C:C,0),2)</f>
        <v>001005</v>
      </c>
      <c r="K710" s="158" t="str">
        <f>INDEX(数据元说明!A:F,MATCH(I710,数据元说明!C:C,0),5)</f>
        <v>YYYYMMDD，默认值99991231。</v>
      </c>
      <c r="L710" s="43" t="str">
        <f>INDEX(数据元说明!A:F,MATCH(I710,数据元说明!C:C,0),6)</f>
        <v>C8</v>
      </c>
      <c r="M710" s="138" t="s">
        <v>2363</v>
      </c>
      <c r="N710" s="139" t="s">
        <v>25</v>
      </c>
      <c r="O710" s="140"/>
      <c r="P710" s="139" t="s">
        <v>1606</v>
      </c>
    </row>
    <row r="711" s="81" customFormat="1" ht="30" customHeight="1" outlineLevel="1" spans="1:16">
      <c r="A711" s="167"/>
      <c r="B711" s="168"/>
      <c r="C711" s="156"/>
      <c r="D711" s="156"/>
      <c r="E711" s="155"/>
      <c r="F711" s="157" t="s">
        <v>839</v>
      </c>
      <c r="G711" s="43" t="s">
        <v>2777</v>
      </c>
      <c r="H711" s="153" t="s">
        <v>2850</v>
      </c>
      <c r="I711" s="157" t="s">
        <v>839</v>
      </c>
      <c r="J711" s="407" t="str">
        <f>INDEX(数据元说明!A:F,MATCH(I711,数据元说明!C:C,0),2)</f>
        <v>005026</v>
      </c>
      <c r="K711" s="158" t="str">
        <f>INDEX(数据元说明!A:F,MATCH(I711,数据元说明!C:C,0),5)</f>
        <v>正常、结清、逾期、核销、转让，其他-银行自定义。以枚举类型填报，如无法以枚举类型填报，则以“其他-XX”填报，其中“XX”为银行自定义状态。</v>
      </c>
      <c r="L711" s="43" t="str">
        <f>INDEX(数据元说明!A:F,MATCH(I711,数据元说明!C:C,0),6)</f>
        <v>C..30</v>
      </c>
      <c r="M711" s="138"/>
      <c r="N711" s="140" t="s">
        <v>25</v>
      </c>
      <c r="O711" s="139" t="s">
        <v>1514</v>
      </c>
      <c r="P711" s="140"/>
    </row>
    <row r="712" s="81" customFormat="1" ht="30" customHeight="1" outlineLevel="1" spans="1:16">
      <c r="A712" s="167"/>
      <c r="B712" s="168"/>
      <c r="C712" s="156"/>
      <c r="D712" s="156"/>
      <c r="E712" s="155"/>
      <c r="F712" s="157" t="s">
        <v>636</v>
      </c>
      <c r="G712" s="43" t="s">
        <v>2366</v>
      </c>
      <c r="H712" s="153" t="s">
        <v>2851</v>
      </c>
      <c r="I712" s="157" t="s">
        <v>636</v>
      </c>
      <c r="J712" s="43" t="str">
        <f>INDEX(数据元说明!A:F,MATCH(I712,数据元说明!C:C,0),2)</f>
        <v>003017</v>
      </c>
      <c r="K712" s="158" t="str">
        <f>INDEX(数据元说明!A:F,MATCH(I712,数据元说明!C:C,0),5)</f>
        <v>正常，预销户，销户，逾期，冻结，止付，已转让，其他-银行自定义。无法以枚举类型填报的，以“其他-XX”填报，其中“XX”为银行自定义类型。</v>
      </c>
      <c r="L712" s="43" t="str">
        <f>INDEX(数据元说明!A:F,MATCH(I712,数据元说明!C:C,0),6)</f>
        <v>C..30</v>
      </c>
      <c r="M712" s="138"/>
      <c r="N712" s="140" t="s">
        <v>25</v>
      </c>
      <c r="O712" s="139" t="s">
        <v>1516</v>
      </c>
      <c r="P712" s="140"/>
    </row>
    <row r="713" s="82" customFormat="1" ht="71" outlineLevel="1" spans="1:16">
      <c r="A713" s="144"/>
      <c r="B713" s="145"/>
      <c r="C713" s="146"/>
      <c r="D713" s="146"/>
      <c r="E713" s="145"/>
      <c r="F713" s="147" t="s">
        <v>449</v>
      </c>
      <c r="G713" s="148" t="s">
        <v>1571</v>
      </c>
      <c r="H713" s="148" t="s">
        <v>2852</v>
      </c>
      <c r="I713" s="147" t="s">
        <v>449</v>
      </c>
      <c r="J713" s="148" t="str">
        <f>INDEX(数据元说明!A:F,MATCH(I713,数据元说明!C:C,0),2)</f>
        <v>001040</v>
      </c>
      <c r="K713" s="149" t="str">
        <f>INDEX(数据元说明!A:F,MATCH(I713,数据元说明!C:C,0),5)</f>
        <v>银行自定义。</v>
      </c>
      <c r="L713" s="148" t="str">
        <f>INDEX(数据元说明!A:F,MATCH(I713,数据元说明!C:C,0),6)</f>
        <v>C..600</v>
      </c>
      <c r="M713" s="149" t="s">
        <v>1573</v>
      </c>
      <c r="N713" s="143" t="s">
        <v>57</v>
      </c>
      <c r="O713" s="151"/>
      <c r="P713" s="151"/>
    </row>
    <row r="714" s="81" customFormat="1" ht="30" customHeight="1" outlineLevel="1" spans="1:16">
      <c r="A714" s="167"/>
      <c r="B714" s="168"/>
      <c r="C714" s="156"/>
      <c r="D714" s="156"/>
      <c r="E714" s="155"/>
      <c r="F714" s="97" t="s">
        <v>1574</v>
      </c>
      <c r="G714" s="29" t="s">
        <v>1575</v>
      </c>
      <c r="H714" s="96" t="s">
        <v>2853</v>
      </c>
      <c r="I714" s="97" t="s">
        <v>302</v>
      </c>
      <c r="J714" s="29" t="str">
        <f>INDEX(数据元说明!A:F,MATCH(I714,数据元说明!C:C,0),2)</f>
        <v>001005</v>
      </c>
      <c r="K714" s="98" t="str">
        <f>INDEX(数据元说明!A:F,MATCH(I714,数据元说明!C:C,0),5)</f>
        <v>YYYYMMDD，默认值99991231。</v>
      </c>
      <c r="L714" s="29" t="str">
        <f>INDEX(数据元说明!A:F,MATCH(I714,数据元说明!C:C,0),6)</f>
        <v>C8</v>
      </c>
      <c r="M714" s="98" t="s">
        <v>1577</v>
      </c>
    </row>
    <row r="715" s="81" customFormat="1" ht="30" customHeight="1" spans="1:16">
      <c r="A715" s="179"/>
      <c r="B715" s="180"/>
      <c r="C715" s="37" t="s">
        <v>123</v>
      </c>
      <c r="D715" s="38" t="s">
        <v>124</v>
      </c>
      <c r="E715" s="181" t="s">
        <v>2854</v>
      </c>
      <c r="F715" s="182"/>
      <c r="G715" s="183"/>
      <c r="H715" s="181"/>
      <c r="I715" s="182"/>
      <c r="J715" s="183"/>
      <c r="K715" s="128"/>
      <c r="L715" s="183"/>
      <c r="M715" s="128" t="str">
        <f>INDEX(表结构总览!E:H,MATCH(D715,表结构总览!E:E,0),4)</f>
        <v>所有影响对公信贷账户余额或利息变动的交易信息，包括还本、还息，不包括查询交易。贷款核销或者转让（包括资产证券化）也应该在本表体现：明细科目填报本金科目，交易金额为核销或转让前本金余额，余额为0，交易对手填写借款人自身信息，摘要中标明核销或者转让交易。</v>
      </c>
      <c r="N715" s="129" t="s">
        <v>25</v>
      </c>
      <c r="O715" s="129" t="s">
        <v>449</v>
      </c>
      <c r="P715" s="139"/>
    </row>
    <row r="716" s="87" customFormat="1" ht="30" customHeight="1" spans="1:16">
      <c r="A716" s="141"/>
      <c r="B716" s="142"/>
      <c r="C716" s="39"/>
      <c r="D716" s="40"/>
      <c r="E716" s="47"/>
      <c r="F716" s="135" t="s">
        <v>702</v>
      </c>
      <c r="G716" s="136" t="s">
        <v>2370</v>
      </c>
      <c r="H716" s="137" t="s">
        <v>2855</v>
      </c>
      <c r="I716" s="135" t="s">
        <v>702</v>
      </c>
      <c r="J716" s="136" t="str">
        <f>INDEX(数据元说明!A:F,MATCH(I716,数据元说明!C:C,0),2)</f>
        <v>004001</v>
      </c>
      <c r="K716" s="138" t="str">
        <f>INDEX(数据元说明!A:F,MATCH(I716,数据元说明!C:C,0),5)</f>
        <v>唯一标识该笔交易的编号，银行自定义。可以是业务编号，也可以是交易系统中使用的时间戳，如：时间戳(纳秒)：1530027865231834600。</v>
      </c>
      <c r="L716" s="136" t="str">
        <f>INDEX(数据元说明!A:F,MATCH(I716,数据元说明!C:C,0),6)</f>
        <v>C..100</v>
      </c>
      <c r="M716" s="138" t="s">
        <v>1587</v>
      </c>
      <c r="N716" s="143" t="s">
        <v>57</v>
      </c>
      <c r="O716" s="221"/>
      <c r="P716" s="140"/>
    </row>
    <row r="717" ht="30" customHeight="1" outlineLevel="1" spans="1:16">
      <c r="A717" s="159"/>
      <c r="B717" s="160"/>
      <c r="C717" s="161"/>
      <c r="D717" s="161"/>
      <c r="E717" s="160"/>
      <c r="F717" s="97" t="s">
        <v>325</v>
      </c>
      <c r="G717" s="29" t="s">
        <v>1520</v>
      </c>
      <c r="H717" s="132" t="s">
        <v>2856</v>
      </c>
      <c r="I717" s="97" t="s">
        <v>325</v>
      </c>
      <c r="J717" s="29" t="str">
        <f>INDEX(数据元说明!A:F,MATCH(I717,数据元说明!C:C,0),2)</f>
        <v>001010</v>
      </c>
      <c r="K717" s="98" t="str">
        <f>INDEX(数据元说明!A:F,MATCH(I717,数据元说明!C:C,0),5)</f>
        <v>12位人行支付行号或SWIFT行号。</v>
      </c>
      <c r="L717" s="29" t="str">
        <f>INDEX(数据元说明!A:F,MATCH(I717,数据元说明!C:C,0),6)</f>
        <v>C..30</v>
      </c>
      <c r="M717" s="98" t="s">
        <v>2785</v>
      </c>
      <c r="P717" s="99"/>
    </row>
    <row r="718" s="81" customFormat="1" ht="30" customHeight="1" outlineLevel="1" spans="1:16">
      <c r="A718" s="134"/>
      <c r="B718" s="47"/>
      <c r="C718" s="39"/>
      <c r="D718" s="39"/>
      <c r="E718" s="47"/>
      <c r="F718" s="135" t="s">
        <v>329</v>
      </c>
      <c r="G718" s="136" t="s">
        <v>1526</v>
      </c>
      <c r="H718" s="137" t="s">
        <v>2857</v>
      </c>
      <c r="I718" s="135" t="s">
        <v>329</v>
      </c>
      <c r="J718" s="136" t="str">
        <f>INDEX(数据元说明!A:F,MATCH(I718,数据元说明!C:C,0),2)</f>
        <v>001011</v>
      </c>
      <c r="K718" s="138" t="str">
        <f>INDEX(数据元说明!A:F,MATCH(I718,数据元说明!C:C,0),5)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18" s="136" t="str">
        <f>INDEX(数据元说明!A:F,MATCH(I718,数据元说明!C:C,0),6)</f>
        <v>C..30</v>
      </c>
      <c r="M718" s="138" t="s">
        <v>2787</v>
      </c>
      <c r="N718" s="129" t="s">
        <v>25</v>
      </c>
      <c r="O718" s="129" t="s">
        <v>449</v>
      </c>
      <c r="P718" s="139"/>
    </row>
    <row r="719" ht="30" customHeight="1" outlineLevel="1" spans="1:16">
      <c r="A719" s="159"/>
      <c r="B719" s="160"/>
      <c r="C719" s="161"/>
      <c r="D719" s="161"/>
      <c r="E719" s="160"/>
      <c r="F719" s="97" t="s">
        <v>333</v>
      </c>
      <c r="G719" s="29" t="s">
        <v>1523</v>
      </c>
      <c r="H719" s="132" t="s">
        <v>2858</v>
      </c>
      <c r="I719" s="97" t="s">
        <v>333</v>
      </c>
      <c r="J719" s="29" t="str">
        <f>INDEX(数据元说明!A:F,MATCH(I719,数据元说明!C:C,0),2)</f>
        <v>001012</v>
      </c>
      <c r="K719" s="98" t="str">
        <f>INDEX(数据元说明!A:F,MATCH(I719,数据元说明!C:C,0),5)</f>
        <v>银行内部机构号。应具有标识机构的唯一性。</v>
      </c>
      <c r="L719" s="29" t="str">
        <f>INDEX(数据元说明!A:F,MATCH(I719,数据元说明!C:C,0),6)</f>
        <v>C..30</v>
      </c>
      <c r="M719" s="98" t="s">
        <v>2789</v>
      </c>
      <c r="P719" s="99"/>
    </row>
    <row r="720" s="61" customFormat="1" ht="30" customHeight="1" outlineLevel="1" spans="1:16">
      <c r="A720" s="159"/>
      <c r="B720" s="160"/>
      <c r="C720" s="95"/>
      <c r="D720" s="95"/>
      <c r="E720" s="94"/>
      <c r="F720" s="97" t="s">
        <v>2375</v>
      </c>
      <c r="G720" s="29" t="s">
        <v>2376</v>
      </c>
      <c r="H720" s="132" t="s">
        <v>2859</v>
      </c>
      <c r="I720" s="97" t="s">
        <v>333</v>
      </c>
      <c r="J720" s="29" t="str">
        <f>INDEX(数据元说明!A:F,MATCH(I720,数据元说明!C:C,0),2)</f>
        <v>001012</v>
      </c>
      <c r="K720" s="98" t="str">
        <f>INDEX(数据元说明!A:F,MATCH(I720,数据元说明!C:C,0),5)</f>
        <v>银行内部机构号。应具有标识机构的唯一性。</v>
      </c>
      <c r="L720" s="29" t="str">
        <f>INDEX(数据元说明!A:F,MATCH(I720,数据元说明!C:C,0),6)</f>
        <v>C..30</v>
      </c>
      <c r="M720" s="133" t="s">
        <v>2378</v>
      </c>
      <c r="N720" s="99"/>
      <c r="O720" s="99"/>
      <c r="P720" s="99"/>
    </row>
    <row r="721" ht="30" customHeight="1" outlineLevel="1" spans="1:16">
      <c r="A721" s="159"/>
      <c r="B721" s="160"/>
      <c r="C721" s="161"/>
      <c r="D721" s="161"/>
      <c r="E721" s="160"/>
      <c r="F721" s="157" t="s">
        <v>1532</v>
      </c>
      <c r="G721" s="43" t="s">
        <v>1533</v>
      </c>
      <c r="H721" s="137" t="s">
        <v>2860</v>
      </c>
      <c r="I721" s="157" t="s">
        <v>282</v>
      </c>
      <c r="J721" s="43" t="str">
        <f>INDEX(数据元说明!A:F,MATCH(I721,数据元说明!C:C,0),2)</f>
        <v>001001</v>
      </c>
      <c r="K721" s="158" t="str">
        <f>INDEX(数据元说明!A:F,MATCH(I721,数据元说明!C:C,0),5)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721" s="43" t="str">
        <f>INDEX(数据元说明!A:F,MATCH(I721,数据元说明!C:C,0),6)</f>
        <v>C..400</v>
      </c>
      <c r="M721" s="158" t="s">
        <v>2792</v>
      </c>
      <c r="N721" s="139" t="s">
        <v>25</v>
      </c>
      <c r="O721" s="139" t="s">
        <v>280</v>
      </c>
      <c r="P721" s="140" t="s">
        <v>1588</v>
      </c>
    </row>
    <row r="722" s="81" customFormat="1" ht="30" customHeight="1" outlineLevel="1" spans="1:16">
      <c r="A722" s="167"/>
      <c r="B722" s="168"/>
      <c r="C722" s="176"/>
      <c r="D722" s="176"/>
      <c r="E722" s="168"/>
      <c r="F722" s="157" t="s">
        <v>2325</v>
      </c>
      <c r="G722" s="43" t="s">
        <v>2326</v>
      </c>
      <c r="H722" s="137" t="s">
        <v>2861</v>
      </c>
      <c r="I722" s="135" t="s">
        <v>574</v>
      </c>
      <c r="J722" s="43" t="str">
        <f>INDEX(数据元说明!A:F,MATCH(I722,数据元说明!C:C,0),2)</f>
        <v>003002</v>
      </c>
      <c r="K722" s="158" t="str">
        <f>INDEX(数据元说明!A:F,MATCH(I722,数据元说明!C:C,0),5)</f>
        <v>机构实际使用的总账会计科目编码。</v>
      </c>
      <c r="L722" s="43" t="str">
        <f>INDEX(数据元说明!A:F,MATCH(I722,数据元说明!C:C,0),6)</f>
        <v>C..200</v>
      </c>
      <c r="M722" s="138" t="s">
        <v>2328</v>
      </c>
      <c r="N722" s="139" t="s">
        <v>25</v>
      </c>
      <c r="O722" s="139" t="s">
        <v>1516</v>
      </c>
      <c r="P722" s="140"/>
    </row>
    <row r="723" s="81" customFormat="1" ht="30" customHeight="1" outlineLevel="1" spans="1:16">
      <c r="A723" s="167"/>
      <c r="B723" s="168"/>
      <c r="C723" s="176"/>
      <c r="D723" s="176"/>
      <c r="E723" s="168"/>
      <c r="F723" s="157" t="s">
        <v>2329</v>
      </c>
      <c r="G723" s="43" t="s">
        <v>2330</v>
      </c>
      <c r="H723" s="137" t="s">
        <v>2862</v>
      </c>
      <c r="I723" s="135" t="s">
        <v>578</v>
      </c>
      <c r="J723" s="43" t="str">
        <f>INDEX(数据元说明!A:F,MATCH(I723,数据元说明!C:C,0),2)</f>
        <v>003003</v>
      </c>
      <c r="K723" s="158" t="str">
        <f>INDEX(数据元说明!A:F,MATCH(I723,数据元说明!C:C,0),5)</f>
        <v>机构实际使用的总账会计科目编码对应的名称。</v>
      </c>
      <c r="L723" s="43" t="str">
        <f>INDEX(数据元说明!A:F,MATCH(I723,数据元说明!C:C,0),6)</f>
        <v>C..200</v>
      </c>
      <c r="M723" s="138" t="s">
        <v>2328</v>
      </c>
      <c r="N723" s="139" t="s">
        <v>25</v>
      </c>
      <c r="O723" s="139" t="s">
        <v>449</v>
      </c>
      <c r="P723" s="140"/>
    </row>
    <row r="724" s="61" customFormat="1" ht="30" customHeight="1" outlineLevel="1" spans="1:16">
      <c r="A724" s="159"/>
      <c r="B724" s="160"/>
      <c r="C724" s="161"/>
      <c r="D724" s="161"/>
      <c r="E724" s="160"/>
      <c r="F724" s="97" t="s">
        <v>453</v>
      </c>
      <c r="G724" s="29" t="s">
        <v>1680</v>
      </c>
      <c r="H724" s="132" t="s">
        <v>2863</v>
      </c>
      <c r="I724" s="97" t="s">
        <v>453</v>
      </c>
      <c r="J724" s="29" t="str">
        <f>INDEX(数据元说明!A:F,MATCH(I724,数据元说明!C:C,0),2)</f>
        <v>002001</v>
      </c>
      <c r="K724" s="98" t="str">
        <f>INDEX(数据元说明!A:F,MATCH(I724,数据元说明!C:C,0),5)</f>
        <v>银行自定义的唯一识别客户的标识。供应链融资的填写供应链融资编码。</v>
      </c>
      <c r="L724" s="29" t="str">
        <f>INDEX(数据元说明!A:F,MATCH(I724,数据元说明!C:C,0),6)</f>
        <v>C..60</v>
      </c>
      <c r="M724" s="98" t="s">
        <v>2548</v>
      </c>
      <c r="N724" s="33" t="s">
        <v>25</v>
      </c>
      <c r="O724" s="99"/>
      <c r="P724" s="33" t="s">
        <v>1588</v>
      </c>
    </row>
    <row r="725" s="81" customFormat="1" ht="30" customHeight="1" outlineLevel="1" spans="1:16">
      <c r="A725" s="167"/>
      <c r="B725" s="168"/>
      <c r="C725" s="176"/>
      <c r="D725" s="176"/>
      <c r="E725" s="168"/>
      <c r="F725" s="157" t="s">
        <v>628</v>
      </c>
      <c r="G725" s="43" t="s">
        <v>2334</v>
      </c>
      <c r="H725" s="137" t="s">
        <v>2864</v>
      </c>
      <c r="I725" s="157" t="s">
        <v>628</v>
      </c>
      <c r="J725" s="43" t="str">
        <f>INDEX(数据元说明!A:F,MATCH(I725,数据元说明!C:C,0),2)</f>
        <v>003015</v>
      </c>
      <c r="K725" s="158" t="str">
        <f>INDEX(数据元说明!A:F,MATCH(I725,数据元说明!C:C,0),5)</f>
        <v>账户归属者的名称。如果客户为个人，则为隐私，银行机构变形，变形规则见《采集技术接口说明》。客户是境内涉密机构的，账户名称填报为“*********”。其他情况，则为非隐私，不做变形。</v>
      </c>
      <c r="L725" s="43" t="str">
        <f>INDEX(数据元说明!A:F,MATCH(I725,数据元说明!C:C,0),6)</f>
        <v>C..400</v>
      </c>
      <c r="M725" s="158" t="s">
        <v>2669</v>
      </c>
      <c r="N725" s="139" t="s">
        <v>25</v>
      </c>
      <c r="O725" s="139" t="s">
        <v>1613</v>
      </c>
      <c r="P725" s="140" t="s">
        <v>1588</v>
      </c>
    </row>
    <row r="726" s="81" customFormat="1" ht="30" customHeight="1" outlineLevel="1" spans="1:16">
      <c r="A726" s="167"/>
      <c r="B726" s="168"/>
      <c r="C726" s="156"/>
      <c r="D726" s="156"/>
      <c r="E726" s="155"/>
      <c r="F726" s="157" t="s">
        <v>2749</v>
      </c>
      <c r="G726" s="43" t="s">
        <v>2750</v>
      </c>
      <c r="H726" s="137" t="s">
        <v>2865</v>
      </c>
      <c r="I726" s="157" t="s">
        <v>570</v>
      </c>
      <c r="J726" s="43" t="str">
        <f>INDEX(数据元说明!A:F,MATCH(I726,数据元说明!C:C,0),2)</f>
        <v>003001</v>
      </c>
      <c r="K726" s="158" t="str">
        <f>INDEX(数据元说明!A:F,MATCH(I726,数据元说明!C:C,0),5)</f>
        <v>系统内最细一级的账号，无唯一性约束，不需要和序号、子序号等做拼接。</v>
      </c>
      <c r="L726" s="43" t="str">
        <f>INDEX(数据元说明!A:F,MATCH(I726,数据元说明!C:C,0),6)</f>
        <v>C..60</v>
      </c>
      <c r="M726" s="158" t="s">
        <v>2866</v>
      </c>
      <c r="N726" s="129" t="s">
        <v>25</v>
      </c>
      <c r="O726" s="129" t="s">
        <v>1550</v>
      </c>
      <c r="P726" s="140" t="s">
        <v>1588</v>
      </c>
    </row>
    <row r="727" s="81" customFormat="1" ht="30" customHeight="1" outlineLevel="1" spans="1:16">
      <c r="A727" s="167"/>
      <c r="B727" s="168"/>
      <c r="C727" s="176"/>
      <c r="D727" s="176"/>
      <c r="E727" s="168"/>
      <c r="F727" s="157" t="s">
        <v>2752</v>
      </c>
      <c r="G727" s="43" t="s">
        <v>2753</v>
      </c>
      <c r="H727" s="137" t="s">
        <v>2867</v>
      </c>
      <c r="I727" s="157" t="s">
        <v>677</v>
      </c>
      <c r="J727" s="43" t="str">
        <f>INDEX(数据元说明!A:F,MATCH(I727,数据元说明!C:C,0),2)</f>
        <v>003027</v>
      </c>
      <c r="K727" s="158" t="str">
        <f>INDEX(数据元说明!A:F,MATCH(I727,数据元说明!C:C,0),5)</f>
        <v>借据统一编号。</v>
      </c>
      <c r="L727" s="43" t="str">
        <f>INDEX(数据元说明!A:F,MATCH(I727,数据元说明!C:C,0),6)</f>
        <v>C..100</v>
      </c>
      <c r="M727" s="158" t="s">
        <v>2839</v>
      </c>
      <c r="N727" s="140" t="s">
        <v>25</v>
      </c>
      <c r="O727" s="140" t="s">
        <v>449</v>
      </c>
      <c r="P727" s="140" t="s">
        <v>1588</v>
      </c>
    </row>
    <row r="728" s="61" customFormat="1" ht="30" customHeight="1" outlineLevel="1" spans="1:16">
      <c r="A728" s="159"/>
      <c r="B728" s="160"/>
      <c r="C728" s="161"/>
      <c r="D728" s="161"/>
      <c r="E728" s="160"/>
      <c r="F728" s="97" t="s">
        <v>2395</v>
      </c>
      <c r="G728" s="29" t="s">
        <v>2396</v>
      </c>
      <c r="H728" s="132" t="s">
        <v>2868</v>
      </c>
      <c r="I728" s="97" t="s">
        <v>302</v>
      </c>
      <c r="J728" s="29" t="str">
        <f>INDEX(数据元说明!A:F,MATCH(I728,数据元说明!C:C,0),2)</f>
        <v>001005</v>
      </c>
      <c r="K728" s="98" t="str">
        <f>INDEX(数据元说明!A:F,MATCH(I728,数据元说明!C:C,0),5)</f>
        <v>YYYYMMDD，默认值99991231。</v>
      </c>
      <c r="L728" s="29" t="str">
        <f>INDEX(数据元说明!A:F,MATCH(I728,数据元说明!C:C,0),6)</f>
        <v>C8</v>
      </c>
      <c r="M728" s="98" t="s">
        <v>2398</v>
      </c>
      <c r="N728" s="220"/>
      <c r="O728" s="220"/>
      <c r="P728" s="220"/>
    </row>
    <row r="729" s="61" customFormat="1" ht="30" customHeight="1" outlineLevel="1" spans="1:16">
      <c r="A729" s="159"/>
      <c r="B729" s="160"/>
      <c r="C729" s="161"/>
      <c r="D729" s="161"/>
      <c r="E729" s="160"/>
      <c r="F729" s="97" t="s">
        <v>2399</v>
      </c>
      <c r="G729" s="29" t="s">
        <v>2400</v>
      </c>
      <c r="H729" s="132" t="s">
        <v>2869</v>
      </c>
      <c r="I729" s="97" t="s">
        <v>312</v>
      </c>
      <c r="J729" s="29" t="str">
        <f>INDEX(数据元说明!A:F,MATCH(I729,数据元说明!C:C,0),2)</f>
        <v>001007</v>
      </c>
      <c r="K729" s="98" t="str">
        <f>INDEX(数据元说明!A:F,MATCH(I729,数据元说明!C:C,0),5)</f>
        <v>24小时制时间，精确到秒。hhmmss，默认值000000。</v>
      </c>
      <c r="L729" s="29" t="str">
        <f>INDEX(数据元说明!A:F,MATCH(I729,数据元说明!C:C,0),6)</f>
        <v>C6</v>
      </c>
      <c r="M729" s="98" t="s">
        <v>2402</v>
      </c>
      <c r="N729" s="220"/>
      <c r="O729" s="220"/>
      <c r="P729" s="220"/>
    </row>
    <row r="730" s="81" customFormat="1" ht="30" customHeight="1" outlineLevel="1" spans="1:16">
      <c r="A730" s="167"/>
      <c r="B730" s="168"/>
      <c r="C730" s="176"/>
      <c r="D730" s="176"/>
      <c r="E730" s="168"/>
      <c r="F730" s="157" t="s">
        <v>706</v>
      </c>
      <c r="G730" s="43" t="s">
        <v>2391</v>
      </c>
      <c r="H730" s="137" t="s">
        <v>2870</v>
      </c>
      <c r="I730" s="157" t="s">
        <v>706</v>
      </c>
      <c r="J730" s="43" t="str">
        <f>INDEX(数据元说明!A:F,MATCH(I730,数据元说明!C:C,0),2)</f>
        <v>004002</v>
      </c>
      <c r="K730" s="158" t="str">
        <f>INDEX(数据元说明!A:F,MATCH(I730,数据元说明!C:C,0),5)</f>
        <v>转账，取现，存现，消费，代发，代扣，代缴，结息，批量交易，贷款发放，还款-还本，还款-还息，银证业务，投资理财，其他-银行自定义类型。无法以枚举类型填报的，以“其他-XX”报送，其中“XX”为银行自定义类型。</v>
      </c>
      <c r="L730" s="43" t="str">
        <f>INDEX(数据元说明!A:F,MATCH(I730,数据元说明!C:C,0),6)</f>
        <v>C..60</v>
      </c>
      <c r="M730" s="158"/>
      <c r="N730" s="187" t="s">
        <v>25</v>
      </c>
      <c r="O730" s="187" t="s">
        <v>275</v>
      </c>
      <c r="P730" s="140"/>
    </row>
    <row r="731" s="81" customFormat="1" ht="30" customHeight="1" outlineLevel="1" spans="1:16">
      <c r="A731" s="167"/>
      <c r="B731" s="168"/>
      <c r="C731" s="176"/>
      <c r="D731" s="176"/>
      <c r="E731" s="168"/>
      <c r="F731" s="157" t="s">
        <v>693</v>
      </c>
      <c r="G731" s="43" t="s">
        <v>2393</v>
      </c>
      <c r="H731" s="137" t="s">
        <v>2871</v>
      </c>
      <c r="I731" s="157" t="s">
        <v>693</v>
      </c>
      <c r="J731" s="43" t="str">
        <f>INDEX(数据元说明!A:F,MATCH(I731,数据元说明!C:C,0),2)</f>
        <v>003031</v>
      </c>
      <c r="K731" s="158" t="str">
        <f>INDEX(数据元说明!A:F,MATCH(I731,数据元说明!C:C,0),5)</f>
        <v>借，贷。</v>
      </c>
      <c r="L731" s="43" t="str">
        <f>INDEX(数据元说明!A:F,MATCH(I731,数据元说明!C:C,0),6)</f>
        <v>C3</v>
      </c>
      <c r="M731" s="158"/>
      <c r="N731" s="140" t="s">
        <v>25</v>
      </c>
      <c r="O731" s="139" t="s">
        <v>280</v>
      </c>
      <c r="P731" s="140"/>
    </row>
    <row r="732" s="61" customFormat="1" ht="30" customHeight="1" outlineLevel="1" spans="1:16">
      <c r="A732" s="130"/>
      <c r="B732" s="36"/>
      <c r="C732" s="25"/>
      <c r="D732" s="25"/>
      <c r="E732" s="36"/>
      <c r="F732" s="131" t="s">
        <v>624</v>
      </c>
      <c r="G732" s="31" t="s">
        <v>1989</v>
      </c>
      <c r="H732" s="132" t="s">
        <v>2872</v>
      </c>
      <c r="I732" s="131" t="s">
        <v>624</v>
      </c>
      <c r="J732" s="31" t="str">
        <f>INDEX(数据元说明!A:F,MATCH(I732,数据元说明!C:C,0),2)</f>
        <v>003014</v>
      </c>
      <c r="K732" s="133" t="str">
        <f>INDEX(数据元说明!A:F,MATCH(I732,数据元说明!C:C,0),5)</f>
        <v>遵循《GB/T 12406 表示货币和资金的代码》的字母代码，如CNY。上述文件所列币种无法涵盖的，允许银行自定义填报。多个币种合计折算为人民币（本外币合计）的，填报为BWB。</v>
      </c>
      <c r="L732" s="31" t="str">
        <f>INDEX(数据元说明!A:F,MATCH(I732,数据元说明!C:C,0),6)</f>
        <v>C3</v>
      </c>
      <c r="M732" s="133"/>
      <c r="N732" s="33" t="s">
        <v>25</v>
      </c>
      <c r="O732" s="99"/>
      <c r="P732" s="33" t="s">
        <v>1588</v>
      </c>
    </row>
    <row r="733" s="81" customFormat="1" ht="30" customHeight="1" outlineLevel="1" spans="1:16">
      <c r="A733" s="167"/>
      <c r="B733" s="168"/>
      <c r="C733" s="176"/>
      <c r="D733" s="176"/>
      <c r="E733" s="168"/>
      <c r="F733" s="157" t="s">
        <v>2404</v>
      </c>
      <c r="G733" s="43" t="s">
        <v>2405</v>
      </c>
      <c r="H733" s="137" t="s">
        <v>2873</v>
      </c>
      <c r="I733" s="157" t="s">
        <v>609</v>
      </c>
      <c r="J733" s="43" t="str">
        <f>INDEX(数据元说明!A:F,MATCH(I733,数据元说明!C:C,0),2)</f>
        <v>003010</v>
      </c>
      <c r="K733" s="158" t="str">
        <f>INDEX(数据元说明!A:F,MATCH(I733,数据元说明!C:C,0),5)</f>
        <v>与币种相对应金额。</v>
      </c>
      <c r="L733" s="43" t="str">
        <f>INDEX(数据元说明!A:F,MATCH(I733,数据元说明!C:C,0),6)</f>
        <v>D20.2</v>
      </c>
      <c r="M733" s="162" t="s">
        <v>2808</v>
      </c>
      <c r="N733" s="140" t="s">
        <v>25</v>
      </c>
      <c r="O733" s="140" t="s">
        <v>449</v>
      </c>
      <c r="P733" s="140"/>
    </row>
    <row r="734" s="81" customFormat="1" ht="30" customHeight="1" outlineLevel="1" spans="1:16">
      <c r="A734" s="167"/>
      <c r="B734" s="168"/>
      <c r="C734" s="176"/>
      <c r="D734" s="176"/>
      <c r="E734" s="168"/>
      <c r="F734" s="157" t="s">
        <v>2407</v>
      </c>
      <c r="G734" s="43" t="s">
        <v>2408</v>
      </c>
      <c r="H734" s="137" t="s">
        <v>2874</v>
      </c>
      <c r="I734" s="157" t="s">
        <v>613</v>
      </c>
      <c r="J734" s="43" t="str">
        <f>INDEX(数据元说明!A:F,MATCH(I734,数据元说明!C:C,0),2)</f>
        <v>003011</v>
      </c>
      <c r="K734" s="158" t="str">
        <f>INDEX(数据元说明!A:F,MATCH(I734,数据元说明!C:C,0),5)</f>
        <v>与币种相对应金额。</v>
      </c>
      <c r="L734" s="43" t="str">
        <f>INDEX(数据元说明!A:F,MATCH(I734,数据元说明!C:C,0),6)</f>
        <v>D20.2</v>
      </c>
      <c r="M734" s="158" t="s">
        <v>2810</v>
      </c>
      <c r="N734" s="140" t="s">
        <v>25</v>
      </c>
      <c r="O734" s="140" t="s">
        <v>449</v>
      </c>
      <c r="P734" s="140"/>
    </row>
    <row r="735" s="81" customFormat="1" ht="30" customHeight="1" outlineLevel="1" spans="1:16">
      <c r="A735" s="167"/>
      <c r="B735" s="168"/>
      <c r="C735" s="176"/>
      <c r="D735" s="176"/>
      <c r="E735" s="168"/>
      <c r="F735" s="157" t="s">
        <v>2411</v>
      </c>
      <c r="G735" s="43" t="s">
        <v>2412</v>
      </c>
      <c r="H735" s="137" t="s">
        <v>2875</v>
      </c>
      <c r="I735" s="157" t="s">
        <v>697</v>
      </c>
      <c r="J735" s="43" t="str">
        <f>INDEX(数据元说明!A:F,MATCH(I735,数据元说明!C:C,0),2)</f>
        <v>003032</v>
      </c>
      <c r="K735" s="158" t="str">
        <f>INDEX(数据元说明!A:F,MATCH(I735,数据元说明!C:C,0),5)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735" s="43" t="str">
        <f>INDEX(数据元说明!A:F,MATCH(I735,数据元说明!C:C,0),6)</f>
        <v>C..60</v>
      </c>
      <c r="M735" s="158" t="s">
        <v>2522</v>
      </c>
      <c r="N735" s="140" t="s">
        <v>25</v>
      </c>
      <c r="O735" s="140" t="s">
        <v>449</v>
      </c>
      <c r="P735" s="140"/>
    </row>
    <row r="736" s="81" customFormat="1" ht="30" customHeight="1" outlineLevel="1" spans="1:16">
      <c r="A736" s="167"/>
      <c r="B736" s="168"/>
      <c r="C736" s="176"/>
      <c r="D736" s="176"/>
      <c r="E736" s="168"/>
      <c r="F736" s="157" t="s">
        <v>2415</v>
      </c>
      <c r="G736" s="43" t="s">
        <v>2416</v>
      </c>
      <c r="H736" s="137" t="s">
        <v>2876</v>
      </c>
      <c r="I736" s="157" t="s">
        <v>628</v>
      </c>
      <c r="J736" s="43" t="str">
        <f>INDEX(数据元说明!A:F,MATCH(I736,数据元说明!C:C,0),2)</f>
        <v>003015</v>
      </c>
      <c r="K736" s="158" t="str">
        <f>INDEX(数据元说明!A:F,MATCH(I736,数据元说明!C:C,0),5)</f>
        <v>账户归属者的名称。如果客户为个人，则为隐私，银行机构变形，变形规则见《采集技术接口说明》。客户是境内涉密机构的，账户名称填报为“*********”。其他情况，则为非隐私，不做变形。</v>
      </c>
      <c r="L736" s="43" t="str">
        <f>INDEX(数据元说明!A:F,MATCH(I736,数据元说明!C:C,0),6)</f>
        <v>C..400</v>
      </c>
      <c r="M736" s="158" t="s">
        <v>2723</v>
      </c>
      <c r="N736" s="139" t="s">
        <v>25</v>
      </c>
      <c r="O736" s="139" t="s">
        <v>1613</v>
      </c>
      <c r="P736" s="139"/>
    </row>
    <row r="737" s="81" customFormat="1" ht="30" customHeight="1" outlineLevel="1" spans="1:16">
      <c r="A737" s="167"/>
      <c r="B737" s="168"/>
      <c r="C737" s="176"/>
      <c r="D737" s="176"/>
      <c r="E737" s="168"/>
      <c r="F737" s="157" t="s">
        <v>2419</v>
      </c>
      <c r="G737" s="43" t="s">
        <v>2420</v>
      </c>
      <c r="H737" s="137" t="s">
        <v>2877</v>
      </c>
      <c r="I737" s="157" t="s">
        <v>325</v>
      </c>
      <c r="J737" s="43" t="str">
        <f>INDEX(数据元说明!A:F,MATCH(I737,数据元说明!C:C,0),2)</f>
        <v>001010</v>
      </c>
      <c r="K737" s="158" t="str">
        <f>INDEX(数据元说明!A:F,MATCH(I737,数据元说明!C:C,0),5)</f>
        <v>12位人行支付行号或SWIFT行号。</v>
      </c>
      <c r="L737" s="43" t="str">
        <f>INDEX(数据元说明!A:F,MATCH(I737,数据元说明!C:C,0),6)</f>
        <v>C..30</v>
      </c>
      <c r="M737" s="222" t="s">
        <v>2422</v>
      </c>
      <c r="N737" s="221" t="s">
        <v>25</v>
      </c>
      <c r="O737" s="221" t="s">
        <v>449</v>
      </c>
      <c r="P737" s="221"/>
    </row>
    <row r="738" s="81" customFormat="1" ht="30" customHeight="1" outlineLevel="1" spans="1:16">
      <c r="A738" s="167"/>
      <c r="B738" s="168"/>
      <c r="C738" s="176"/>
      <c r="D738" s="176"/>
      <c r="E738" s="168"/>
      <c r="F738" s="157" t="s">
        <v>2423</v>
      </c>
      <c r="G738" s="43" t="s">
        <v>2424</v>
      </c>
      <c r="H738" s="137" t="s">
        <v>2878</v>
      </c>
      <c r="I738" s="157" t="s">
        <v>282</v>
      </c>
      <c r="J738" s="43" t="str">
        <f>INDEX(数据元说明!A:F,MATCH(I738,数据元说明!C:C,0),2)</f>
        <v>001001</v>
      </c>
      <c r="K738" s="158" t="str">
        <f>INDEX(数据元说明!A:F,MATCH(I738,数据元说明!C:C,0),5)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738" s="43" t="str">
        <f>INDEX(数据元说明!A:F,MATCH(I738,数据元说明!C:C,0),6)</f>
        <v>C..400</v>
      </c>
      <c r="M738" s="222" t="s">
        <v>2879</v>
      </c>
      <c r="N738" s="221" t="s">
        <v>25</v>
      </c>
      <c r="O738" s="221" t="s">
        <v>1673</v>
      </c>
      <c r="P738" s="221"/>
    </row>
    <row r="739" s="81" customFormat="1" ht="30" customHeight="1" outlineLevel="1" spans="1:16">
      <c r="A739" s="134"/>
      <c r="B739" s="47"/>
      <c r="C739" s="39"/>
      <c r="D739" s="39"/>
      <c r="E739" s="47"/>
      <c r="F739" s="135" t="s">
        <v>718</v>
      </c>
      <c r="G739" s="136" t="s">
        <v>1779</v>
      </c>
      <c r="H739" s="137" t="s">
        <v>2880</v>
      </c>
      <c r="I739" s="135" t="s">
        <v>718</v>
      </c>
      <c r="J739" s="136" t="str">
        <f>INDEX(数据元说明!A:F,MATCH(I739,数据元说明!C:C,0),2)</f>
        <v>004005</v>
      </c>
      <c r="K739" s="138" t="str">
        <f>INDEX(数据元说明!A:F,MATCH(I739,数据元说明!C:C,0),5)</f>
        <v>银行自定义交易内容的简要描述。可以是转账凭证上的备注、附言。</v>
      </c>
      <c r="L739" s="136" t="str">
        <f>INDEX(数据元说明!A:F,MATCH(I739,数据元说明!C:C,0),6)</f>
        <v>C..400</v>
      </c>
      <c r="M739" s="138"/>
      <c r="N739" s="140" t="s">
        <v>25</v>
      </c>
      <c r="O739" s="140" t="s">
        <v>275</v>
      </c>
      <c r="P739" s="140" t="s">
        <v>1588</v>
      </c>
    </row>
    <row r="740" s="81" customFormat="1" ht="30" customHeight="1" outlineLevel="1" spans="1:16">
      <c r="A740" s="134"/>
      <c r="B740" s="47"/>
      <c r="C740" s="39"/>
      <c r="D740" s="39"/>
      <c r="E740" s="47"/>
      <c r="F740" s="135" t="s">
        <v>710</v>
      </c>
      <c r="G740" s="136" t="s">
        <v>2434</v>
      </c>
      <c r="H740" s="137" t="s">
        <v>2881</v>
      </c>
      <c r="I740" s="135" t="s">
        <v>710</v>
      </c>
      <c r="J740" s="136" t="str">
        <f>INDEX(数据元说明!A:F,MATCH(I740,数据元说明!C:C,0),2)</f>
        <v>004003</v>
      </c>
      <c r="K740" s="138" t="str">
        <f>INDEX(数据元说明!A:F,MATCH(I740,数据元说明!C:C,0),5)</f>
        <v>柜面，ATM，VTM，POS，网银，手机银行，银联交易，三方支付-银行自定义，其他-银行自定义。交易类型为三方支付的，以“三方支付-XX”填报，其中“XX”为第三方支付平台名称。如无法以枚举类型填报，则以“其他-XX”填报，其中“XX”为银行自定义类型。</v>
      </c>
      <c r="L740" s="136" t="str">
        <f>INDEX(数据元说明!A:F,MATCH(I740,数据元说明!C:C,0),6)</f>
        <v>C..60</v>
      </c>
      <c r="M740" s="162" t="s">
        <v>2436</v>
      </c>
      <c r="N740" s="140" t="s">
        <v>25</v>
      </c>
      <c r="O740" s="139" t="s">
        <v>275</v>
      </c>
      <c r="P740" s="140" t="s">
        <v>1606</v>
      </c>
    </row>
    <row r="741" s="61" customFormat="1" ht="30" customHeight="1" outlineLevel="1" spans="1:16">
      <c r="A741" s="130"/>
      <c r="B741" s="36"/>
      <c r="C741" s="25"/>
      <c r="D741" s="25"/>
      <c r="E741" s="36"/>
      <c r="F741" s="131" t="s">
        <v>722</v>
      </c>
      <c r="G741" s="31" t="s">
        <v>2428</v>
      </c>
      <c r="H741" s="132" t="s">
        <v>2882</v>
      </c>
      <c r="I741" s="131" t="s">
        <v>722</v>
      </c>
      <c r="J741" s="31" t="str">
        <f>INDEX(数据元说明!A:F,MATCH(I741,数据元说明!C:C,0),2)</f>
        <v>004006</v>
      </c>
      <c r="K741" s="133" t="str">
        <f>INDEX(数据元说明!A:F,MATCH(I741,数据元说明!C:C,0),5)</f>
        <v>正常，冲补抹。</v>
      </c>
      <c r="L741" s="31" t="str">
        <f>INDEX(数据元说明!A:F,MATCH(I741,数据元说明!C:C,0),6)</f>
        <v>C..9</v>
      </c>
      <c r="M741" s="133" t="s">
        <v>2430</v>
      </c>
      <c r="N741" s="99"/>
      <c r="O741" s="99"/>
      <c r="P741" s="99"/>
    </row>
    <row r="742" s="61" customFormat="1" ht="30" customHeight="1" outlineLevel="1" spans="1:16">
      <c r="A742" s="130"/>
      <c r="B742" s="36"/>
      <c r="C742" s="25"/>
      <c r="D742" s="25"/>
      <c r="E742" s="36"/>
      <c r="F742" s="131" t="s">
        <v>2456</v>
      </c>
      <c r="G742" s="31" t="s">
        <v>2457</v>
      </c>
      <c r="H742" s="132" t="s">
        <v>2883</v>
      </c>
      <c r="I742" s="131" t="s">
        <v>368</v>
      </c>
      <c r="J742" s="31" t="str">
        <f>INDEX(数据元说明!A:F,MATCH(I742,数据元说明!C:C,0),2)</f>
        <v>001021</v>
      </c>
      <c r="K742" s="133" t="str">
        <f>INDEX(数据元说明!A:F,MATCH(I742,数据元说明!C:C,0),5)</f>
        <v>柜员编号，银行自定义。</v>
      </c>
      <c r="L742" s="31" t="str">
        <f>INDEX(数据元说明!A:F,MATCH(I742,数据元说明!C:C,0),6)</f>
        <v>C..30</v>
      </c>
      <c r="M742" s="163" t="s">
        <v>2151</v>
      </c>
      <c r="N742" s="99"/>
      <c r="O742" s="99"/>
      <c r="P742" s="99"/>
    </row>
    <row r="743" s="81" customFormat="1" ht="30" customHeight="1" outlineLevel="1" spans="1:16">
      <c r="A743" s="134"/>
      <c r="B743" s="47"/>
      <c r="C743" s="39"/>
      <c r="D743" s="39"/>
      <c r="E743" s="47"/>
      <c r="F743" s="135" t="s">
        <v>2459</v>
      </c>
      <c r="G743" s="136" t="s">
        <v>2460</v>
      </c>
      <c r="H743" s="137" t="s">
        <v>2884</v>
      </c>
      <c r="I743" s="135" t="s">
        <v>368</v>
      </c>
      <c r="J743" s="136" t="str">
        <f>INDEX(数据元说明!A:F,MATCH(I743,数据元说明!C:C,0),2)</f>
        <v>001021</v>
      </c>
      <c r="K743" s="138" t="str">
        <f>INDEX(数据元说明!A:F,MATCH(I743,数据元说明!C:C,0),5)</f>
        <v>柜员编号，银行自定义。</v>
      </c>
      <c r="L743" s="136" t="str">
        <f>INDEX(数据元说明!A:F,MATCH(I743,数据元说明!C:C,0),6)</f>
        <v>C..30</v>
      </c>
      <c r="M743" s="224" t="s">
        <v>2462</v>
      </c>
      <c r="N743" s="139" t="s">
        <v>25</v>
      </c>
      <c r="O743" s="139" t="s">
        <v>449</v>
      </c>
      <c r="P743" s="139"/>
    </row>
    <row r="744" s="81" customFormat="1" ht="30" customHeight="1" outlineLevel="1" spans="1:16">
      <c r="A744" s="134"/>
      <c r="B744" s="47"/>
      <c r="C744" s="39"/>
      <c r="D744" s="39"/>
      <c r="E744" s="47"/>
      <c r="F744" s="135" t="s">
        <v>714</v>
      </c>
      <c r="G744" s="136" t="s">
        <v>2431</v>
      </c>
      <c r="H744" s="137" t="s">
        <v>2885</v>
      </c>
      <c r="I744" s="135" t="s">
        <v>714</v>
      </c>
      <c r="J744" s="136" t="str">
        <f>INDEX(数据元说明!A:F,MATCH(I744,数据元说明!C:C,0),2)</f>
        <v>004004</v>
      </c>
      <c r="K744" s="138" t="str">
        <f>INDEX(数据元说明!A:F,MATCH(I744,数据元说明!C:C,0),5)</f>
        <v>现，转。</v>
      </c>
      <c r="L744" s="136" t="str">
        <f>INDEX(数据元说明!A:F,MATCH(I744,数据元说明!C:C,0),6)</f>
        <v>C3</v>
      </c>
      <c r="M744" s="138" t="s">
        <v>2433</v>
      </c>
      <c r="N744" s="139" t="s">
        <v>25</v>
      </c>
      <c r="O744" s="139" t="s">
        <v>449</v>
      </c>
      <c r="P744" s="140"/>
    </row>
    <row r="745" s="82" customFormat="1" ht="71" outlineLevel="1" spans="1:16">
      <c r="A745" s="144"/>
      <c r="B745" s="145"/>
      <c r="C745" s="146"/>
      <c r="D745" s="146"/>
      <c r="E745" s="145"/>
      <c r="F745" s="147" t="s">
        <v>449</v>
      </c>
      <c r="G745" s="148" t="s">
        <v>1571</v>
      </c>
      <c r="H745" s="148" t="s">
        <v>2886</v>
      </c>
      <c r="I745" s="147" t="s">
        <v>449</v>
      </c>
      <c r="J745" s="148" t="str">
        <f>INDEX(数据元说明!A:F,MATCH(I745,数据元说明!C:C,0),2)</f>
        <v>001040</v>
      </c>
      <c r="K745" s="149" t="str">
        <f>INDEX(数据元说明!A:F,MATCH(I745,数据元说明!C:C,0),5)</f>
        <v>银行自定义。</v>
      </c>
      <c r="L745" s="148" t="str">
        <f>INDEX(数据元说明!A:F,MATCH(I745,数据元说明!C:C,0),6)</f>
        <v>C..600</v>
      </c>
      <c r="M745" s="149" t="s">
        <v>1573</v>
      </c>
      <c r="N745" s="143" t="s">
        <v>57</v>
      </c>
      <c r="O745" s="151"/>
      <c r="P745" s="151"/>
    </row>
    <row r="746" s="61" customFormat="1" ht="30" customHeight="1" outlineLevel="1" spans="1:16">
      <c r="A746" s="130"/>
      <c r="B746" s="36"/>
      <c r="C746" s="25"/>
      <c r="D746" s="25"/>
      <c r="E746" s="36"/>
      <c r="F746" s="131" t="s">
        <v>1574</v>
      </c>
      <c r="G746" s="31" t="s">
        <v>1575</v>
      </c>
      <c r="H746" s="132" t="s">
        <v>2887</v>
      </c>
      <c r="I746" s="131" t="s">
        <v>302</v>
      </c>
      <c r="J746" s="31" t="str">
        <f>INDEX(数据元说明!A:F,MATCH(I746,数据元说明!C:C,0),2)</f>
        <v>001005</v>
      </c>
      <c r="K746" s="133" t="str">
        <f>INDEX(数据元说明!A:F,MATCH(I746,数据元说明!C:C,0),5)</f>
        <v>YYYYMMDD，默认值99991231。</v>
      </c>
      <c r="L746" s="31" t="str">
        <f>INDEX(数据元说明!A:F,MATCH(I746,数据元说明!C:C,0),6)</f>
        <v>C8</v>
      </c>
      <c r="M746" s="133" t="s">
        <v>1577</v>
      </c>
      <c r="N746" s="99"/>
      <c r="O746" s="99"/>
      <c r="P746" s="99"/>
    </row>
    <row r="747" s="61" customFormat="1" ht="30" customHeight="1" spans="1:16">
      <c r="A747" s="119" t="s">
        <v>126</v>
      </c>
      <c r="B747" s="120" t="s">
        <v>127</v>
      </c>
      <c r="C747" s="121"/>
      <c r="D747" s="121"/>
      <c r="E747" s="120"/>
      <c r="F747" s="122"/>
      <c r="G747" s="123"/>
      <c r="H747" s="174"/>
      <c r="I747" s="122"/>
      <c r="J747" s="123"/>
      <c r="K747" s="124"/>
      <c r="L747" s="123"/>
      <c r="M747" s="175"/>
      <c r="N747" s="99"/>
      <c r="O747" s="99"/>
      <c r="P747" s="99"/>
    </row>
    <row r="748" s="81" customFormat="1" ht="30" customHeight="1" spans="1:16">
      <c r="A748" s="199"/>
      <c r="B748" s="49"/>
      <c r="C748" s="37" t="s">
        <v>128</v>
      </c>
      <c r="D748" s="38" t="s">
        <v>129</v>
      </c>
      <c r="E748" s="181" t="s">
        <v>2888</v>
      </c>
      <c r="F748" s="182"/>
      <c r="G748" s="183"/>
      <c r="H748" s="181"/>
      <c r="I748" s="182"/>
      <c r="J748" s="183"/>
      <c r="K748" s="128"/>
      <c r="L748" s="183"/>
      <c r="M748" s="128" t="str">
        <f>INDEX(表结构总览!E:H,MATCH(D748,表结构总览!E:E,0),4)</f>
        <v>报送范围：按照1104报表G01_VII[1.各项贷款] - G01_VII[2.21.1信用卡] +  G01_I_2《委托贷款投向统计表》[1.委托贷款合计（非现金管理项下）]口径填报。报送个人贷款、对公贷款、票据贴现、买断式转贴现、贸易融资业务、融资租赁业务、委托贷款（非现金管理项下）对应的业务合同，以及各项垫款对应的原业务合同。委托贷款中现金管理项下委托贷款不报送，其他表外业务不报送。信用卡业务不报送。对于票据贴现和买断式转贴现，可以填报为信贷合同号=信贷借据号=票据号码；对于其他若没有对应合同号的业务，可以填报为信贷合同号=信贷借据号=业务编号。已撤销、失效、终结的合同在报送合同最后状态的次月可不再报送。</v>
      </c>
      <c r="N748" s="187" t="s">
        <v>25</v>
      </c>
      <c r="O748" s="187" t="s">
        <v>449</v>
      </c>
      <c r="P748" s="140"/>
    </row>
    <row r="749" ht="30" customHeight="1" outlineLevel="1" spans="1:16">
      <c r="A749" s="159"/>
      <c r="B749" s="160"/>
      <c r="C749" s="161"/>
      <c r="D749" s="161"/>
      <c r="E749" s="94"/>
      <c r="F749" s="97" t="s">
        <v>325</v>
      </c>
      <c r="G749" s="29" t="s">
        <v>1520</v>
      </c>
      <c r="H749" s="96" t="s">
        <v>2889</v>
      </c>
      <c r="I749" s="97" t="s">
        <v>325</v>
      </c>
      <c r="J749" s="29" t="str">
        <f>INDEX(数据元说明!A:F,MATCH(I749,数据元说明!C:C,0),2)</f>
        <v>001010</v>
      </c>
      <c r="K749" s="98" t="str">
        <f>INDEX(数据元说明!A:F,MATCH(I749,数据元说明!C:C,0),5)</f>
        <v>12位人行支付行号或SWIFT行号。</v>
      </c>
      <c r="L749" s="29" t="str">
        <f>INDEX(数据元说明!A:F,MATCH(I749,数据元说明!C:C,0),6)</f>
        <v>C..30</v>
      </c>
      <c r="M749" s="152" t="s">
        <v>1579</v>
      </c>
      <c r="N749" s="140"/>
      <c r="P749" s="99"/>
    </row>
    <row r="750" s="81" customFormat="1" ht="30" customHeight="1" outlineLevel="1" spans="1:16">
      <c r="A750" s="134"/>
      <c r="B750" s="47"/>
      <c r="C750" s="39"/>
      <c r="D750" s="39"/>
      <c r="E750" s="47"/>
      <c r="F750" s="135" t="s">
        <v>329</v>
      </c>
      <c r="G750" s="136" t="s">
        <v>1526</v>
      </c>
      <c r="H750" s="153" t="s">
        <v>2890</v>
      </c>
      <c r="I750" s="135" t="s">
        <v>329</v>
      </c>
      <c r="J750" s="136" t="str">
        <f>INDEX(数据元说明!A:F,MATCH(I750,数据元说明!C:C,0),2)</f>
        <v>001011</v>
      </c>
      <c r="K750" s="138" t="str">
        <f>INDEX(数据元说明!A:F,MATCH(I750,数据元说明!C:C,0),5)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50" s="136" t="str">
        <f>INDEX(数据元说明!A:F,MATCH(I750,数据元说明!C:C,0),6)</f>
        <v>C..30</v>
      </c>
      <c r="M750" s="128" t="s">
        <v>1528</v>
      </c>
      <c r="N750" s="129" t="s">
        <v>25</v>
      </c>
      <c r="O750" s="129" t="s">
        <v>449</v>
      </c>
      <c r="P750" s="139"/>
    </row>
    <row r="751" ht="30" customHeight="1" outlineLevel="1" spans="1:16">
      <c r="A751" s="159"/>
      <c r="B751" s="160"/>
      <c r="C751" s="161"/>
      <c r="D751" s="161"/>
      <c r="E751" s="94"/>
      <c r="F751" s="97" t="s">
        <v>333</v>
      </c>
      <c r="G751" s="29" t="s">
        <v>1523</v>
      </c>
      <c r="H751" s="96" t="s">
        <v>2891</v>
      </c>
      <c r="I751" s="97" t="s">
        <v>333</v>
      </c>
      <c r="J751" s="29" t="str">
        <f>INDEX(数据元说明!A:F,MATCH(I751,数据元说明!C:C,0),2)</f>
        <v>001012</v>
      </c>
      <c r="K751" s="98" t="str">
        <f>INDEX(数据元说明!A:F,MATCH(I751,数据元说明!C:C,0),5)</f>
        <v>银行内部机构号。应具有标识机构的唯一性。</v>
      </c>
      <c r="L751" s="29" t="str">
        <f>INDEX(数据元说明!A:F,MATCH(I751,数据元说明!C:C,0),6)</f>
        <v>C..30</v>
      </c>
      <c r="M751" s="152" t="s">
        <v>1834</v>
      </c>
      <c r="P751" s="99"/>
    </row>
    <row r="752" s="61" customFormat="1" ht="30" customHeight="1" outlineLevel="1" spans="1:16">
      <c r="A752" s="159"/>
      <c r="B752" s="160"/>
      <c r="C752" s="161"/>
      <c r="D752" s="161"/>
      <c r="E752" s="160"/>
      <c r="F752" s="97" t="s">
        <v>453</v>
      </c>
      <c r="G752" s="29" t="s">
        <v>1680</v>
      </c>
      <c r="H752" s="96" t="s">
        <v>2892</v>
      </c>
      <c r="I752" s="97" t="s">
        <v>453</v>
      </c>
      <c r="J752" s="29" t="str">
        <f>INDEX(数据元说明!A:F,MATCH(I752,数据元说明!C:C,0),2)</f>
        <v>002001</v>
      </c>
      <c r="K752" s="98" t="str">
        <f>INDEX(数据元说明!A:F,MATCH(I752,数据元说明!C:C,0),5)</f>
        <v>银行自定义的唯一识别客户的标识。供应链融资的填写供应链融资编码。</v>
      </c>
      <c r="L752" s="29" t="str">
        <f>INDEX(数据元说明!A:F,MATCH(I752,数据元说明!C:C,0),6)</f>
        <v>C..60</v>
      </c>
      <c r="M752" s="128" t="s">
        <v>1697</v>
      </c>
      <c r="N752" s="33" t="s">
        <v>25</v>
      </c>
      <c r="O752" s="99"/>
      <c r="P752" s="33" t="s">
        <v>1588</v>
      </c>
    </row>
    <row r="753" s="81" customFormat="1" ht="30" customHeight="1" outlineLevel="1" spans="1:16">
      <c r="A753" s="167"/>
      <c r="B753" s="168"/>
      <c r="C753" s="176"/>
      <c r="D753" s="176"/>
      <c r="E753" s="155"/>
      <c r="F753" s="157" t="s">
        <v>1864</v>
      </c>
      <c r="G753" s="43" t="s">
        <v>1865</v>
      </c>
      <c r="H753" s="153" t="s">
        <v>2893</v>
      </c>
      <c r="I753" s="157" t="s">
        <v>628</v>
      </c>
      <c r="J753" s="43" t="str">
        <f>INDEX(数据元说明!A:F,MATCH(I753,数据元说明!C:C,0),2)</f>
        <v>003015</v>
      </c>
      <c r="K753" s="158" t="str">
        <f>INDEX(数据元说明!A:F,MATCH(I753,数据元说明!C:C,0),5)</f>
        <v>账户归属者的名称。如果客户为个人，则为隐私，银行机构变形，变形规则见《采集技术接口说明》。客户是境内涉密机构的，账户名称填报为“*********”。其他情况，则为非隐私，不做变形。</v>
      </c>
      <c r="L753" s="43" t="str">
        <f>INDEX(数据元说明!A:F,MATCH(I753,数据元说明!C:C,0),6)</f>
        <v>C..400</v>
      </c>
      <c r="M753" s="128" t="s">
        <v>2894</v>
      </c>
      <c r="N753" s="139" t="s">
        <v>25</v>
      </c>
      <c r="O753" s="139" t="s">
        <v>1673</v>
      </c>
      <c r="P753" s="140"/>
    </row>
    <row r="754" s="61" customFormat="1" ht="30" customHeight="1" outlineLevel="1" spans="1:16">
      <c r="A754" s="93"/>
      <c r="B754" s="94"/>
      <c r="C754" s="95"/>
      <c r="D754" s="95"/>
      <c r="E754" s="94"/>
      <c r="F754" s="97" t="s">
        <v>2895</v>
      </c>
      <c r="G754" s="29" t="s">
        <v>2896</v>
      </c>
      <c r="H754" s="96" t="s">
        <v>2897</v>
      </c>
      <c r="I754" s="97" t="s">
        <v>681</v>
      </c>
      <c r="J754" s="29" t="str">
        <f>INDEX(数据元说明!A:F,MATCH(I754,数据元说明!C:C,0),2)</f>
        <v>003028</v>
      </c>
      <c r="K754" s="98" t="str">
        <f>INDEX(数据元说明!A:F,MATCH(I754,数据元说明!C:C,0),5)</f>
        <v>合同号。</v>
      </c>
      <c r="L754" s="29" t="str">
        <f>INDEX(数据元说明!A:F,MATCH(I754,数据元说明!C:C,0),6)</f>
        <v>C..100</v>
      </c>
      <c r="M754" s="128" t="s">
        <v>2898</v>
      </c>
      <c r="N754" s="33" t="s">
        <v>25</v>
      </c>
      <c r="O754" s="99"/>
      <c r="P754" s="33" t="s">
        <v>1588</v>
      </c>
    </row>
    <row r="755" s="61" customFormat="1" ht="30" customHeight="1" outlineLevel="1" spans="1:16">
      <c r="A755" s="93"/>
      <c r="B755" s="94"/>
      <c r="C755" s="95"/>
      <c r="D755" s="95"/>
      <c r="E755" s="94"/>
      <c r="F755" s="97" t="s">
        <v>2899</v>
      </c>
      <c r="G755" s="29" t="s">
        <v>2900</v>
      </c>
      <c r="H755" s="96" t="s">
        <v>2901</v>
      </c>
      <c r="I755" s="97" t="s">
        <v>681</v>
      </c>
      <c r="J755" s="29" t="str">
        <f>INDEX(数据元说明!A:F,MATCH(I755,数据元说明!C:C,0),2)</f>
        <v>003028</v>
      </c>
      <c r="K755" s="98" t="str">
        <f>INDEX(数据元说明!A:F,MATCH(I755,数据元说明!C:C,0),5)</f>
        <v>合同号。</v>
      </c>
      <c r="L755" s="29" t="str">
        <f>INDEX(数据元说明!A:F,MATCH(I755,数据元说明!C:C,0),6)</f>
        <v>C..100</v>
      </c>
      <c r="M755" s="128" t="s">
        <v>2902</v>
      </c>
      <c r="N755" s="33" t="s">
        <v>25</v>
      </c>
      <c r="O755" s="99"/>
      <c r="P755" s="33" t="s">
        <v>1588</v>
      </c>
    </row>
    <row r="756" s="81" customFormat="1" ht="30" customHeight="1" outlineLevel="1" spans="1:16">
      <c r="A756" s="167"/>
      <c r="B756" s="168"/>
      <c r="C756" s="176"/>
      <c r="D756" s="176"/>
      <c r="E756" s="155"/>
      <c r="F756" s="157" t="s">
        <v>743</v>
      </c>
      <c r="G756" s="43" t="s">
        <v>2903</v>
      </c>
      <c r="H756" s="153" t="s">
        <v>2904</v>
      </c>
      <c r="I756" s="157" t="s">
        <v>743</v>
      </c>
      <c r="J756" s="43" t="str">
        <f>INDEX(数据元说明!A:F,MATCH(I756,数据元说明!C:C,0),2)</f>
        <v>005002</v>
      </c>
      <c r="K756" s="158" t="str">
        <f>INDEX(数据元说明!A:F,MATCH(I756,数据元说明!C:C,0),5)</f>
        <v>信贷合同的中文名称，银行自定义。</v>
      </c>
      <c r="L756" s="43" t="str">
        <f>INDEX(数据元说明!A:F,MATCH(I756,数据元说明!C:C,0),6)</f>
        <v>C..200</v>
      </c>
      <c r="M756" s="128" t="s">
        <v>2905</v>
      </c>
      <c r="N756" s="187" t="s">
        <v>25</v>
      </c>
      <c r="O756" s="139" t="s">
        <v>1783</v>
      </c>
      <c r="P756" s="139"/>
    </row>
    <row r="757" ht="30" customHeight="1" outlineLevel="1" spans="1:16">
      <c r="A757" s="159"/>
      <c r="B757" s="160"/>
      <c r="C757" s="161"/>
      <c r="D757" s="161"/>
      <c r="E757" s="94"/>
      <c r="F757" s="157" t="s">
        <v>747</v>
      </c>
      <c r="G757" s="43" t="s">
        <v>2906</v>
      </c>
      <c r="H757" s="153" t="s">
        <v>2907</v>
      </c>
      <c r="I757" s="157" t="s">
        <v>747</v>
      </c>
      <c r="J757" s="43" t="str">
        <f>INDEX(数据元说明!A:F,MATCH(I757,数据元说明!C:C,0),2)</f>
        <v>005003</v>
      </c>
      <c r="K757" s="158" t="str">
        <f>INDEX(数据元说明!A:F,MATCH(I757,数据元说明!C:C,0),5)</f>
        <v>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v>
      </c>
      <c r="L757" s="43" t="str">
        <f>INDEX(数据元说明!A:F,MATCH(I757,数据元说明!C:C,0),6)</f>
        <v>C..100</v>
      </c>
      <c r="M757" s="162" t="s">
        <v>2908</v>
      </c>
      <c r="N757" s="143" t="s">
        <v>57</v>
      </c>
      <c r="O757" s="140"/>
      <c r="P757" s="140"/>
    </row>
    <row r="758" ht="30" customHeight="1" outlineLevel="1" spans="1:16">
      <c r="A758" s="159"/>
      <c r="B758" s="160"/>
      <c r="C758" s="161"/>
      <c r="D758" s="161"/>
      <c r="E758" s="94"/>
      <c r="F758" s="97" t="s">
        <v>624</v>
      </c>
      <c r="G758" s="29" t="s">
        <v>1989</v>
      </c>
      <c r="H758" s="96" t="s">
        <v>2909</v>
      </c>
      <c r="I758" s="97" t="s">
        <v>624</v>
      </c>
      <c r="J758" s="29" t="str">
        <f>INDEX(数据元说明!A:F,MATCH(I758,数据元说明!C:C,0),2)</f>
        <v>003014</v>
      </c>
      <c r="K758" s="98" t="str">
        <f>INDEX(数据元说明!A:F,MATCH(I758,数据元说明!C:C,0),5)</f>
        <v>遵循《GB/T 12406 表示货币和资金的代码》的字母代码，如CNY。上述文件所列币种无法涵盖的，允许银行自定义填报。多个币种合计折算为人民币（本外币合计）的，填报为BWB。</v>
      </c>
      <c r="L758" s="29" t="str">
        <f>INDEX(数据元说明!A:F,MATCH(I758,数据元说明!C:C,0),6)</f>
        <v>C3</v>
      </c>
      <c r="M758" s="128"/>
      <c r="P758" s="99"/>
    </row>
    <row r="759" s="81" customFormat="1" ht="30" customHeight="1" outlineLevel="1" spans="1:16">
      <c r="A759" s="167"/>
      <c r="B759" s="168"/>
      <c r="C759" s="176"/>
      <c r="D759" s="176"/>
      <c r="E759" s="155"/>
      <c r="F759" s="157" t="s">
        <v>2910</v>
      </c>
      <c r="G759" s="43" t="s">
        <v>2911</v>
      </c>
      <c r="H759" s="153" t="s">
        <v>2912</v>
      </c>
      <c r="I759" s="157" t="s">
        <v>609</v>
      </c>
      <c r="J759" s="43" t="str">
        <f>INDEX(数据元说明!A:F,MATCH(I759,数据元说明!C:C,0),2)</f>
        <v>003010</v>
      </c>
      <c r="K759" s="158" t="str">
        <f>INDEX(数据元说明!A:F,MATCH(I759,数据元说明!C:C,0),5)</f>
        <v>与币种相对应金额。</v>
      </c>
      <c r="L759" s="43" t="str">
        <f>INDEX(数据元说明!A:F,MATCH(I759,数据元说明!C:C,0),6)</f>
        <v>D20.2</v>
      </c>
      <c r="M759" s="128"/>
      <c r="N759" s="140" t="s">
        <v>25</v>
      </c>
      <c r="O759" s="139" t="s">
        <v>1513</v>
      </c>
      <c r="P759" s="140"/>
    </row>
    <row r="760" s="81" customFormat="1" ht="30" customHeight="1" outlineLevel="1" spans="1:16">
      <c r="A760" s="167"/>
      <c r="B760" s="168"/>
      <c r="C760" s="176"/>
      <c r="D760" s="176"/>
      <c r="E760" s="155"/>
      <c r="F760" s="157" t="s">
        <v>2913</v>
      </c>
      <c r="G760" s="43" t="s">
        <v>2914</v>
      </c>
      <c r="H760" s="153" t="s">
        <v>2915</v>
      </c>
      <c r="I760" s="157" t="s">
        <v>302</v>
      </c>
      <c r="J760" s="43" t="str">
        <f>INDEX(数据元说明!A:F,MATCH(I760,数据元说明!C:C,0),2)</f>
        <v>001005</v>
      </c>
      <c r="K760" s="158" t="str">
        <f>INDEX(数据元说明!A:F,MATCH(I760,数据元说明!C:C,0),5)</f>
        <v>YYYYMMDD，默认值99991231。</v>
      </c>
      <c r="L760" s="43" t="str">
        <f>INDEX(数据元说明!A:F,MATCH(I760,数据元说明!C:C,0),6)</f>
        <v>C8</v>
      </c>
      <c r="M760" s="128" t="s">
        <v>2916</v>
      </c>
      <c r="N760" s="140" t="s">
        <v>25</v>
      </c>
      <c r="O760" s="139"/>
      <c r="P760" s="139"/>
    </row>
    <row r="761" s="81" customFormat="1" ht="30" customHeight="1" outlineLevel="1" spans="1:16">
      <c r="A761" s="167"/>
      <c r="B761" s="168"/>
      <c r="C761" s="176"/>
      <c r="D761" s="176"/>
      <c r="E761" s="155"/>
      <c r="F761" s="157" t="s">
        <v>2917</v>
      </c>
      <c r="G761" s="43" t="s">
        <v>2918</v>
      </c>
      <c r="H761" s="153" t="s">
        <v>2919</v>
      </c>
      <c r="I761" s="157" t="s">
        <v>302</v>
      </c>
      <c r="J761" s="43" t="str">
        <f>INDEX(数据元说明!A:F,MATCH(I761,数据元说明!C:C,0),2)</f>
        <v>001005</v>
      </c>
      <c r="K761" s="158" t="str">
        <f>INDEX(数据元说明!A:F,MATCH(I761,数据元说明!C:C,0),5)</f>
        <v>YYYYMMDD，默认值99991231。</v>
      </c>
      <c r="L761" s="43" t="str">
        <f>INDEX(数据元说明!A:F,MATCH(I761,数据元说明!C:C,0),6)</f>
        <v>C8</v>
      </c>
      <c r="M761" s="128" t="s">
        <v>2920</v>
      </c>
      <c r="N761" s="140" t="s">
        <v>25</v>
      </c>
      <c r="O761" s="140" t="s">
        <v>449</v>
      </c>
      <c r="P761" s="140"/>
    </row>
    <row r="762" ht="30" customHeight="1" outlineLevel="1" spans="1:16">
      <c r="A762" s="159"/>
      <c r="B762" s="160"/>
      <c r="C762" s="161"/>
      <c r="D762" s="161"/>
      <c r="E762" s="94"/>
      <c r="F762" s="97" t="s">
        <v>756</v>
      </c>
      <c r="G762" s="29" t="s">
        <v>2921</v>
      </c>
      <c r="H762" s="96" t="s">
        <v>2922</v>
      </c>
      <c r="I762" s="97" t="s">
        <v>756</v>
      </c>
      <c r="J762" s="29" t="str">
        <f>INDEX(数据元说明!A:F,MATCH(I762,数据元说明!C:C,0),2)</f>
        <v>005005</v>
      </c>
      <c r="K762" s="98" t="str">
        <f>INDEX(数据元说明!A:F,MATCH(I762,数据元说明!C:C,0),5)</f>
        <v>质押（含保证金），抵押，保证，信用，其他。</v>
      </c>
      <c r="L762" s="29" t="str">
        <f>INDEX(数据元说明!A:F,MATCH(I762,数据元说明!C:C,0),6)</f>
        <v>C..30</v>
      </c>
      <c r="M762" s="128" t="s">
        <v>2923</v>
      </c>
      <c r="N762" s="140" t="s">
        <v>25</v>
      </c>
      <c r="P762" s="99"/>
    </row>
    <row r="763" s="81" customFormat="1" ht="30" customHeight="1" outlineLevel="1" spans="1:16">
      <c r="A763" s="134"/>
      <c r="B763" s="47"/>
      <c r="C763" s="39"/>
      <c r="D763" s="156"/>
      <c r="E763" s="155"/>
      <c r="F763" s="157" t="s">
        <v>2924</v>
      </c>
      <c r="G763" s="43" t="s">
        <v>2925</v>
      </c>
      <c r="H763" s="153" t="s">
        <v>2926</v>
      </c>
      <c r="I763" s="157" t="s">
        <v>764</v>
      </c>
      <c r="J763" s="43" t="str">
        <f>INDEX(数据元说明!A:F,MATCH(I763,数据元说明!C:C,0),2)</f>
        <v>005007</v>
      </c>
      <c r="K763" s="158" t="str">
        <f>INDEX(数据元说明!A:F,MATCH(I763,数据元说明!C:C,0),5)</f>
        <v>贷款使用的具体内容。</v>
      </c>
      <c r="L763" s="43" t="str">
        <f>INDEX(数据元说明!A:F,MATCH(I763,数据元说明!C:C,0),6)</f>
        <v>C..1000</v>
      </c>
      <c r="M763" s="128" t="s">
        <v>2927</v>
      </c>
      <c r="N763" s="140" t="s">
        <v>25</v>
      </c>
      <c r="O763" s="140"/>
      <c r="P763" s="140" t="s">
        <v>1606</v>
      </c>
    </row>
    <row r="764" s="81" customFormat="1" ht="30" customHeight="1" outlineLevel="1" spans="1:16">
      <c r="A764" s="167"/>
      <c r="B764" s="168"/>
      <c r="C764" s="176"/>
      <c r="D764" s="176"/>
      <c r="E764" s="155"/>
      <c r="F764" s="157" t="s">
        <v>2928</v>
      </c>
      <c r="G764" s="43" t="s">
        <v>2929</v>
      </c>
      <c r="H764" s="153" t="s">
        <v>2930</v>
      </c>
      <c r="I764" s="157" t="s">
        <v>349</v>
      </c>
      <c r="J764" s="43" t="str">
        <f>INDEX(数据元说明!A:F,MATCH(I764,数据元说明!C:C,0),2)</f>
        <v>001016</v>
      </c>
      <c r="K764" s="158" t="str">
        <f>INDEX(数据元说明!A:F,MATCH(I764,数据元说明!C:C,0),5)</f>
        <v>工号，银行自定义。</v>
      </c>
      <c r="L764" s="43" t="str">
        <f>INDEX(数据元说明!A:F,MATCH(I764,数据元说明!C:C,0),6)</f>
        <v>C..30</v>
      </c>
      <c r="M764" s="128" t="s">
        <v>2931</v>
      </c>
      <c r="N764" s="140" t="s">
        <v>25</v>
      </c>
      <c r="O764" s="140" t="s">
        <v>1514</v>
      </c>
      <c r="P764" s="140"/>
    </row>
    <row r="765" s="81" customFormat="1" ht="30" customHeight="1" outlineLevel="1" spans="1:16">
      <c r="A765" s="167"/>
      <c r="B765" s="168"/>
      <c r="C765" s="176"/>
      <c r="D765" s="176"/>
      <c r="E765" s="155"/>
      <c r="F765" s="157" t="s">
        <v>914</v>
      </c>
      <c r="G765" s="43" t="s">
        <v>2932</v>
      </c>
      <c r="H765" s="153" t="s">
        <v>2933</v>
      </c>
      <c r="I765" s="157" t="s">
        <v>914</v>
      </c>
      <c r="J765" s="407" t="str">
        <f>INDEX(数据元说明!A:F,MATCH(I765,数据元说明!C:C,0),2)</f>
        <v>005045</v>
      </c>
      <c r="K765" s="158" t="str">
        <f>INDEX(数据元说明!A:F,MATCH(I765,数据元说明!C:C,0),5)</f>
        <v>未生效，有效，撤销，终结，其他-银行自定义。无法以枚举类型填报的，以“其他-XX”填报，其中“XX”为银行自定义状态。</v>
      </c>
      <c r="L765" s="43" t="str">
        <f>INDEX(数据元说明!A:F,MATCH(I765,数据元说明!C:C,0),6)</f>
        <v>C..30</v>
      </c>
      <c r="M765" s="128"/>
      <c r="N765" s="140" t="s">
        <v>57</v>
      </c>
      <c r="O765" s="140"/>
      <c r="P765" s="140"/>
    </row>
    <row r="766" s="81" customFormat="1" ht="30" customHeight="1" outlineLevel="1" spans="1:16">
      <c r="A766" s="134"/>
      <c r="B766" s="47"/>
      <c r="C766" s="39"/>
      <c r="D766" s="39"/>
      <c r="E766" s="47"/>
      <c r="F766" s="169" t="s">
        <v>449</v>
      </c>
      <c r="G766" s="148" t="s">
        <v>1571</v>
      </c>
      <c r="H766" s="148" t="s">
        <v>2934</v>
      </c>
      <c r="I766" s="169" t="s">
        <v>449</v>
      </c>
      <c r="J766" s="170" t="str">
        <f>INDEX(数据元说明!A:F,MATCH(I766,数据元说明!C:C,0),2)</f>
        <v>001040</v>
      </c>
      <c r="K766" s="171" t="str">
        <f>INDEX(数据元说明!A:F,MATCH(I766,数据元说明!C:C,0),5)</f>
        <v>银行自定义。</v>
      </c>
      <c r="L766" s="170" t="str">
        <f>INDEX(数据元说明!A:F,MATCH(I766,数据元说明!C:C,0),6)</f>
        <v>C..600</v>
      </c>
      <c r="M766" s="149" t="s">
        <v>1573</v>
      </c>
      <c r="N766" s="143" t="s">
        <v>57</v>
      </c>
      <c r="O766" s="173"/>
      <c r="P766" s="173"/>
    </row>
    <row r="767" ht="30" customHeight="1" outlineLevel="1" spans="1:16">
      <c r="E767" s="94"/>
      <c r="F767" s="97" t="s">
        <v>1574</v>
      </c>
      <c r="G767" s="29" t="s">
        <v>1575</v>
      </c>
      <c r="H767" s="96" t="s">
        <v>2935</v>
      </c>
      <c r="I767" s="97" t="s">
        <v>302</v>
      </c>
      <c r="J767" s="29" t="str">
        <f>INDEX(数据元说明!A:F,MATCH(I767,数据元说明!C:C,0),2)</f>
        <v>001005</v>
      </c>
      <c r="K767" s="98" t="str">
        <f>INDEX(数据元说明!A:F,MATCH(I767,数据元说明!C:C,0),5)</f>
        <v>YYYYMMDD，默认值99991231。</v>
      </c>
      <c r="L767" s="29" t="str">
        <f>INDEX(数据元说明!A:F,MATCH(I767,数据元说明!C:C,0),6)</f>
        <v>C8</v>
      </c>
      <c r="M767" s="152" t="s">
        <v>1577</v>
      </c>
      <c r="P767" s="99"/>
    </row>
    <row r="768" s="61" customFormat="1" ht="30" customHeight="1" spans="1:16">
      <c r="A768" s="125"/>
      <c r="B768" s="34"/>
      <c r="C768" s="19" t="s">
        <v>131</v>
      </c>
      <c r="D768" s="24" t="s">
        <v>132</v>
      </c>
      <c r="E768" s="227" t="s">
        <v>2936</v>
      </c>
      <c r="F768" s="127"/>
      <c r="G768" s="126"/>
      <c r="H768" s="227"/>
      <c r="I768" s="127"/>
      <c r="J768" s="126"/>
      <c r="K768" s="152"/>
      <c r="L768" s="126"/>
      <c r="M768" s="128" t="str">
        <f>INDEX(表结构总览!E:H,MATCH(D768,表结构总览!E:E,0),4)</f>
        <v>所有以个人名义在信贷业务中签订的借据信息。报送范围：按照1104报表G01_VII[2.21 个人贷款(不含个人经营性贷款)] + [4.个人经营性贷款] - [2.21.1信用卡] + G01_I_2《委托贷款投向统计表》[2.21个人贷款(不含个人经营性贷款)] 填报口径。委托贷款中现金管理项下委托贷款不报送，其他表外业务不报送。信用卡业务不报送。对于票据贴现和买断式转贴现，可以填报为信贷合同号=信贷借据号=票据号码；对于其他若没有对应借据号的业务，可以填报为信贷合同号=信贷借据号=业务编号。借据状态为结清、核销、转让的可在报送最后状态的次月不再报送。</v>
      </c>
      <c r="N768" s="129" t="s">
        <v>25</v>
      </c>
      <c r="O768" s="129" t="s">
        <v>449</v>
      </c>
      <c r="P768" s="33"/>
    </row>
    <row r="769" s="61" customFormat="1" ht="30" customHeight="1" outlineLevel="1" spans="1:16">
      <c r="A769" s="159"/>
      <c r="B769" s="160"/>
      <c r="C769" s="161"/>
      <c r="D769" s="161"/>
      <c r="E769" s="160"/>
      <c r="F769" s="97" t="s">
        <v>325</v>
      </c>
      <c r="G769" s="29" t="s">
        <v>1520</v>
      </c>
      <c r="H769" s="228" t="s">
        <v>2937</v>
      </c>
      <c r="I769" s="97" t="s">
        <v>325</v>
      </c>
      <c r="J769" s="29" t="str">
        <f>INDEX(数据元说明!A:F,MATCH(I769,数据元说明!C:C,0),2)</f>
        <v>001010</v>
      </c>
      <c r="K769" s="98" t="str">
        <f>INDEX(数据元说明!A:F,MATCH(I769,数据元说明!C:C,0),5)</f>
        <v>12位人行支付行号或SWIFT行号。</v>
      </c>
      <c r="L769" s="29" t="str">
        <f>INDEX(数据元说明!A:F,MATCH(I769,数据元说明!C:C,0),6)</f>
        <v>C..30</v>
      </c>
      <c r="M769" s="98" t="s">
        <v>1579</v>
      </c>
      <c r="N769" s="33" t="s">
        <v>25</v>
      </c>
      <c r="O769" s="99"/>
      <c r="P769" s="33" t="s">
        <v>1588</v>
      </c>
    </row>
    <row r="770" s="81" customFormat="1" ht="30" customHeight="1" outlineLevel="1" spans="1:16">
      <c r="A770" s="134"/>
      <c r="B770" s="47"/>
      <c r="C770" s="39"/>
      <c r="D770" s="39"/>
      <c r="E770" s="47"/>
      <c r="F770" s="135" t="s">
        <v>329</v>
      </c>
      <c r="G770" s="136" t="s">
        <v>1526</v>
      </c>
      <c r="H770" s="229" t="s">
        <v>2938</v>
      </c>
      <c r="I770" s="135" t="s">
        <v>329</v>
      </c>
      <c r="J770" s="136" t="str">
        <f>INDEX(数据元说明!A:F,MATCH(I770,数据元说明!C:C,0),2)</f>
        <v>001011</v>
      </c>
      <c r="K770" s="138" t="str">
        <f>INDEX(数据元说明!A:F,MATCH(I770,数据元说明!C:C,0),5)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770" s="136" t="str">
        <f>INDEX(数据元说明!A:F,MATCH(I770,数据元说明!C:C,0),6)</f>
        <v>C..30</v>
      </c>
      <c r="M770" s="138" t="s">
        <v>1528</v>
      </c>
      <c r="N770" s="139" t="s">
        <v>25</v>
      </c>
      <c r="O770" s="139" t="s">
        <v>449</v>
      </c>
      <c r="P770" s="139"/>
    </row>
    <row r="771" s="61" customFormat="1" ht="30" customHeight="1" outlineLevel="1" spans="1:16">
      <c r="A771" s="159"/>
      <c r="B771" s="160"/>
      <c r="C771" s="161"/>
      <c r="D771" s="161"/>
      <c r="E771" s="160"/>
      <c r="F771" s="97" t="s">
        <v>333</v>
      </c>
      <c r="G771" s="29" t="s">
        <v>1523</v>
      </c>
      <c r="H771" s="228" t="s">
        <v>2939</v>
      </c>
      <c r="I771" s="97" t="s">
        <v>333</v>
      </c>
      <c r="J771" s="29" t="str">
        <f>INDEX(数据元说明!A:F,MATCH(I771,数据元说明!C:C,0),2)</f>
        <v>001012</v>
      </c>
      <c r="K771" s="98" t="str">
        <f>INDEX(数据元说明!A:F,MATCH(I771,数据元说明!C:C,0),5)</f>
        <v>银行内部机构号。应具有标识机构的唯一性。</v>
      </c>
      <c r="L771" s="29" t="str">
        <f>INDEX(数据元说明!A:F,MATCH(I771,数据元说明!C:C,0),6)</f>
        <v>C..30</v>
      </c>
      <c r="M771" s="98" t="s">
        <v>1834</v>
      </c>
      <c r="N771" s="33" t="s">
        <v>25</v>
      </c>
      <c r="O771" s="99"/>
      <c r="P771" s="33" t="s">
        <v>1588</v>
      </c>
    </row>
    <row r="772" s="81" customFormat="1" ht="30" customHeight="1" outlineLevel="1" spans="1:16">
      <c r="A772" s="167"/>
      <c r="B772" s="168"/>
      <c r="C772" s="176"/>
      <c r="D772" s="176"/>
      <c r="E772" s="168"/>
      <c r="F772" s="157" t="s">
        <v>1532</v>
      </c>
      <c r="G772" s="43" t="s">
        <v>1533</v>
      </c>
      <c r="H772" s="229" t="s">
        <v>2940</v>
      </c>
      <c r="I772" s="157" t="s">
        <v>282</v>
      </c>
      <c r="J772" s="43" t="str">
        <f>INDEX(数据元说明!A:F,MATCH(I772,数据元说明!C:C,0),2)</f>
        <v>001001</v>
      </c>
      <c r="K772" s="158" t="str">
        <f>INDEX(数据元说明!A:F,MATCH(I772,数据元说明!C:C,0),5)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772" s="43" t="str">
        <f>INDEX(数据元说明!A:F,MATCH(I772,数据元说明!C:C,0),6)</f>
        <v>C..400</v>
      </c>
      <c r="M772" s="158" t="s">
        <v>1584</v>
      </c>
      <c r="N772" s="139" t="s">
        <v>25</v>
      </c>
      <c r="O772" s="139" t="s">
        <v>280</v>
      </c>
      <c r="P772" s="140" t="s">
        <v>1588</v>
      </c>
    </row>
    <row r="773" s="81" customFormat="1" ht="30" customHeight="1" outlineLevel="1" spans="1:16">
      <c r="A773" s="167"/>
      <c r="B773" s="168"/>
      <c r="C773" s="176"/>
      <c r="D773" s="176"/>
      <c r="E773" s="168"/>
      <c r="F773" s="157" t="s">
        <v>2325</v>
      </c>
      <c r="G773" s="43" t="s">
        <v>2326</v>
      </c>
      <c r="H773" s="229" t="s">
        <v>2941</v>
      </c>
      <c r="I773" s="135" t="s">
        <v>574</v>
      </c>
      <c r="J773" s="43" t="str">
        <f>INDEX(数据元说明!A:F,MATCH(I773,数据元说明!C:C,0),2)</f>
        <v>003002</v>
      </c>
      <c r="K773" s="158" t="str">
        <f>INDEX(数据元说明!A:F,MATCH(I773,数据元说明!C:C,0),5)</f>
        <v>机构实际使用的总账会计科目编码。</v>
      </c>
      <c r="L773" s="43" t="str">
        <f>INDEX(数据元说明!A:F,MATCH(I773,数据元说明!C:C,0),6)</f>
        <v>C..200</v>
      </c>
      <c r="M773" s="138" t="s">
        <v>2328</v>
      </c>
      <c r="N773" s="139" t="s">
        <v>25</v>
      </c>
      <c r="O773" s="139" t="s">
        <v>1613</v>
      </c>
      <c r="P773" s="139" t="s">
        <v>1588</v>
      </c>
    </row>
    <row r="774" s="81" customFormat="1" ht="30" customHeight="1" outlineLevel="1" spans="1:16">
      <c r="A774" s="167"/>
      <c r="B774" s="168"/>
      <c r="C774" s="176"/>
      <c r="D774" s="176"/>
      <c r="E774" s="168"/>
      <c r="F774" s="157" t="s">
        <v>2329</v>
      </c>
      <c r="G774" s="43" t="s">
        <v>2330</v>
      </c>
      <c r="H774" s="229" t="s">
        <v>2942</v>
      </c>
      <c r="I774" s="135" t="s">
        <v>578</v>
      </c>
      <c r="J774" s="43" t="str">
        <f>INDEX(数据元说明!A:F,MATCH(I774,数据元说明!C:C,0),2)</f>
        <v>003003</v>
      </c>
      <c r="K774" s="158" t="str">
        <f>INDEX(数据元说明!A:F,MATCH(I774,数据元说明!C:C,0),5)</f>
        <v>机构实际使用的总账会计科目编码对应的名称。</v>
      </c>
      <c r="L774" s="43" t="str">
        <f>INDEX(数据元说明!A:F,MATCH(I774,数据元说明!C:C,0),6)</f>
        <v>C..200</v>
      </c>
      <c r="M774" s="138" t="s">
        <v>2328</v>
      </c>
      <c r="N774" s="139" t="s">
        <v>25</v>
      </c>
      <c r="O774" s="139" t="s">
        <v>449</v>
      </c>
      <c r="P774" s="139" t="s">
        <v>1588</v>
      </c>
    </row>
    <row r="775" s="61" customFormat="1" ht="30" customHeight="1" outlineLevel="1" spans="1:16">
      <c r="A775" s="159"/>
      <c r="B775" s="160"/>
      <c r="C775" s="161"/>
      <c r="D775" s="161"/>
      <c r="E775" s="160"/>
      <c r="F775" s="97" t="s">
        <v>453</v>
      </c>
      <c r="G775" s="29" t="s">
        <v>1680</v>
      </c>
      <c r="H775" s="228" t="s">
        <v>2943</v>
      </c>
      <c r="I775" s="97" t="s">
        <v>453</v>
      </c>
      <c r="J775" s="29" t="str">
        <f>INDEX(数据元说明!A:F,MATCH(I775,数据元说明!C:C,0),2)</f>
        <v>002001</v>
      </c>
      <c r="K775" s="98" t="str">
        <f>INDEX(数据元说明!A:F,MATCH(I775,数据元说明!C:C,0),5)</f>
        <v>银行自定义的唯一识别客户的标识。供应链融资的填写供应链融资编码。</v>
      </c>
      <c r="L775" s="29" t="str">
        <f>INDEX(数据元说明!A:F,MATCH(I775,数据元说明!C:C,0),6)</f>
        <v>C..60</v>
      </c>
      <c r="M775" s="98" t="s">
        <v>2333</v>
      </c>
      <c r="N775" s="33" t="s">
        <v>25</v>
      </c>
      <c r="O775" s="99"/>
      <c r="P775" s="33" t="s">
        <v>1588</v>
      </c>
    </row>
    <row r="776" s="81" customFormat="1" ht="30" customHeight="1" outlineLevel="1" spans="1:16">
      <c r="A776" s="154"/>
      <c r="B776" s="155"/>
      <c r="C776" s="156"/>
      <c r="D776" s="156"/>
      <c r="E776" s="155"/>
      <c r="F776" s="157" t="s">
        <v>1864</v>
      </c>
      <c r="G776" s="43" t="s">
        <v>1865</v>
      </c>
      <c r="H776" s="229" t="s">
        <v>2944</v>
      </c>
      <c r="I776" s="157" t="s">
        <v>628</v>
      </c>
      <c r="J776" s="43" t="str">
        <f>INDEX(数据元说明!A:F,MATCH(I776,数据元说明!C:C,0),2)</f>
        <v>003015</v>
      </c>
      <c r="K776" s="158" t="str">
        <f>INDEX(数据元说明!A:F,MATCH(I776,数据元说明!C:C,0),5)</f>
        <v>账户归属者的名称。如果客户为个人，则为隐私，银行机构变形，变形规则见《采集技术接口说明》。客户是境内涉密机构的，账户名称填报为“*********”。其他情况，则为非隐私，不做变形。</v>
      </c>
      <c r="L776" s="43" t="str">
        <f>INDEX(数据元说明!A:F,MATCH(I776,数据元说明!C:C,0),6)</f>
        <v>C..400</v>
      </c>
      <c r="M776" s="158" t="s">
        <v>2945</v>
      </c>
      <c r="N776" s="139" t="s">
        <v>25</v>
      </c>
      <c r="O776" s="139" t="s">
        <v>1673</v>
      </c>
      <c r="P776" s="140" t="s">
        <v>1588</v>
      </c>
    </row>
    <row r="777" s="81" customFormat="1" ht="30" customHeight="1" outlineLevel="1" spans="1:16">
      <c r="A777" s="154"/>
      <c r="B777" s="155"/>
      <c r="C777" s="156"/>
      <c r="D777" s="156"/>
      <c r="E777" s="155"/>
      <c r="F777" s="157" t="s">
        <v>457</v>
      </c>
      <c r="G777" s="43" t="s">
        <v>1592</v>
      </c>
      <c r="H777" s="229" t="s">
        <v>2946</v>
      </c>
      <c r="I777" s="157" t="s">
        <v>457</v>
      </c>
      <c r="J777" s="43" t="str">
        <f>INDEX(数据元说明!A:F,MATCH(I777,数据元说明!C:C,0),2)</f>
        <v>002002</v>
      </c>
      <c r="K777" s="158" t="str">
        <f>INDEX(数据元说明!A:F,MATCH(I777,数据元说明!C:C,0),5)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777" s="43" t="str">
        <f>INDEX(数据元说明!A:F,MATCH(I777,数据元说明!C:C,0),6)</f>
        <v>C..60</v>
      </c>
      <c r="M777" s="158" t="s">
        <v>2947</v>
      </c>
      <c r="N777" s="143" t="s">
        <v>57</v>
      </c>
      <c r="O777" s="139"/>
      <c r="P777" s="140"/>
    </row>
    <row r="778" s="81" customFormat="1" ht="30" customHeight="1" outlineLevel="1" spans="1:16">
      <c r="A778" s="154"/>
      <c r="B778" s="155"/>
      <c r="C778" s="156"/>
      <c r="D778" s="156"/>
      <c r="E778" s="155"/>
      <c r="F778" s="157" t="s">
        <v>461</v>
      </c>
      <c r="G778" s="43" t="s">
        <v>1594</v>
      </c>
      <c r="H778" s="229" t="s">
        <v>2948</v>
      </c>
      <c r="I778" s="157" t="s">
        <v>461</v>
      </c>
      <c r="J778" s="43" t="str">
        <f>INDEX(数据元说明!A:F,MATCH(I778,数据元说明!C:C,0),2)</f>
        <v>002003</v>
      </c>
      <c r="K778" s="158" t="str">
        <f>INDEX(数据元说明!A:F,MATCH(I778,数据元说明!C:C,0),5)</f>
        <v>与证件类别对应的证件号码。涉及个人身份证件时需按照本规范给定规则进行脱敏处理。</v>
      </c>
      <c r="L778" s="43" t="str">
        <f>INDEX(数据元说明!A:F,MATCH(I778,数据元说明!C:C,0),6)</f>
        <v>C..70</v>
      </c>
      <c r="M778" s="158" t="s">
        <v>2949</v>
      </c>
      <c r="N778" s="143" t="s">
        <v>57</v>
      </c>
      <c r="O778" s="139"/>
      <c r="P778" s="140"/>
    </row>
    <row r="779" s="61" customFormat="1" ht="30" customHeight="1" outlineLevel="1" spans="1:16">
      <c r="A779" s="159"/>
      <c r="B779" s="160"/>
      <c r="C779" s="161"/>
      <c r="D779" s="161"/>
      <c r="E779" s="160"/>
      <c r="F779" s="97" t="s">
        <v>2895</v>
      </c>
      <c r="G779" s="29" t="s">
        <v>2896</v>
      </c>
      <c r="H779" s="228" t="s">
        <v>2950</v>
      </c>
      <c r="I779" s="97" t="s">
        <v>681</v>
      </c>
      <c r="J779" s="29" t="str">
        <f>INDEX(数据元说明!A:F,MATCH(I779,数据元说明!C:C,0),2)</f>
        <v>003028</v>
      </c>
      <c r="K779" s="98" t="str">
        <f>INDEX(数据元说明!A:F,MATCH(I779,数据元说明!C:C,0),5)</f>
        <v>合同号。</v>
      </c>
      <c r="L779" s="29" t="str">
        <f>INDEX(数据元说明!A:F,MATCH(I779,数据元说明!C:C,0),6)</f>
        <v>C..100</v>
      </c>
      <c r="M779" s="217" t="s">
        <v>2951</v>
      </c>
      <c r="N779" s="33" t="s">
        <v>25</v>
      </c>
      <c r="O779" s="99"/>
      <c r="P779" s="33" t="s">
        <v>1588</v>
      </c>
    </row>
    <row r="780" ht="30" customHeight="1" outlineLevel="1" spans="1:16">
      <c r="A780" s="159"/>
      <c r="B780" s="160"/>
      <c r="C780" s="161"/>
      <c r="D780" s="161"/>
      <c r="E780" s="160"/>
      <c r="F780" s="97" t="s">
        <v>2752</v>
      </c>
      <c r="G780" s="29" t="s">
        <v>2753</v>
      </c>
      <c r="H780" s="228" t="s">
        <v>2952</v>
      </c>
      <c r="I780" s="97" t="s">
        <v>677</v>
      </c>
      <c r="J780" s="29" t="str">
        <f>INDEX(数据元说明!A:F,MATCH(I780,数据元说明!C:C,0),2)</f>
        <v>003027</v>
      </c>
      <c r="K780" s="98" t="str">
        <f>INDEX(数据元说明!A:F,MATCH(I780,数据元说明!C:C,0),5)</f>
        <v>借据统一编号。</v>
      </c>
      <c r="L780" s="29" t="str">
        <f>INDEX(数据元说明!A:F,MATCH(I780,数据元说明!C:C,0),6)</f>
        <v>C..100</v>
      </c>
      <c r="M780" s="217" t="s">
        <v>1587</v>
      </c>
      <c r="P780" s="99"/>
    </row>
    <row r="781" s="81" customFormat="1" ht="30" customHeight="1" outlineLevel="1" spans="1:16">
      <c r="A781" s="167"/>
      <c r="B781" s="168"/>
      <c r="C781" s="156"/>
      <c r="D781" s="156"/>
      <c r="E781" s="155"/>
      <c r="F781" s="157" t="s">
        <v>2749</v>
      </c>
      <c r="G781" s="43" t="s">
        <v>2750</v>
      </c>
      <c r="H781" s="229" t="s">
        <v>2953</v>
      </c>
      <c r="I781" s="157" t="s">
        <v>570</v>
      </c>
      <c r="J781" s="43" t="str">
        <f>INDEX(数据元说明!A:F,MATCH(I781,数据元说明!C:C,0),2)</f>
        <v>003001</v>
      </c>
      <c r="K781" s="158" t="str">
        <f>INDEX(数据元说明!A:F,MATCH(I781,数据元说明!C:C,0),5)</f>
        <v>系统内最细一级的账号，无唯一性约束，不需要和序号、子序号等做拼接。</v>
      </c>
      <c r="L781" s="43" t="str">
        <f>INDEX(数据元说明!A:F,MATCH(I781,数据元说明!C:C,0),6)</f>
        <v>C..60</v>
      </c>
      <c r="M781" s="158" t="s">
        <v>2954</v>
      </c>
      <c r="N781" s="139" t="s">
        <v>25</v>
      </c>
      <c r="O781" s="139" t="s">
        <v>449</v>
      </c>
      <c r="P781" s="140"/>
    </row>
    <row r="782" s="81" customFormat="1" ht="59" customHeight="1" outlineLevel="1" spans="1:16">
      <c r="A782" s="167"/>
      <c r="B782" s="168"/>
      <c r="C782" s="176"/>
      <c r="D782" s="176"/>
      <c r="E782" s="168"/>
      <c r="F782" s="157" t="s">
        <v>747</v>
      </c>
      <c r="G782" s="43" t="s">
        <v>2906</v>
      </c>
      <c r="H782" s="229" t="s">
        <v>2955</v>
      </c>
      <c r="I782" s="157" t="s">
        <v>747</v>
      </c>
      <c r="J782" s="43" t="str">
        <f>INDEX(数据元说明!A:F,MATCH(I782,数据元说明!C:C,0),2)</f>
        <v>005003</v>
      </c>
      <c r="K782" s="158" t="str">
        <f>INDEX(数据元说明!A:F,MATCH(I782,数据元说明!C:C,0),5)</f>
        <v>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v>
      </c>
      <c r="L782" s="43" t="str">
        <f>INDEX(数据元说明!A:F,MATCH(I782,数据元说明!C:C,0),6)</f>
        <v>C..100</v>
      </c>
      <c r="M782" s="162" t="s">
        <v>2908</v>
      </c>
      <c r="N782" s="139" t="s">
        <v>25</v>
      </c>
      <c r="O782" s="139" t="s">
        <v>275</v>
      </c>
      <c r="P782" s="140"/>
    </row>
    <row r="783" ht="59" customHeight="1" outlineLevel="1" spans="1:16">
      <c r="A783" s="159"/>
      <c r="B783" s="160"/>
      <c r="C783" s="161"/>
      <c r="D783" s="161"/>
      <c r="E783" s="160"/>
      <c r="F783" s="157" t="s">
        <v>906</v>
      </c>
      <c r="G783" s="43" t="s">
        <v>2956</v>
      </c>
      <c r="H783" s="229" t="s">
        <v>2957</v>
      </c>
      <c r="I783" s="157" t="s">
        <v>906</v>
      </c>
      <c r="J783" s="407" t="str">
        <f>INDEX(数据元说明!A:F,MATCH(I783,数据元说明!C:C,0),2)</f>
        <v>005043</v>
      </c>
      <c r="K783" s="158" t="str">
        <f>INDEX(数据元说明!A:F,MATCH(I783,数据元说明!C:C,0),5)</f>
        <v>新增，无还本续贷，借新还旧，重组贷款，其他-银行自定义。无法以枚举类型填报的，以“其他-XX”填报，其中“XX”为银行自定义类型。</v>
      </c>
      <c r="L783" s="43" t="str">
        <f>INDEX(数据元说明!A:F,MATCH(I783,数据元说明!C:C,0),6)</f>
        <v>C..30</v>
      </c>
      <c r="M783" s="158" t="s">
        <v>2958</v>
      </c>
      <c r="N783" s="139" t="s">
        <v>25</v>
      </c>
      <c r="O783" s="139" t="s">
        <v>2959</v>
      </c>
      <c r="P783" s="140" t="s">
        <v>1588</v>
      </c>
    </row>
    <row r="784" ht="59" customHeight="1" outlineLevel="1" spans="1:16">
      <c r="A784" s="159"/>
      <c r="B784" s="160"/>
      <c r="C784" s="161"/>
      <c r="D784" s="161"/>
      <c r="E784" s="160"/>
      <c r="F784" s="97" t="s">
        <v>760</v>
      </c>
      <c r="G784" s="29" t="s">
        <v>2960</v>
      </c>
      <c r="H784" s="228" t="s">
        <v>2961</v>
      </c>
      <c r="I784" s="97" t="s">
        <v>760</v>
      </c>
      <c r="J784" s="29" t="str">
        <f>INDEX(数据元说明!A:F,MATCH(I784,数据元说明!C:C,0),2)</f>
        <v>005006</v>
      </c>
      <c r="K784" s="98" t="str">
        <f>INDEX(数据元说明!A:F,MATCH(I784,数据元说明!C:C,0),5)</f>
        <v>自主支付，受托支付，混合支付，其他-银行自定义。以枚举类型填报，如无法以枚举类型填报，则以“其他-XX”填报，其中“XX”为银行自定义方式。</v>
      </c>
      <c r="L784" s="29" t="str">
        <f>INDEX(数据元说明!A:F,MATCH(I784,数据元说明!C:C,0),6)</f>
        <v>C..30</v>
      </c>
      <c r="M784" s="217" t="s">
        <v>2962</v>
      </c>
      <c r="N784" s="33" t="s">
        <v>25</v>
      </c>
      <c r="P784" s="33" t="s">
        <v>1588</v>
      </c>
    </row>
    <row r="785" ht="30" customHeight="1" outlineLevel="1" spans="1:16">
      <c r="A785" s="159"/>
      <c r="B785" s="160"/>
      <c r="C785" s="161"/>
      <c r="D785" s="161"/>
      <c r="E785" s="160"/>
      <c r="F785" s="97" t="s">
        <v>624</v>
      </c>
      <c r="G785" s="29" t="s">
        <v>1989</v>
      </c>
      <c r="H785" s="228" t="s">
        <v>2963</v>
      </c>
      <c r="I785" s="97" t="s">
        <v>624</v>
      </c>
      <c r="J785" s="29" t="str">
        <f>INDEX(数据元说明!A:F,MATCH(I785,数据元说明!C:C,0),2)</f>
        <v>003014</v>
      </c>
      <c r="K785" s="98" t="str">
        <f>INDEX(数据元说明!A:F,MATCH(I785,数据元说明!C:C,0),5)</f>
        <v>遵循《GB/T 12406 表示货币和资金的代码》的字母代码，如CNY。上述文件所列币种无法涵盖的，允许银行自定义填报。多个币种合计折算为人民币（本外币合计）的，填报为BWB。</v>
      </c>
      <c r="L785" s="29" t="str">
        <f>INDEX(数据元说明!A:F,MATCH(I785,数据元说明!C:C,0),6)</f>
        <v>C3</v>
      </c>
      <c r="M785" s="217"/>
      <c r="P785" s="99"/>
    </row>
    <row r="786" s="81" customFormat="1" ht="30" customHeight="1" outlineLevel="1" spans="1:16">
      <c r="A786" s="167"/>
      <c r="B786" s="168"/>
      <c r="C786" s="176"/>
      <c r="D786" s="176"/>
      <c r="E786" s="168"/>
      <c r="F786" s="157" t="s">
        <v>2761</v>
      </c>
      <c r="G786" s="43" t="s">
        <v>2762</v>
      </c>
      <c r="H786" s="229" t="s">
        <v>2964</v>
      </c>
      <c r="I786" s="157" t="s">
        <v>609</v>
      </c>
      <c r="J786" s="43" t="str">
        <f>INDEX(数据元说明!A:F,MATCH(I786,数据元说明!C:C,0),2)</f>
        <v>003010</v>
      </c>
      <c r="K786" s="158" t="str">
        <f>INDEX(数据元说明!A:F,MATCH(I786,数据元说明!C:C,0),5)</f>
        <v>与币种相对应金额。</v>
      </c>
      <c r="L786" s="43" t="str">
        <f>INDEX(数据元说明!A:F,MATCH(I786,数据元说明!C:C,0),6)</f>
        <v>D20.2</v>
      </c>
      <c r="M786" s="138" t="s">
        <v>2764</v>
      </c>
      <c r="N786" s="140" t="s">
        <v>25</v>
      </c>
      <c r="O786" s="140"/>
      <c r="P786" s="140"/>
    </row>
    <row r="787" s="81" customFormat="1" ht="30" customHeight="1" outlineLevel="1" spans="1:16">
      <c r="A787" s="167"/>
      <c r="B787" s="168"/>
      <c r="C787" s="176"/>
      <c r="D787" s="176"/>
      <c r="E787" s="168"/>
      <c r="F787" s="157" t="s">
        <v>2765</v>
      </c>
      <c r="G787" s="43" t="s">
        <v>2766</v>
      </c>
      <c r="H787" s="229" t="s">
        <v>2965</v>
      </c>
      <c r="I787" s="157" t="s">
        <v>613</v>
      </c>
      <c r="J787" s="43" t="str">
        <f>INDEX(数据元说明!A:F,MATCH(I787,数据元说明!C:C,0),2)</f>
        <v>003011</v>
      </c>
      <c r="K787" s="158" t="str">
        <f>INDEX(数据元说明!A:F,MATCH(I787,数据元说明!C:C,0),5)</f>
        <v>与币种相对应金额。</v>
      </c>
      <c r="L787" s="43" t="str">
        <f>INDEX(数据元说明!A:F,MATCH(I787,数据元说明!C:C,0),6)</f>
        <v>D20.2</v>
      </c>
      <c r="M787" s="138" t="s">
        <v>2768</v>
      </c>
      <c r="N787" s="140" t="s">
        <v>25</v>
      </c>
      <c r="O787" s="139" t="s">
        <v>2966</v>
      </c>
      <c r="P787" s="140" t="s">
        <v>1588</v>
      </c>
    </row>
    <row r="788" s="81" customFormat="1" ht="30" customHeight="1" outlineLevel="1" spans="1:16">
      <c r="A788" s="154"/>
      <c r="B788" s="155"/>
      <c r="C788" s="156"/>
      <c r="D788" s="156"/>
      <c r="E788" s="155"/>
      <c r="F788" s="157" t="s">
        <v>685</v>
      </c>
      <c r="G788" s="43" t="s">
        <v>2967</v>
      </c>
      <c r="H788" s="229" t="s">
        <v>2968</v>
      </c>
      <c r="I788" s="157" t="s">
        <v>685</v>
      </c>
      <c r="J788" s="43" t="str">
        <f>INDEX(数据元说明!A:F,MATCH(I788,数据元说明!C:C,0),2)</f>
        <v>003029</v>
      </c>
      <c r="K788" s="158" t="str">
        <f>INDEX(数据元说明!A:F,MATCH(I788,数据元说明!C:C,0),5)</f>
        <v>正常，关注，次级，可疑，损失。</v>
      </c>
      <c r="L788" s="43" t="str">
        <f>INDEX(数据元说明!A:F,MATCH(I788,数据元说明!C:C,0),6)</f>
        <v>C6</v>
      </c>
      <c r="M788" s="224" t="s">
        <v>2969</v>
      </c>
      <c r="N788" s="139" t="s">
        <v>25</v>
      </c>
      <c r="O788" s="139" t="s">
        <v>1606</v>
      </c>
      <c r="P788" s="139" t="s">
        <v>1588</v>
      </c>
    </row>
    <row r="789" ht="30" customHeight="1" outlineLevel="1" spans="1:16">
      <c r="A789" s="159"/>
      <c r="B789" s="160"/>
      <c r="C789" s="161"/>
      <c r="D789" s="161"/>
      <c r="E789" s="160"/>
      <c r="F789" s="97" t="s">
        <v>2970</v>
      </c>
      <c r="G789" s="29" t="s">
        <v>2971</v>
      </c>
      <c r="H789" s="228" t="s">
        <v>2972</v>
      </c>
      <c r="I789" s="97" t="s">
        <v>835</v>
      </c>
      <c r="J789" s="408" t="str">
        <f>INDEX(数据元说明!A:F,MATCH(I789,数据元说明!C:C,0),2)</f>
        <v>005025</v>
      </c>
      <c r="K789" s="98" t="str">
        <f>INDEX(数据元说明!A:F,MATCH(I789,数据元说明!C:C,0),5)</f>
        <v>期数，默认值0。</v>
      </c>
      <c r="L789" s="29" t="str">
        <f>INDEX(数据元说明!A:F,MATCH(I789,数据元说明!C:C,0),6)</f>
        <v>I..4</v>
      </c>
      <c r="M789" s="98" t="s">
        <v>2973</v>
      </c>
      <c r="P789" s="99"/>
    </row>
    <row r="790" ht="30" customHeight="1" outlineLevel="1" spans="1:16">
      <c r="E790" s="94"/>
      <c r="F790" s="97" t="s">
        <v>2974</v>
      </c>
      <c r="G790" s="29" t="s">
        <v>2975</v>
      </c>
      <c r="H790" s="228" t="s">
        <v>2976</v>
      </c>
      <c r="I790" s="97" t="s">
        <v>835</v>
      </c>
      <c r="J790" s="408" t="str">
        <f>INDEX(数据元说明!A:F,MATCH(I790,数据元说明!C:C,0),2)</f>
        <v>005025</v>
      </c>
      <c r="K790" s="98" t="str">
        <f>INDEX(数据元说明!A:F,MATCH(I790,数据元说明!C:C,0),5)</f>
        <v>期数，默认值0。</v>
      </c>
      <c r="L790" s="29" t="str">
        <f>INDEX(数据元说明!A:F,MATCH(I790,数据元说明!C:C,0),6)</f>
        <v>I..4</v>
      </c>
      <c r="M790" s="98" t="s">
        <v>2977</v>
      </c>
      <c r="P790" s="99"/>
    </row>
    <row r="791" ht="30" customHeight="1" outlineLevel="1" spans="1:16">
      <c r="A791" s="159"/>
      <c r="B791" s="160"/>
      <c r="C791" s="161"/>
      <c r="D791" s="161"/>
      <c r="E791" s="160"/>
      <c r="F791" s="97" t="s">
        <v>830</v>
      </c>
      <c r="G791" s="29" t="s">
        <v>2978</v>
      </c>
      <c r="H791" s="228" t="s">
        <v>2979</v>
      </c>
      <c r="I791" s="97" t="s">
        <v>830</v>
      </c>
      <c r="J791" s="408" t="str">
        <f>INDEX(数据元说明!A:F,MATCH(I791,数据元说明!C:C,0),2)</f>
        <v>005024</v>
      </c>
      <c r="K791" s="98" t="str">
        <f>INDEX(数据元说明!A:F,MATCH(I791,数据元说明!C:C,0),5)</f>
        <v>贷款展期次数，未展期为0。</v>
      </c>
      <c r="L791" s="29" t="str">
        <f>INDEX(数据元说明!A:F,MATCH(I791,数据元说明!C:C,0),6)</f>
        <v>I..4</v>
      </c>
      <c r="M791" s="217"/>
      <c r="P791" s="99"/>
    </row>
    <row r="792" s="81" customFormat="1" ht="30" customHeight="1" outlineLevel="1" spans="1:16">
      <c r="A792" s="154"/>
      <c r="B792" s="155"/>
      <c r="C792" s="156"/>
      <c r="D792" s="156"/>
      <c r="E792" s="155"/>
      <c r="F792" s="157" t="s">
        <v>2980</v>
      </c>
      <c r="G792" s="43" t="s">
        <v>2981</v>
      </c>
      <c r="H792" s="229" t="s">
        <v>2982</v>
      </c>
      <c r="I792" s="157" t="s">
        <v>302</v>
      </c>
      <c r="J792" s="43" t="str">
        <f>INDEX(数据元说明!A:F,MATCH(I792,数据元说明!C:C,0),2)</f>
        <v>001005</v>
      </c>
      <c r="K792" s="158" t="str">
        <f>INDEX(数据元说明!A:F,MATCH(I792,数据元说明!C:C,0),5)</f>
        <v>YYYYMMDD，默认值99991231。</v>
      </c>
      <c r="L792" s="43" t="str">
        <f>INDEX(数据元说明!A:F,MATCH(I792,数据元说明!C:C,0),6)</f>
        <v>C8</v>
      </c>
      <c r="M792" s="158" t="s">
        <v>2983</v>
      </c>
      <c r="N792" s="139" t="s">
        <v>25</v>
      </c>
      <c r="O792" s="140"/>
      <c r="P792" s="140"/>
    </row>
    <row r="793" s="81" customFormat="1" ht="30" customHeight="1" outlineLevel="1" spans="1:16">
      <c r="A793" s="154"/>
      <c r="B793" s="155"/>
      <c r="C793" s="156"/>
      <c r="D793" s="156"/>
      <c r="E793" s="155"/>
      <c r="F793" s="157" t="s">
        <v>2984</v>
      </c>
      <c r="G793" s="43" t="s">
        <v>2985</v>
      </c>
      <c r="H793" s="229" t="s">
        <v>2986</v>
      </c>
      <c r="I793" s="157" t="s">
        <v>302</v>
      </c>
      <c r="J793" s="43" t="str">
        <f>INDEX(数据元说明!A:F,MATCH(I793,数据元说明!C:C,0),2)</f>
        <v>001005</v>
      </c>
      <c r="K793" s="158" t="str">
        <f>INDEX(数据元说明!A:F,MATCH(I793,数据元说明!C:C,0),5)</f>
        <v>YYYYMMDD，默认值99991231。</v>
      </c>
      <c r="L793" s="43" t="str">
        <f>INDEX(数据元说明!A:F,MATCH(I793,数据元说明!C:C,0),6)</f>
        <v>C8</v>
      </c>
      <c r="M793" s="158" t="s">
        <v>2987</v>
      </c>
      <c r="N793" s="129" t="s">
        <v>25</v>
      </c>
      <c r="O793" s="139" t="s">
        <v>449</v>
      </c>
      <c r="P793" s="140"/>
    </row>
    <row r="794" ht="30" customHeight="1" outlineLevel="1" spans="1:16">
      <c r="E794" s="94"/>
      <c r="F794" s="157" t="s">
        <v>2988</v>
      </c>
      <c r="G794" s="43" t="s">
        <v>2989</v>
      </c>
      <c r="H794" s="229" t="s">
        <v>2990</v>
      </c>
      <c r="I794" s="157" t="s">
        <v>302</v>
      </c>
      <c r="J794" s="43" t="str">
        <f>INDEX(数据元说明!A:F,MATCH(I794,数据元说明!C:C,0),2)</f>
        <v>001005</v>
      </c>
      <c r="K794" s="158" t="str">
        <f>INDEX(数据元说明!A:F,MATCH(I794,数据元说明!C:C,0),5)</f>
        <v>YYYYMMDD，默认值99991231。</v>
      </c>
      <c r="L794" s="43" t="str">
        <f>INDEX(数据元说明!A:F,MATCH(I794,数据元说明!C:C,0),6)</f>
        <v>C8</v>
      </c>
      <c r="M794" s="158" t="s">
        <v>2991</v>
      </c>
      <c r="N794" s="140" t="s">
        <v>25</v>
      </c>
      <c r="O794" s="139" t="s">
        <v>449</v>
      </c>
      <c r="P794" s="140"/>
    </row>
    <row r="795" s="81" customFormat="1" ht="30" customHeight="1" outlineLevel="1" spans="1:16">
      <c r="A795" s="134"/>
      <c r="B795" s="47"/>
      <c r="C795" s="39"/>
      <c r="D795" s="39"/>
      <c r="E795" s="47"/>
      <c r="F795" s="135" t="s">
        <v>2992</v>
      </c>
      <c r="G795" s="136" t="s">
        <v>2993</v>
      </c>
      <c r="H795" s="229" t="s">
        <v>2994</v>
      </c>
      <c r="I795" s="135" t="s">
        <v>609</v>
      </c>
      <c r="J795" s="136" t="str">
        <f>INDEX(数据元说明!A:F,MATCH(I795,数据元说明!C:C,0),2)</f>
        <v>003010</v>
      </c>
      <c r="K795" s="138" t="str">
        <f>INDEX(数据元说明!A:F,MATCH(I795,数据元说明!C:C,0),5)</f>
        <v>与币种相对应金额。</v>
      </c>
      <c r="L795" s="136" t="str">
        <f>INDEX(数据元说明!A:F,MATCH(I795,数据元说明!C:C,0),6)</f>
        <v>D20.2</v>
      </c>
      <c r="M795" s="138" t="s">
        <v>2995</v>
      </c>
      <c r="N795" s="143" t="s">
        <v>57</v>
      </c>
      <c r="O795" s="140"/>
      <c r="P795" s="140"/>
    </row>
    <row r="796" s="81" customFormat="1" ht="30" customHeight="1" outlineLevel="1" spans="1:16">
      <c r="A796" s="134"/>
      <c r="B796" s="47"/>
      <c r="C796" s="39"/>
      <c r="D796" s="39"/>
      <c r="E796" s="47"/>
      <c r="F796" s="135" t="s">
        <v>2996</v>
      </c>
      <c r="G796" s="136" t="s">
        <v>2997</v>
      </c>
      <c r="H796" s="229" t="s">
        <v>2998</v>
      </c>
      <c r="I796" s="135" t="s">
        <v>302</v>
      </c>
      <c r="J796" s="136" t="str">
        <f>INDEX(数据元说明!A:F,MATCH(I796,数据元说明!C:C,0),2)</f>
        <v>001005</v>
      </c>
      <c r="K796" s="138" t="str">
        <f>INDEX(数据元说明!A:F,MATCH(I796,数据元说明!C:C,0),5)</f>
        <v>YYYYMMDD，默认值99991231。</v>
      </c>
      <c r="L796" s="136" t="str">
        <f>INDEX(数据元说明!A:F,MATCH(I796,数据元说明!C:C,0),6)</f>
        <v>C8</v>
      </c>
      <c r="M796" s="138" t="s">
        <v>2999</v>
      </c>
      <c r="N796" s="143" t="s">
        <v>57</v>
      </c>
      <c r="O796" s="139"/>
      <c r="P796" s="140"/>
    </row>
    <row r="797" ht="30" customHeight="1" outlineLevel="1" spans="1:16">
      <c r="E797" s="94"/>
      <c r="F797" s="97" t="s">
        <v>3000</v>
      </c>
      <c r="G797" s="29" t="s">
        <v>3001</v>
      </c>
      <c r="H797" s="228" t="s">
        <v>3002</v>
      </c>
      <c r="I797" s="97" t="s">
        <v>613</v>
      </c>
      <c r="J797" s="29" t="str">
        <f>INDEX(数据元说明!A:F,MATCH(I797,数据元说明!C:C,0),2)</f>
        <v>003011</v>
      </c>
      <c r="K797" s="98" t="str">
        <f>INDEX(数据元说明!A:F,MATCH(I797,数据元说明!C:C,0),5)</f>
        <v>与币种相对应金额。</v>
      </c>
      <c r="L797" s="29" t="str">
        <f>INDEX(数据元说明!A:F,MATCH(I797,数据元说明!C:C,0),6)</f>
        <v>D20.2</v>
      </c>
      <c r="M797" s="98" t="s">
        <v>3003</v>
      </c>
      <c r="P797" s="99"/>
    </row>
    <row r="798" ht="30" customHeight="1" outlineLevel="1" spans="1:16">
      <c r="E798" s="94"/>
      <c r="F798" s="97" t="s">
        <v>3004</v>
      </c>
      <c r="G798" s="29" t="s">
        <v>3005</v>
      </c>
      <c r="H798" s="228" t="s">
        <v>3006</v>
      </c>
      <c r="I798" s="97" t="s">
        <v>613</v>
      </c>
      <c r="J798" s="29" t="str">
        <f>INDEX(数据元说明!A:F,MATCH(I798,数据元说明!C:C,0),2)</f>
        <v>003011</v>
      </c>
      <c r="K798" s="98" t="str">
        <f>INDEX(数据元说明!A:F,MATCH(I798,数据元说明!C:C,0),5)</f>
        <v>与币种相对应金额。</v>
      </c>
      <c r="L798" s="29" t="str">
        <f>INDEX(数据元说明!A:F,MATCH(I798,数据元说明!C:C,0),6)</f>
        <v>D20.2</v>
      </c>
      <c r="M798" s="98" t="s">
        <v>3007</v>
      </c>
      <c r="P798" s="99"/>
    </row>
    <row r="799" s="81" customFormat="1" ht="53" spans="1:16">
      <c r="A799" s="154"/>
      <c r="B799" s="155"/>
      <c r="C799" s="156"/>
      <c r="D799" s="156"/>
      <c r="E799" s="155"/>
      <c r="F799" s="135" t="s">
        <v>3008</v>
      </c>
      <c r="G799" s="136" t="s">
        <v>2232</v>
      </c>
      <c r="H799" s="229" t="s">
        <v>3009</v>
      </c>
      <c r="I799" s="135" t="s">
        <v>302</v>
      </c>
      <c r="J799" s="43" t="str">
        <f>INDEX(数据元说明!A:F,MATCH(I799,数据元说明!C:C,0),2)</f>
        <v>001005</v>
      </c>
      <c r="K799" s="157" t="str">
        <f>INDEX(数据元说明!A:F,MATCH(I799,数据元说明!C:C,0),5)</f>
        <v>YYYYMMDD，默认值99991231。</v>
      </c>
      <c r="L799" s="43" t="str">
        <f>INDEX(数据元说明!A:F,MATCH(I799,数据元说明!C:C,0),6)</f>
        <v>C8</v>
      </c>
      <c r="M799" s="158" t="s">
        <v>3010</v>
      </c>
      <c r="N799" s="143" t="s">
        <v>57</v>
      </c>
      <c r="O799" s="140"/>
      <c r="P799" s="205"/>
    </row>
    <row r="800" s="81" customFormat="1" ht="53" spans="1:16">
      <c r="A800" s="154"/>
      <c r="B800" s="155"/>
      <c r="C800" s="156"/>
      <c r="D800" s="156"/>
      <c r="E800" s="155"/>
      <c r="F800" s="135" t="s">
        <v>3011</v>
      </c>
      <c r="G800" s="136" t="s">
        <v>3012</v>
      </c>
      <c r="H800" s="229" t="s">
        <v>3013</v>
      </c>
      <c r="I800" s="135" t="s">
        <v>835</v>
      </c>
      <c r="J800" s="406" t="str">
        <f>INDEX(数据元说明!A:F,MATCH(I800,数据元说明!C:C,0),2)</f>
        <v>005025</v>
      </c>
      <c r="K800" s="138" t="str">
        <f>INDEX(数据元说明!A:F,MATCH(I800,数据元说明!C:C,0),5)</f>
        <v>期数，默认值0。</v>
      </c>
      <c r="L800" s="136" t="str">
        <f>INDEX(数据元说明!A:F,MATCH(I800,数据元说明!C:C,0),6)</f>
        <v>I..4</v>
      </c>
      <c r="M800" s="138" t="s">
        <v>3014</v>
      </c>
      <c r="N800" s="139" t="s">
        <v>25</v>
      </c>
      <c r="O800" s="140"/>
      <c r="P800" s="140"/>
    </row>
    <row r="801" s="81" customFormat="1" ht="36" spans="1:16">
      <c r="A801" s="154"/>
      <c r="B801" s="155"/>
      <c r="C801" s="156"/>
      <c r="D801" s="156"/>
      <c r="E801" s="155"/>
      <c r="F801" s="135" t="s">
        <v>3015</v>
      </c>
      <c r="G801" s="136" t="s">
        <v>3016</v>
      </c>
      <c r="H801" s="229" t="s">
        <v>3017</v>
      </c>
      <c r="I801" s="135" t="s">
        <v>835</v>
      </c>
      <c r="J801" s="406" t="str">
        <f>INDEX(数据元说明!A:F,MATCH(I801,数据元说明!C:C,0),2)</f>
        <v>005025</v>
      </c>
      <c r="K801" s="138" t="str">
        <f>INDEX(数据元说明!A:F,MATCH(I801,数据元说明!C:C,0),5)</f>
        <v>期数，默认值0。</v>
      </c>
      <c r="L801" s="136" t="str">
        <f>INDEX(数据元说明!A:F,MATCH(I801,数据元说明!C:C,0),6)</f>
        <v>I..4</v>
      </c>
      <c r="M801" s="224" t="s">
        <v>3018</v>
      </c>
      <c r="N801" s="140" t="s">
        <v>25</v>
      </c>
      <c r="O801" s="140" t="s">
        <v>449</v>
      </c>
      <c r="P801" s="140"/>
    </row>
    <row r="802" s="81" customFormat="1" ht="30" customHeight="1" outlineLevel="1" spans="1:16">
      <c r="A802" s="154"/>
      <c r="B802" s="155"/>
      <c r="C802" s="156"/>
      <c r="D802" s="156"/>
      <c r="E802" s="155"/>
      <c r="F802" s="157" t="s">
        <v>3019</v>
      </c>
      <c r="G802" s="43" t="s">
        <v>3020</v>
      </c>
      <c r="H802" s="229" t="s">
        <v>3021</v>
      </c>
      <c r="I802" s="157" t="s">
        <v>677</v>
      </c>
      <c r="J802" s="43" t="str">
        <f>INDEX(数据元说明!A:F,MATCH(I802,数据元说明!C:C,0),2)</f>
        <v>003027</v>
      </c>
      <c r="K802" s="158" t="str">
        <f>INDEX(数据元说明!A:F,MATCH(I802,数据元说明!C:C,0),5)</f>
        <v>借据统一编号。</v>
      </c>
      <c r="L802" s="43" t="str">
        <f>INDEX(数据元说明!A:F,MATCH(I802,数据元说明!C:C,0),6)</f>
        <v>C..100</v>
      </c>
      <c r="M802" s="158" t="s">
        <v>3022</v>
      </c>
      <c r="N802" s="143" t="s">
        <v>57</v>
      </c>
      <c r="O802" s="139"/>
      <c r="P802" s="140"/>
    </row>
    <row r="803" s="81" customFormat="1" ht="30" customHeight="1" outlineLevel="1" spans="1:16">
      <c r="A803" s="154"/>
      <c r="B803" s="155"/>
      <c r="C803" s="156"/>
      <c r="D803" s="156"/>
      <c r="E803" s="155"/>
      <c r="F803" s="157" t="s">
        <v>3023</v>
      </c>
      <c r="G803" s="43" t="s">
        <v>3024</v>
      </c>
      <c r="H803" s="229" t="s">
        <v>3025</v>
      </c>
      <c r="I803" s="157" t="s">
        <v>697</v>
      </c>
      <c r="J803" s="43" t="str">
        <f>INDEX(数据元说明!A:F,MATCH(I803,数据元说明!C:C,0),2)</f>
        <v>003032</v>
      </c>
      <c r="K803" s="158" t="str">
        <f>INDEX(数据元说明!A:F,MATCH(I803,数据元说明!C:C,0),5)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803" s="43" t="str">
        <f>INDEX(数据元说明!A:F,MATCH(I803,数据元说明!C:C,0),6)</f>
        <v>C..60</v>
      </c>
      <c r="M803" s="158" t="s">
        <v>3026</v>
      </c>
      <c r="N803" s="140" t="s">
        <v>25</v>
      </c>
      <c r="O803" s="139" t="s">
        <v>449</v>
      </c>
      <c r="P803" s="140"/>
    </row>
    <row r="804" s="81" customFormat="1" ht="30" customHeight="1" outlineLevel="1" spans="1:16">
      <c r="A804" s="154"/>
      <c r="B804" s="155"/>
      <c r="C804" s="156"/>
      <c r="D804" s="156"/>
      <c r="E804" s="155"/>
      <c r="F804" s="157" t="s">
        <v>3027</v>
      </c>
      <c r="G804" s="43" t="s">
        <v>3028</v>
      </c>
      <c r="H804" s="229" t="s">
        <v>3029</v>
      </c>
      <c r="I804" s="157" t="s">
        <v>282</v>
      </c>
      <c r="J804" s="43" t="str">
        <f>INDEX(数据元说明!A:F,MATCH(I804,数据元说明!C:C,0),2)</f>
        <v>001001</v>
      </c>
      <c r="K804" s="158" t="str">
        <f>INDEX(数据元说明!A:F,MATCH(I804,数据元说明!C:C,0),5)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04" s="43" t="str">
        <f>INDEX(数据元说明!A:F,MATCH(I804,数据元说明!C:C,0),6)</f>
        <v>C..400</v>
      </c>
      <c r="M804" s="158" t="s">
        <v>3030</v>
      </c>
      <c r="N804" s="139" t="s">
        <v>25</v>
      </c>
      <c r="O804" s="139"/>
      <c r="P804" s="140"/>
    </row>
    <row r="805" s="81" customFormat="1" ht="30" customHeight="1" outlineLevel="1" spans="1:16">
      <c r="A805" s="134"/>
      <c r="B805" s="47"/>
      <c r="C805" s="39"/>
      <c r="D805" s="39"/>
      <c r="E805" s="47"/>
      <c r="F805" s="135" t="s">
        <v>3031</v>
      </c>
      <c r="G805" s="136" t="s">
        <v>3032</v>
      </c>
      <c r="H805" s="229" t="s">
        <v>3033</v>
      </c>
      <c r="I805" s="135" t="s">
        <v>282</v>
      </c>
      <c r="J805" s="136" t="str">
        <f>INDEX(数据元说明!A:F,MATCH(I805,数据元说明!C:C,0),2)</f>
        <v>001001</v>
      </c>
      <c r="K805" s="138" t="str">
        <f>INDEX(数据元说明!A:F,MATCH(I805,数据元说明!C:C,0),5)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05" s="136" t="str">
        <f>INDEX(数据元说明!A:F,MATCH(I805,数据元说明!C:C,0),6)</f>
        <v>C..400</v>
      </c>
      <c r="M805" s="138" t="s">
        <v>3034</v>
      </c>
      <c r="N805" s="143" t="s">
        <v>57</v>
      </c>
      <c r="O805" s="140"/>
      <c r="P805" s="140"/>
    </row>
    <row r="806" s="81" customFormat="1" ht="30" customHeight="1" outlineLevel="1" spans="1:16">
      <c r="A806" s="141"/>
      <c r="B806" s="142"/>
      <c r="C806" s="177"/>
      <c r="D806" s="177"/>
      <c r="E806" s="47"/>
      <c r="F806" s="135" t="s">
        <v>1117</v>
      </c>
      <c r="G806" s="136" t="s">
        <v>3035</v>
      </c>
      <c r="H806" s="229" t="s">
        <v>3036</v>
      </c>
      <c r="I806" s="135" t="s">
        <v>1117</v>
      </c>
      <c r="J806" s="406" t="str">
        <f>INDEX(数据元说明!A:F,MATCH(I806,数据元说明!C:C,0),2)</f>
        <v>010006</v>
      </c>
      <c r="K806" s="138" t="str">
        <f>INDEX(数据元说明!A:F,MATCH(I806,数据元说明!C:C,0),5)</f>
        <v>LPR，非LPR。</v>
      </c>
      <c r="L806" s="136" t="str">
        <f>INDEX(数据元说明!A:F,MATCH(I806,数据元说明!C:C,0),6)</f>
        <v>C..6</v>
      </c>
      <c r="M806" s="138"/>
      <c r="N806" s="187" t="s">
        <v>25</v>
      </c>
      <c r="O806" s="139" t="s">
        <v>275</v>
      </c>
      <c r="P806" s="139"/>
    </row>
    <row r="807" s="81" customFormat="1" ht="30" customHeight="1" outlineLevel="1" spans="1:16">
      <c r="A807" s="141"/>
      <c r="B807" s="142"/>
      <c r="C807" s="177"/>
      <c r="D807" s="177"/>
      <c r="E807" s="47"/>
      <c r="F807" s="135" t="s">
        <v>2756</v>
      </c>
      <c r="G807" s="136" t="s">
        <v>2840</v>
      </c>
      <c r="H807" s="229" t="s">
        <v>3037</v>
      </c>
      <c r="I807" s="135" t="s">
        <v>660</v>
      </c>
      <c r="J807" s="136" t="str">
        <f>INDEX(数据元说明!A:F,MATCH(I807,数据元说明!C:C,0),2)</f>
        <v>003023</v>
      </c>
      <c r="K807" s="138" t="str">
        <f>INDEX(数据元说明!A:F,MATCH(I807,数据元说明!C:C,0),5)</f>
        <v>百分比为单位，即%，如4.5%填报为4.5。</v>
      </c>
      <c r="L807" s="136" t="str">
        <f>INDEX(数据元说明!A:F,MATCH(I807,数据元说明!C:C,0),6)</f>
        <v>D10.4</v>
      </c>
      <c r="M807" s="138" t="s">
        <v>2759</v>
      </c>
      <c r="N807" s="143" t="s">
        <v>57</v>
      </c>
      <c r="O807" s="140"/>
      <c r="P807" s="140"/>
    </row>
    <row r="808" s="81" customFormat="1" ht="30" customHeight="1" outlineLevel="1" spans="1:16">
      <c r="A808" s="134"/>
      <c r="B808" s="47"/>
      <c r="C808" s="39"/>
      <c r="D808" s="39"/>
      <c r="E808" s="47"/>
      <c r="F808" s="135" t="s">
        <v>843</v>
      </c>
      <c r="G808" s="136" t="s">
        <v>3038</v>
      </c>
      <c r="H808" s="229" t="s">
        <v>3039</v>
      </c>
      <c r="I808" s="135" t="s">
        <v>843</v>
      </c>
      <c r="J808" s="406" t="str">
        <f>INDEX(数据元说明!A:F,MATCH(I808,数据元说明!C:C,0),2)</f>
        <v>005027</v>
      </c>
      <c r="K808" s="138" t="str">
        <f>INDEX(数据元说明!A:F,MATCH(I808,数据元说明!C:C,0),5)</f>
        <v>按月，按季，按半年，按年，利随本清，分期付息一次还本，其他-银行自定义。若无法以枚举类型填写，则以“其他-XX”填报，其中“XX”为银行自定义类型。</v>
      </c>
      <c r="L808" s="136" t="str">
        <f>INDEX(数据元说明!A:F,MATCH(I808,数据元说明!C:C,0),6)</f>
        <v>C..40</v>
      </c>
      <c r="M808" s="224" t="s">
        <v>3040</v>
      </c>
      <c r="N808" s="139" t="s">
        <v>25</v>
      </c>
      <c r="O808" s="139" t="s">
        <v>1539</v>
      </c>
      <c r="P808" s="139"/>
    </row>
    <row r="809" s="81" customFormat="1" ht="30" customHeight="1" outlineLevel="1" spans="1:16">
      <c r="A809" s="134"/>
      <c r="B809" s="47"/>
      <c r="C809" s="39"/>
      <c r="D809" s="39"/>
      <c r="E809" s="47"/>
      <c r="F809" s="135" t="s">
        <v>3041</v>
      </c>
      <c r="G809" s="136" t="s">
        <v>3042</v>
      </c>
      <c r="H809" s="229" t="s">
        <v>3043</v>
      </c>
      <c r="I809" s="157" t="s">
        <v>697</v>
      </c>
      <c r="J809" s="136" t="str">
        <f>INDEX(数据元说明!A:F,MATCH(I809,数据元说明!C:C,0),2)</f>
        <v>003032</v>
      </c>
      <c r="K809" s="138" t="str">
        <f>INDEX(数据元说明!A:F,MATCH(I809,数据元说明!C:C,0),5)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809" s="136" t="str">
        <f>INDEX(数据元说明!A:F,MATCH(I809,数据元说明!C:C,0),6)</f>
        <v>C..60</v>
      </c>
      <c r="M809" s="138" t="s">
        <v>3044</v>
      </c>
      <c r="N809" s="139" t="s">
        <v>25</v>
      </c>
      <c r="O809" s="140"/>
      <c r="P809" s="140"/>
    </row>
    <row r="810" s="81" customFormat="1" ht="30" customHeight="1" outlineLevel="1" spans="1:16">
      <c r="A810" s="134"/>
      <c r="B810" s="47"/>
      <c r="C810" s="39"/>
      <c r="D810" s="39"/>
      <c r="E810" s="47"/>
      <c r="F810" s="135" t="s">
        <v>3045</v>
      </c>
      <c r="G810" s="136" t="s">
        <v>3046</v>
      </c>
      <c r="H810" s="229" t="s">
        <v>3047</v>
      </c>
      <c r="I810" s="135" t="s">
        <v>282</v>
      </c>
      <c r="J810" s="136" t="str">
        <f>INDEX(数据元说明!A:F,MATCH(I810,数据元说明!C:C,0),2)</f>
        <v>001001</v>
      </c>
      <c r="K810" s="138" t="str">
        <f>INDEX(数据元说明!A:F,MATCH(I810,数据元说明!C:C,0),5)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10" s="136" t="str">
        <f>INDEX(数据元说明!A:F,MATCH(I810,数据元说明!C:C,0),6)</f>
        <v>C..400</v>
      </c>
      <c r="M810" s="138" t="s">
        <v>3048</v>
      </c>
      <c r="N810" s="143" t="s">
        <v>57</v>
      </c>
      <c r="O810" s="140"/>
      <c r="P810" s="140"/>
    </row>
    <row r="811" s="81" customFormat="1" ht="30" customHeight="1" outlineLevel="1" spans="1:16">
      <c r="A811" s="141"/>
      <c r="B811" s="142"/>
      <c r="C811" s="39"/>
      <c r="D811" s="39"/>
      <c r="E811" s="47"/>
      <c r="F811" s="135" t="s">
        <v>673</v>
      </c>
      <c r="G811" s="136" t="s">
        <v>2685</v>
      </c>
      <c r="H811" s="229" t="s">
        <v>3049</v>
      </c>
      <c r="I811" s="135" t="s">
        <v>673</v>
      </c>
      <c r="J811" s="136" t="str">
        <f>INDEX(数据元说明!A:F,MATCH(I811,数据元说明!C:C,0),2)</f>
        <v>003026</v>
      </c>
      <c r="K811" s="138" t="str">
        <f>INDEX(数据元说明!A:F,MATCH(I811,数据元说明!C:C,0),5)</f>
        <v>利息的计算方法，按月结息，按季结息，按半年结息，按年结息，不定期结息，不记利息，利随本清，其他-银行自定义。无法以枚举类型填报的，以“其他-XX”填报，其中“XX”为银行自定义类型。</v>
      </c>
      <c r="L811" s="136" t="str">
        <f>INDEX(数据元说明!A:F,MATCH(I811,数据元说明!C:C,0),6)</f>
        <v>C..30</v>
      </c>
      <c r="M811" s="162"/>
      <c r="N811" s="139" t="s">
        <v>25</v>
      </c>
      <c r="O811" s="139" t="s">
        <v>1539</v>
      </c>
      <c r="P811" s="139"/>
    </row>
    <row r="812" s="81" customFormat="1" ht="30" customHeight="1" outlineLevel="1" spans="1:16">
      <c r="A812" s="141"/>
      <c r="B812" s="142"/>
      <c r="C812" s="39"/>
      <c r="D812" s="39"/>
      <c r="E812" s="47"/>
      <c r="F812" s="135" t="s">
        <v>3050</v>
      </c>
      <c r="G812" s="136" t="s">
        <v>3051</v>
      </c>
      <c r="H812" s="229" t="s">
        <v>3052</v>
      </c>
      <c r="I812" s="135" t="s">
        <v>302</v>
      </c>
      <c r="J812" s="136" t="str">
        <f>INDEX(数据元说明!A:F,MATCH(I812,数据元说明!C:C,0),2)</f>
        <v>001005</v>
      </c>
      <c r="K812" s="138" t="str">
        <f>INDEX(数据元说明!A:F,MATCH(I812,数据元说明!C:C,0),5)</f>
        <v>YYYYMMDD，默认值99991231。</v>
      </c>
      <c r="L812" s="136" t="str">
        <f>INDEX(数据元说明!A:F,MATCH(I812,数据元说明!C:C,0),6)</f>
        <v>C8</v>
      </c>
      <c r="M812" s="162" t="s">
        <v>3053</v>
      </c>
      <c r="N812" s="143" t="s">
        <v>57</v>
      </c>
      <c r="O812" s="139"/>
      <c r="P812" s="139"/>
    </row>
    <row r="813" s="81" customFormat="1" ht="30" customHeight="1" outlineLevel="1" spans="1:16">
      <c r="A813" s="141"/>
      <c r="B813" s="142"/>
      <c r="C813" s="39"/>
      <c r="D813" s="39"/>
      <c r="E813" s="47"/>
      <c r="F813" s="135" t="s">
        <v>3054</v>
      </c>
      <c r="G813" s="136" t="s">
        <v>3055</v>
      </c>
      <c r="H813" s="229" t="s">
        <v>3056</v>
      </c>
      <c r="I813" s="135" t="s">
        <v>609</v>
      </c>
      <c r="J813" s="136" t="str">
        <f>INDEX(数据元说明!A:F,MATCH(I813,数据元说明!C:C,0),2)</f>
        <v>003010</v>
      </c>
      <c r="K813" s="138" t="str">
        <f>INDEX(数据元说明!A:F,MATCH(I813,数据元说明!C:C,0),5)</f>
        <v>与币种相对应金额。</v>
      </c>
      <c r="L813" s="136" t="str">
        <f>INDEX(数据元说明!A:F,MATCH(I813,数据元说明!C:C,0),6)</f>
        <v>D20.2</v>
      </c>
      <c r="M813" s="162" t="s">
        <v>3057</v>
      </c>
      <c r="N813" s="143" t="s">
        <v>57</v>
      </c>
      <c r="O813" s="139"/>
      <c r="P813" s="139"/>
    </row>
    <row r="814" s="81" customFormat="1" ht="30" customHeight="1" outlineLevel="1" spans="1:16">
      <c r="A814" s="141"/>
      <c r="B814" s="142"/>
      <c r="C814" s="39"/>
      <c r="D814" s="39"/>
      <c r="E814" s="47"/>
      <c r="F814" s="135" t="s">
        <v>3058</v>
      </c>
      <c r="G814" s="136" t="s">
        <v>3059</v>
      </c>
      <c r="H814" s="229" t="s">
        <v>3060</v>
      </c>
      <c r="I814" s="135" t="s">
        <v>609</v>
      </c>
      <c r="J814" s="136" t="str">
        <f>INDEX(数据元说明!A:F,MATCH(I814,数据元说明!C:C,0),2)</f>
        <v>003010</v>
      </c>
      <c r="K814" s="138" t="str">
        <f>INDEX(数据元说明!A:F,MATCH(I814,数据元说明!C:C,0),5)</f>
        <v>与币种相对应金额。</v>
      </c>
      <c r="L814" s="136" t="str">
        <f>INDEX(数据元说明!A:F,MATCH(I814,数据元说明!C:C,0),6)</f>
        <v>D20.2</v>
      </c>
      <c r="M814" s="162" t="s">
        <v>3061</v>
      </c>
      <c r="N814" s="143" t="s">
        <v>57</v>
      </c>
      <c r="O814" s="139"/>
      <c r="P814" s="139"/>
    </row>
    <row r="815" s="81" customFormat="1" ht="30" customHeight="1" outlineLevel="1" spans="1:16">
      <c r="A815" s="134"/>
      <c r="B815" s="47"/>
      <c r="C815" s="39"/>
      <c r="D815" s="39"/>
      <c r="E815" s="47"/>
      <c r="F815" s="135" t="s">
        <v>3062</v>
      </c>
      <c r="G815" s="136" t="s">
        <v>3063</v>
      </c>
      <c r="H815" s="229" t="s">
        <v>3064</v>
      </c>
      <c r="I815" s="135" t="s">
        <v>764</v>
      </c>
      <c r="J815" s="136" t="str">
        <f>INDEX(数据元说明!A:F,MATCH(I815,数据元说明!C:C,0),2)</f>
        <v>005007</v>
      </c>
      <c r="K815" s="138" t="str">
        <f>INDEX(数据元说明!A:F,MATCH(I815,数据元说明!C:C,0),5)</f>
        <v>贷款使用的具体内容。</v>
      </c>
      <c r="L815" s="136" t="str">
        <f>INDEX(数据元说明!A:F,MATCH(I815,数据元说明!C:C,0),6)</f>
        <v>C..1000</v>
      </c>
      <c r="M815" s="138" t="s">
        <v>3065</v>
      </c>
      <c r="N815" s="143" t="s">
        <v>57</v>
      </c>
      <c r="O815" s="140"/>
      <c r="P815" s="140"/>
    </row>
    <row r="816" s="88" customFormat="1" ht="68" customHeight="1" outlineLevel="1" spans="1:16">
      <c r="A816" s="134"/>
      <c r="B816" s="47"/>
      <c r="C816" s="39" t="s">
        <v>3066</v>
      </c>
      <c r="D816" s="39"/>
      <c r="E816" s="47"/>
      <c r="F816" s="135" t="s">
        <v>3067</v>
      </c>
      <c r="G816" s="136" t="s">
        <v>3068</v>
      </c>
      <c r="H816" s="229" t="s">
        <v>3069</v>
      </c>
      <c r="I816" s="135" t="s">
        <v>407</v>
      </c>
      <c r="J816" s="136" t="str">
        <f>INDEX(数据元说明!A:F,MATCH(I816,数据元说明!C:C,0),2)</f>
        <v>001031</v>
      </c>
      <c r="K816" s="138" t="str">
        <f>INDEX(数据元说明!A:F,MATCH(I816,数据元说明!C:C,0),5)</f>
        <v>境内地区参照《GB/T 2260-2020 中华人民共和国行政区划代码》填写国内行政区划代码，填写至二级分类，如110100。境外地区参照《GB/T 2659 世界各国和地区名称代码》定义的三字符代码，如USA。</v>
      </c>
      <c r="L816" s="136" t="str">
        <f>INDEX(数据元说明!A:F,MATCH(I816,数据元说明!C:C,0),6)</f>
        <v>C..6</v>
      </c>
      <c r="M816" s="138" t="s">
        <v>3070</v>
      </c>
      <c r="N816" s="140" t="s">
        <v>25</v>
      </c>
      <c r="O816" s="140" t="s">
        <v>449</v>
      </c>
      <c r="P816" s="140"/>
    </row>
    <row r="817" s="81" customFormat="1" ht="30" customHeight="1" outlineLevel="1" spans="1:16">
      <c r="A817" s="134"/>
      <c r="B817" s="47"/>
      <c r="C817" s="39"/>
      <c r="D817" s="39"/>
      <c r="E817" s="47"/>
      <c r="F817" s="135" t="s">
        <v>768</v>
      </c>
      <c r="G817" s="136" t="s">
        <v>3071</v>
      </c>
      <c r="H817" s="229" t="s">
        <v>3072</v>
      </c>
      <c r="I817" s="135" t="s">
        <v>768</v>
      </c>
      <c r="J817" s="136" t="str">
        <f>INDEX(数据元说明!A:F,MATCH(I817,数据元说明!C:C,0),2)</f>
        <v>005008</v>
      </c>
      <c r="K817" s="138" t="str">
        <f>INDEX(数据元说明!A:F,MATCH(I817,数据元说明!C:C,0),5)</f>
        <v>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v>
      </c>
      <c r="L817" s="136" t="str">
        <f>INDEX(数据元说明!A:F,MATCH(I817,数据元说明!C:C,0),6)</f>
        <v>C..100</v>
      </c>
      <c r="M817" s="138" t="s">
        <v>3073</v>
      </c>
      <c r="N817" s="140" t="s">
        <v>25</v>
      </c>
      <c r="O817" s="140" t="s">
        <v>275</v>
      </c>
      <c r="P817" s="139" t="s">
        <v>1606</v>
      </c>
    </row>
    <row r="818" s="81" customFormat="1" ht="30" customHeight="1" outlineLevel="1" spans="1:16">
      <c r="A818" s="134"/>
      <c r="B818" s="47"/>
      <c r="C818" s="39"/>
      <c r="D818" s="39"/>
      <c r="E818" s="47"/>
      <c r="F818" s="135" t="s">
        <v>3074</v>
      </c>
      <c r="G818" s="136" t="s">
        <v>3075</v>
      </c>
      <c r="H818" s="229" t="s">
        <v>3076</v>
      </c>
      <c r="I818" s="135" t="s">
        <v>287</v>
      </c>
      <c r="J818" s="136" t="str">
        <f>INDEX(数据元说明!A:F,MATCH(I818,数据元说明!C:C,0),2)</f>
        <v>001002</v>
      </c>
      <c r="K818" s="138" t="str">
        <f>INDEX(数据元说明!A:F,MATCH(I818,数据元说明!C:C,0),5)</f>
        <v>是，否。</v>
      </c>
      <c r="L818" s="136" t="str">
        <f>INDEX(数据元说明!A:F,MATCH(I818,数据元说明!C:C,0),6)</f>
        <v>C3</v>
      </c>
      <c r="M818" s="138" t="s">
        <v>3077</v>
      </c>
      <c r="N818" s="143" t="s">
        <v>57</v>
      </c>
      <c r="O818" s="140"/>
      <c r="P818" s="139"/>
    </row>
    <row r="819" s="81" customFormat="1" ht="30" customHeight="1" outlineLevel="1" spans="1:16">
      <c r="A819" s="134"/>
      <c r="B819" s="47"/>
      <c r="C819" s="39"/>
      <c r="D819" s="39"/>
      <c r="E819" s="47"/>
      <c r="F819" s="135" t="s">
        <v>3078</v>
      </c>
      <c r="G819" s="136" t="s">
        <v>3079</v>
      </c>
      <c r="H819" s="229" t="s">
        <v>3080</v>
      </c>
      <c r="I819" s="135" t="s">
        <v>287</v>
      </c>
      <c r="J819" s="136" t="str">
        <f>INDEX(数据元说明!A:F,MATCH(I819,数据元说明!C:C,0),2)</f>
        <v>001002</v>
      </c>
      <c r="K819" s="138" t="str">
        <f>INDEX(数据元说明!A:F,MATCH(I819,数据元说明!C:C,0),5)</f>
        <v>是，否。</v>
      </c>
      <c r="L819" s="136" t="str">
        <f>INDEX(数据元说明!A:F,MATCH(I819,数据元说明!C:C,0),6)</f>
        <v>C3</v>
      </c>
      <c r="M819" s="138" t="s">
        <v>3081</v>
      </c>
      <c r="N819" s="143" t="s">
        <v>57</v>
      </c>
      <c r="O819" s="140"/>
      <c r="P819" s="139"/>
    </row>
    <row r="820" s="81" customFormat="1" ht="30" customHeight="1" outlineLevel="1" spans="1:16">
      <c r="A820" s="134"/>
      <c r="B820" s="47"/>
      <c r="C820" s="39"/>
      <c r="D820" s="39"/>
      <c r="E820" s="47"/>
      <c r="F820" s="135" t="s">
        <v>3082</v>
      </c>
      <c r="G820" s="136" t="s">
        <v>3083</v>
      </c>
      <c r="H820" s="229" t="s">
        <v>3084</v>
      </c>
      <c r="I820" s="135" t="s">
        <v>287</v>
      </c>
      <c r="J820" s="136" t="str">
        <f>INDEX(数据元说明!A:F,MATCH(I820,数据元说明!C:C,0),2)</f>
        <v>001002</v>
      </c>
      <c r="K820" s="138" t="str">
        <f>INDEX(数据元说明!A:F,MATCH(I820,数据元说明!C:C,0),5)</f>
        <v>是，否。</v>
      </c>
      <c r="L820" s="136" t="str">
        <f>INDEX(数据元说明!A:F,MATCH(I820,数据元说明!C:C,0),6)</f>
        <v>C3</v>
      </c>
      <c r="M820" s="138" t="s">
        <v>3085</v>
      </c>
      <c r="N820" s="143" t="s">
        <v>57</v>
      </c>
      <c r="O820" s="140"/>
      <c r="P820" s="139"/>
    </row>
    <row r="821" s="81" customFormat="1" ht="30" customHeight="1" outlineLevel="1" spans="1:16">
      <c r="A821" s="134"/>
      <c r="B821" s="47"/>
      <c r="C821" s="39"/>
      <c r="D821" s="39"/>
      <c r="E821" s="47"/>
      <c r="F821" s="135" t="s">
        <v>3086</v>
      </c>
      <c r="G821" s="136" t="s">
        <v>3087</v>
      </c>
      <c r="H821" s="229" t="s">
        <v>3088</v>
      </c>
      <c r="I821" s="135" t="s">
        <v>287</v>
      </c>
      <c r="J821" s="136" t="str">
        <f>INDEX(数据元说明!A:F,MATCH(I821,数据元说明!C:C,0),2)</f>
        <v>001002</v>
      </c>
      <c r="K821" s="138" t="str">
        <f>INDEX(数据元说明!A:F,MATCH(I821,数据元说明!C:C,0),5)</f>
        <v>是，否。</v>
      </c>
      <c r="L821" s="136" t="str">
        <f>INDEX(数据元说明!A:F,MATCH(I821,数据元说明!C:C,0),6)</f>
        <v>C3</v>
      </c>
      <c r="M821" s="138" t="s">
        <v>3089</v>
      </c>
      <c r="N821" s="143" t="s">
        <v>57</v>
      </c>
      <c r="O821" s="140"/>
      <c r="P821" s="139"/>
    </row>
    <row r="822" s="81" customFormat="1" ht="53" outlineLevel="1" spans="1:16">
      <c r="A822" s="134"/>
      <c r="B822" s="47"/>
      <c r="C822" s="39"/>
      <c r="D822" s="39"/>
      <c r="E822" s="47"/>
      <c r="F822" s="135" t="s">
        <v>3090</v>
      </c>
      <c r="G822" s="136" t="s">
        <v>3091</v>
      </c>
      <c r="H822" s="229" t="s">
        <v>3092</v>
      </c>
      <c r="I822" s="135" t="s">
        <v>287</v>
      </c>
      <c r="J822" s="136" t="str">
        <f>INDEX(数据元说明!A:F,MATCH(I822,数据元说明!C:C,0),2)</f>
        <v>001002</v>
      </c>
      <c r="K822" s="138" t="str">
        <f>INDEX(数据元说明!A:F,MATCH(I822,数据元说明!C:C,0),5)</f>
        <v>是，否。</v>
      </c>
      <c r="L822" s="136" t="str">
        <f>INDEX(数据元说明!A:F,MATCH(I822,数据元说明!C:C,0),6)</f>
        <v>C3</v>
      </c>
      <c r="M822" s="138" t="s">
        <v>3093</v>
      </c>
      <c r="N822" s="143" t="s">
        <v>57</v>
      </c>
      <c r="O822" s="140"/>
      <c r="P822" s="139"/>
    </row>
    <row r="823" s="81" customFormat="1" ht="30" customHeight="1" outlineLevel="1" spans="1:16">
      <c r="A823" s="141"/>
      <c r="B823" s="142"/>
      <c r="C823" s="39"/>
      <c r="D823" s="39"/>
      <c r="E823" s="47"/>
      <c r="F823" s="135" t="s">
        <v>3094</v>
      </c>
      <c r="G823" s="136" t="s">
        <v>3095</v>
      </c>
      <c r="H823" s="229" t="s">
        <v>3096</v>
      </c>
      <c r="I823" s="135" t="s">
        <v>349</v>
      </c>
      <c r="J823" s="136" t="str">
        <f>INDEX(数据元说明!A:F,MATCH(I823,数据元说明!C:C,0),2)</f>
        <v>001016</v>
      </c>
      <c r="K823" s="138" t="str">
        <f>INDEX(数据元说明!A:F,MATCH(I823,数据元说明!C:C,0),5)</f>
        <v>工号，银行自定义。</v>
      </c>
      <c r="L823" s="136" t="str">
        <f>INDEX(数据元说明!A:F,MATCH(I823,数据元说明!C:C,0),6)</f>
        <v>C..30</v>
      </c>
      <c r="M823" s="138" t="s">
        <v>3097</v>
      </c>
      <c r="N823" s="140" t="s">
        <v>25</v>
      </c>
      <c r="O823" s="140" t="s">
        <v>1550</v>
      </c>
      <c r="P823" s="140" t="s">
        <v>1588</v>
      </c>
    </row>
    <row r="824" s="81" customFormat="1" ht="30" customHeight="1" outlineLevel="1" spans="1:16">
      <c r="A824" s="154"/>
      <c r="B824" s="155"/>
      <c r="C824" s="156"/>
      <c r="D824" s="156"/>
      <c r="E824" s="155"/>
      <c r="F824" s="157" t="s">
        <v>839</v>
      </c>
      <c r="G824" s="43" t="s">
        <v>2777</v>
      </c>
      <c r="H824" s="229" t="s">
        <v>3098</v>
      </c>
      <c r="I824" s="157" t="s">
        <v>839</v>
      </c>
      <c r="J824" s="407" t="str">
        <f>INDEX(数据元说明!A:F,MATCH(I824,数据元说明!C:C,0),2)</f>
        <v>005026</v>
      </c>
      <c r="K824" s="158" t="str">
        <f>INDEX(数据元说明!A:F,MATCH(I824,数据元说明!C:C,0),5)</f>
        <v>正常、结清、逾期、核销、转让，其他-银行自定义。以枚举类型填报，如无法以枚举类型填报，则以“其他-XX”填报，其中“XX”为银行自定义状态。</v>
      </c>
      <c r="L824" s="43" t="str">
        <f>INDEX(数据元说明!A:F,MATCH(I824,数据元说明!C:C,0),6)</f>
        <v>C..30</v>
      </c>
      <c r="M824" s="158"/>
      <c r="N824" s="129" t="s">
        <v>25</v>
      </c>
      <c r="O824" s="139" t="s">
        <v>275</v>
      </c>
      <c r="P824" s="139" t="s">
        <v>1588</v>
      </c>
    </row>
    <row r="825" s="81" customFormat="1" ht="30" customHeight="1" outlineLevel="1" spans="1:16">
      <c r="A825" s="134"/>
      <c r="B825" s="47"/>
      <c r="C825" s="39"/>
      <c r="D825" s="39"/>
      <c r="E825" s="47"/>
      <c r="F825" s="169" t="s">
        <v>449</v>
      </c>
      <c r="G825" s="148" t="s">
        <v>1571</v>
      </c>
      <c r="H825" s="148" t="s">
        <v>3099</v>
      </c>
      <c r="I825" s="169" t="s">
        <v>449</v>
      </c>
      <c r="J825" s="170" t="str">
        <f>INDEX(数据元说明!A:F,MATCH(I825,数据元说明!C:C,0),2)</f>
        <v>001040</v>
      </c>
      <c r="K825" s="171" t="str">
        <f>INDEX(数据元说明!A:F,MATCH(I825,数据元说明!C:C,0),5)</f>
        <v>银行自定义。</v>
      </c>
      <c r="L825" s="170" t="str">
        <f>INDEX(数据元说明!A:F,MATCH(I825,数据元说明!C:C,0),6)</f>
        <v>C..600</v>
      </c>
      <c r="M825" s="149" t="s">
        <v>1573</v>
      </c>
      <c r="N825" s="143" t="s">
        <v>57</v>
      </c>
      <c r="O825" s="173"/>
      <c r="P825" s="173"/>
    </row>
    <row r="826" s="61" customFormat="1" ht="30" customHeight="1" outlineLevel="1" spans="1:16">
      <c r="A826" s="130"/>
      <c r="B826" s="36"/>
      <c r="C826" s="25"/>
      <c r="D826" s="25"/>
      <c r="E826" s="36"/>
      <c r="F826" s="131" t="s">
        <v>1574</v>
      </c>
      <c r="G826" s="31" t="s">
        <v>1575</v>
      </c>
      <c r="H826" s="228" t="s">
        <v>3100</v>
      </c>
      <c r="I826" s="131" t="s">
        <v>302</v>
      </c>
      <c r="J826" s="31" t="str">
        <f>INDEX(数据元说明!A:F,MATCH(I826,数据元说明!C:C,0),2)</f>
        <v>001005</v>
      </c>
      <c r="K826" s="133" t="str">
        <f>INDEX(数据元说明!A:F,MATCH(I826,数据元说明!C:C,0),5)</f>
        <v>YYYYMMDD，默认值99991231。</v>
      </c>
      <c r="L826" s="31" t="str">
        <f>INDEX(数据元说明!A:F,MATCH(I826,数据元说明!C:C,0),6)</f>
        <v>C8</v>
      </c>
      <c r="M826" s="133" t="s">
        <v>1577</v>
      </c>
      <c r="N826" s="99"/>
      <c r="O826" s="99"/>
      <c r="P826" s="99"/>
    </row>
    <row r="827" s="61" customFormat="1" ht="30" customHeight="1" spans="1:16">
      <c r="A827" s="165"/>
      <c r="B827" s="166"/>
      <c r="C827" s="19" t="s">
        <v>134</v>
      </c>
      <c r="D827" s="24" t="s">
        <v>135</v>
      </c>
      <c r="E827" s="227" t="s">
        <v>3101</v>
      </c>
      <c r="F827" s="127"/>
      <c r="G827" s="126"/>
      <c r="H827" s="227"/>
      <c r="I827" s="127"/>
      <c r="J827" s="126"/>
      <c r="K827" s="152"/>
      <c r="L827" s="126"/>
      <c r="M827" s="128" t="str">
        <f>INDEX(表结构总览!E:H,MATCH(D827,表结构总览!E:E,0),4)</f>
        <v>所有以机构名义在信贷业务中签订的借据信息。报送范围：1104报表G01_VII[1.各项贷款] - [2.21 个人贷款(不含个人经营性贷款)] - [4.个人经营性贷款] + G01_I_2《委托贷款投向统计表》[1.委托贷款合计（非现金管理项下）] - G01_I_2[2.21个人贷款(不含个人经营性贷款)]。委托贷款中现金管理项下委托贷款不报送，其他表外业务不报送。对于票据贴现和买断式转贴现，可以填报为信贷合同号=信贷借据号=票据号码，信用证业务可填报信用证号；对于其他若没有对应借据号的业务，可以填报为信贷合同号=信贷借据号=业务编号。借据状态为结清、核销、转让的可在报送最后状态的次月不再报送。</v>
      </c>
      <c r="N827" s="187" t="s">
        <v>25</v>
      </c>
      <c r="O827" s="129" t="s">
        <v>449</v>
      </c>
      <c r="P827" s="33"/>
    </row>
    <row r="828" s="61" customFormat="1" ht="30" customHeight="1" outlineLevel="1" spans="1:16">
      <c r="A828" s="184"/>
      <c r="B828" s="185"/>
      <c r="C828" s="25"/>
      <c r="D828" s="25"/>
      <c r="E828" s="36"/>
      <c r="F828" s="131" t="s">
        <v>325</v>
      </c>
      <c r="G828" s="31" t="s">
        <v>1520</v>
      </c>
      <c r="H828" s="132" t="s">
        <v>3102</v>
      </c>
      <c r="I828" s="131" t="s">
        <v>325</v>
      </c>
      <c r="J828" s="31" t="str">
        <f>INDEX(数据元说明!A:F,MATCH(I828,数据元说明!C:C,0),2)</f>
        <v>001010</v>
      </c>
      <c r="K828" s="133" t="str">
        <f>INDEX(数据元说明!A:F,MATCH(I828,数据元说明!C:C,0),5)</f>
        <v>12位人行支付行号或SWIFT行号。</v>
      </c>
      <c r="L828" s="31" t="str">
        <f>INDEX(数据元说明!A:F,MATCH(I828,数据元说明!C:C,0),6)</f>
        <v>C..30</v>
      </c>
      <c r="M828" s="133" t="s">
        <v>1579</v>
      </c>
      <c r="N828" s="33" t="s">
        <v>25</v>
      </c>
      <c r="O828" s="99"/>
      <c r="P828" s="33" t="s">
        <v>1588</v>
      </c>
    </row>
    <row r="829" s="81" customFormat="1" ht="30" customHeight="1" outlineLevel="1" spans="1:16">
      <c r="A829" s="134"/>
      <c r="B829" s="47"/>
      <c r="C829" s="39"/>
      <c r="D829" s="39"/>
      <c r="E829" s="47"/>
      <c r="F829" s="135" t="s">
        <v>329</v>
      </c>
      <c r="G829" s="136" t="s">
        <v>1526</v>
      </c>
      <c r="H829" s="137" t="s">
        <v>3103</v>
      </c>
      <c r="I829" s="135" t="s">
        <v>329</v>
      </c>
      <c r="J829" s="136" t="str">
        <f>INDEX(数据元说明!A:F,MATCH(I829,数据元说明!C:C,0),2)</f>
        <v>001011</v>
      </c>
      <c r="K829" s="138" t="str">
        <f>INDEX(数据元说明!A:F,MATCH(I829,数据元说明!C:C,0),5)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829" s="136" t="str">
        <f>INDEX(数据元说明!A:F,MATCH(I829,数据元说明!C:C,0),6)</f>
        <v>C..30</v>
      </c>
      <c r="M829" s="138" t="s">
        <v>1528</v>
      </c>
      <c r="N829" s="129" t="s">
        <v>25</v>
      </c>
      <c r="O829" s="129" t="s">
        <v>449</v>
      </c>
      <c r="P829" s="139"/>
    </row>
    <row r="830" s="61" customFormat="1" ht="30" customHeight="1" outlineLevel="1" spans="1:16">
      <c r="A830" s="130"/>
      <c r="B830" s="36"/>
      <c r="C830" s="25"/>
      <c r="D830" s="25"/>
      <c r="E830" s="36"/>
      <c r="F830" s="131" t="s">
        <v>333</v>
      </c>
      <c r="G830" s="31" t="s">
        <v>1523</v>
      </c>
      <c r="H830" s="132" t="s">
        <v>3104</v>
      </c>
      <c r="I830" s="131" t="s">
        <v>333</v>
      </c>
      <c r="J830" s="31" t="str">
        <f>INDEX(数据元说明!A:F,MATCH(I830,数据元说明!C:C,0),2)</f>
        <v>001012</v>
      </c>
      <c r="K830" s="133" t="str">
        <f>INDEX(数据元说明!A:F,MATCH(I830,数据元说明!C:C,0),5)</f>
        <v>银行内部机构号。应具有标识机构的唯一性。</v>
      </c>
      <c r="L830" s="31" t="str">
        <f>INDEX(数据元说明!A:F,MATCH(I830,数据元说明!C:C,0),6)</f>
        <v>C..30</v>
      </c>
      <c r="M830" s="133" t="s">
        <v>1834</v>
      </c>
      <c r="N830" s="33" t="s">
        <v>25</v>
      </c>
      <c r="O830" s="99"/>
      <c r="P830" s="33" t="s">
        <v>1588</v>
      </c>
    </row>
    <row r="831" s="81" customFormat="1" ht="30" customHeight="1" outlineLevel="1" spans="1:16">
      <c r="A831" s="134"/>
      <c r="B831" s="47"/>
      <c r="C831" s="39"/>
      <c r="D831" s="39"/>
      <c r="E831" s="47"/>
      <c r="F831" s="135" t="s">
        <v>1532</v>
      </c>
      <c r="G831" s="136" t="s">
        <v>1533</v>
      </c>
      <c r="H831" s="137" t="s">
        <v>3105</v>
      </c>
      <c r="I831" s="135" t="s">
        <v>282</v>
      </c>
      <c r="J831" s="136" t="str">
        <f>INDEX(数据元说明!A:F,MATCH(I831,数据元说明!C:C,0),2)</f>
        <v>001001</v>
      </c>
      <c r="K831" s="138" t="str">
        <f>INDEX(数据元说明!A:F,MATCH(I831,数据元说明!C:C,0),5)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31" s="136" t="str">
        <f>INDEX(数据元说明!A:F,MATCH(I831,数据元说明!C:C,0),6)</f>
        <v>C..400</v>
      </c>
      <c r="M831" s="138" t="s">
        <v>1584</v>
      </c>
      <c r="N831" s="139" t="s">
        <v>25</v>
      </c>
      <c r="O831" s="139" t="s">
        <v>280</v>
      </c>
      <c r="P831" s="140" t="s">
        <v>1588</v>
      </c>
    </row>
    <row r="832" s="81" customFormat="1" ht="30" customHeight="1" outlineLevel="1" spans="1:16">
      <c r="A832" s="134"/>
      <c r="B832" s="47"/>
      <c r="C832" s="39"/>
      <c r="D832" s="39"/>
      <c r="E832" s="47"/>
      <c r="F832" s="135" t="s">
        <v>2325</v>
      </c>
      <c r="G832" s="136" t="s">
        <v>2326</v>
      </c>
      <c r="H832" s="137" t="s">
        <v>3106</v>
      </c>
      <c r="I832" s="135" t="s">
        <v>574</v>
      </c>
      <c r="J832" s="136" t="str">
        <f>INDEX(数据元说明!A:F,MATCH(I832,数据元说明!C:C,0),2)</f>
        <v>003002</v>
      </c>
      <c r="K832" s="138" t="str">
        <f>INDEX(数据元说明!A:F,MATCH(I832,数据元说明!C:C,0),5)</f>
        <v>机构实际使用的总账会计科目编码。</v>
      </c>
      <c r="L832" s="136" t="str">
        <f>INDEX(数据元说明!A:F,MATCH(I832,数据元说明!C:C,0),6)</f>
        <v>C..200</v>
      </c>
      <c r="M832" s="138" t="s">
        <v>2328</v>
      </c>
      <c r="N832" s="139" t="s">
        <v>25</v>
      </c>
      <c r="O832" s="139" t="s">
        <v>1613</v>
      </c>
      <c r="P832" s="139" t="s">
        <v>1588</v>
      </c>
    </row>
    <row r="833" s="81" customFormat="1" ht="30" customHeight="1" outlineLevel="1" spans="1:16">
      <c r="A833" s="141"/>
      <c r="B833" s="142"/>
      <c r="C833" s="177"/>
      <c r="D833" s="177"/>
      <c r="E833" s="142"/>
      <c r="F833" s="135" t="s">
        <v>2329</v>
      </c>
      <c r="G833" s="136" t="s">
        <v>2330</v>
      </c>
      <c r="H833" s="137" t="s">
        <v>3107</v>
      </c>
      <c r="I833" s="135" t="s">
        <v>578</v>
      </c>
      <c r="J833" s="136" t="str">
        <f>INDEX(数据元说明!A:F,MATCH(I833,数据元说明!C:C,0),2)</f>
        <v>003003</v>
      </c>
      <c r="K833" s="138" t="str">
        <f>INDEX(数据元说明!A:F,MATCH(I833,数据元说明!C:C,0),5)</f>
        <v>机构实际使用的总账会计科目编码对应的名称。</v>
      </c>
      <c r="L833" s="136" t="str">
        <f>INDEX(数据元说明!A:F,MATCH(I833,数据元说明!C:C,0),6)</f>
        <v>C..200</v>
      </c>
      <c r="M833" s="138" t="s">
        <v>2328</v>
      </c>
      <c r="N833" s="139" t="s">
        <v>25</v>
      </c>
      <c r="O833" s="139" t="s">
        <v>449</v>
      </c>
      <c r="P833" s="139" t="s">
        <v>1588</v>
      </c>
    </row>
    <row r="834" s="61" customFormat="1" ht="30" customHeight="1" outlineLevel="1" spans="1:16">
      <c r="A834" s="184"/>
      <c r="B834" s="185"/>
      <c r="C834" s="25"/>
      <c r="D834" s="25"/>
      <c r="E834" s="36"/>
      <c r="F834" s="131" t="s">
        <v>453</v>
      </c>
      <c r="G834" s="31" t="s">
        <v>1680</v>
      </c>
      <c r="H834" s="132" t="s">
        <v>3108</v>
      </c>
      <c r="I834" s="131" t="s">
        <v>453</v>
      </c>
      <c r="J834" s="31" t="str">
        <f>INDEX(数据元说明!A:F,MATCH(I834,数据元说明!C:C,0),2)</f>
        <v>002001</v>
      </c>
      <c r="K834" s="133" t="str">
        <f>INDEX(数据元说明!A:F,MATCH(I834,数据元说明!C:C,0),5)</f>
        <v>银行自定义的唯一识别客户的标识。供应链融资的填写供应链融资编码。</v>
      </c>
      <c r="L834" s="31" t="str">
        <f>INDEX(数据元说明!A:F,MATCH(I834,数据元说明!C:C,0),6)</f>
        <v>C..60</v>
      </c>
      <c r="M834" s="133" t="s">
        <v>3109</v>
      </c>
      <c r="N834" s="99"/>
      <c r="O834" s="99"/>
      <c r="P834" s="99"/>
    </row>
    <row r="835" s="61" customFormat="1" ht="30" customHeight="1" outlineLevel="1" spans="1:16">
      <c r="A835" s="130"/>
      <c r="B835" s="36"/>
      <c r="C835" s="25"/>
      <c r="D835" s="25"/>
      <c r="E835" s="36"/>
      <c r="F835" s="135" t="s">
        <v>1864</v>
      </c>
      <c r="G835" s="136" t="s">
        <v>1865</v>
      </c>
      <c r="H835" s="137" t="s">
        <v>3110</v>
      </c>
      <c r="I835" s="135" t="s">
        <v>628</v>
      </c>
      <c r="J835" s="136" t="str">
        <f>INDEX(数据元说明!A:F,MATCH(I835,数据元说明!C:C,0),2)</f>
        <v>003015</v>
      </c>
      <c r="K835" s="138" t="str">
        <f>INDEX(数据元说明!A:F,MATCH(I835,数据元说明!C:C,0),5)</f>
        <v>账户归属者的名称。如果客户为个人，则为隐私，银行机构变形，变形规则见《采集技术接口说明》。客户是境内涉密机构的，账户名称填报为“*********”。其他情况，则为非隐私，不做变形。</v>
      </c>
      <c r="L835" s="136" t="str">
        <f>INDEX(数据元说明!A:F,MATCH(I835,数据元说明!C:C,0),6)</f>
        <v>C..400</v>
      </c>
      <c r="M835" s="138" t="s">
        <v>3111</v>
      </c>
      <c r="N835" s="139" t="s">
        <v>25</v>
      </c>
      <c r="O835" s="139" t="s">
        <v>1613</v>
      </c>
      <c r="P835" s="140"/>
    </row>
    <row r="836" s="61" customFormat="1" ht="30" customHeight="1" outlineLevel="1" spans="1:16">
      <c r="A836" s="184"/>
      <c r="B836" s="185"/>
      <c r="C836" s="25"/>
      <c r="D836" s="25"/>
      <c r="E836" s="36"/>
      <c r="F836" s="131" t="s">
        <v>2895</v>
      </c>
      <c r="G836" s="31" t="s">
        <v>2896</v>
      </c>
      <c r="H836" s="132" t="s">
        <v>3112</v>
      </c>
      <c r="I836" s="131" t="s">
        <v>681</v>
      </c>
      <c r="J836" s="31" t="str">
        <f>INDEX(数据元说明!A:F,MATCH(I836,数据元说明!C:C,0),2)</f>
        <v>003028</v>
      </c>
      <c r="K836" s="133" t="str">
        <f>INDEX(数据元说明!A:F,MATCH(I836,数据元说明!C:C,0),5)</f>
        <v>合同号。</v>
      </c>
      <c r="L836" s="31" t="str">
        <f>INDEX(数据元说明!A:F,MATCH(I836,数据元说明!C:C,0),6)</f>
        <v>C..100</v>
      </c>
      <c r="M836" s="133" t="s">
        <v>2951</v>
      </c>
      <c r="N836" s="99"/>
      <c r="O836" s="99"/>
      <c r="P836" s="99"/>
    </row>
    <row r="837" s="61" customFormat="1" ht="30" customHeight="1" outlineLevel="1" spans="1:16">
      <c r="A837" s="184"/>
      <c r="B837" s="185"/>
      <c r="C837" s="25"/>
      <c r="D837" s="25"/>
      <c r="E837" s="36"/>
      <c r="F837" s="131" t="s">
        <v>2752</v>
      </c>
      <c r="G837" s="31" t="s">
        <v>2753</v>
      </c>
      <c r="H837" s="132" t="s">
        <v>3113</v>
      </c>
      <c r="I837" s="131" t="s">
        <v>677</v>
      </c>
      <c r="J837" s="31" t="str">
        <f>INDEX(数据元说明!A:F,MATCH(I837,数据元说明!C:C,0),2)</f>
        <v>003027</v>
      </c>
      <c r="K837" s="133" t="str">
        <f>INDEX(数据元说明!A:F,MATCH(I837,数据元说明!C:C,0),5)</f>
        <v>借据统一编号。</v>
      </c>
      <c r="L837" s="31" t="str">
        <f>INDEX(数据元说明!A:F,MATCH(I837,数据元说明!C:C,0),6)</f>
        <v>C..100</v>
      </c>
      <c r="M837" s="133" t="s">
        <v>1525</v>
      </c>
      <c r="N837" s="33" t="s">
        <v>25</v>
      </c>
      <c r="O837" s="99"/>
      <c r="P837" s="33" t="s">
        <v>1588</v>
      </c>
    </row>
    <row r="838" s="81" customFormat="1" ht="30" customHeight="1" outlineLevel="1" spans="1:16">
      <c r="A838" s="134"/>
      <c r="B838" s="47"/>
      <c r="C838" s="39"/>
      <c r="D838" s="39"/>
      <c r="E838" s="47"/>
      <c r="F838" s="135" t="s">
        <v>2749</v>
      </c>
      <c r="G838" s="136" t="s">
        <v>2750</v>
      </c>
      <c r="H838" s="137" t="s">
        <v>3114</v>
      </c>
      <c r="I838" s="135" t="s">
        <v>570</v>
      </c>
      <c r="J838" s="136" t="str">
        <f>INDEX(数据元说明!A:F,MATCH(I838,数据元说明!C:C,0),2)</f>
        <v>003001</v>
      </c>
      <c r="K838" s="138" t="str">
        <f>INDEX(数据元说明!A:F,MATCH(I838,数据元说明!C:C,0),5)</f>
        <v>系统内最细一级的账号，无唯一性约束，不需要和序号、子序号等做拼接。</v>
      </c>
      <c r="L838" s="136" t="str">
        <f>INDEX(数据元说明!A:F,MATCH(I838,数据元说明!C:C,0),6)</f>
        <v>C..60</v>
      </c>
      <c r="M838" s="138" t="s">
        <v>3115</v>
      </c>
      <c r="N838" s="139" t="s">
        <v>25</v>
      </c>
      <c r="O838" s="139" t="s">
        <v>449</v>
      </c>
      <c r="P838" s="140" t="s">
        <v>1588</v>
      </c>
    </row>
    <row r="839" s="81" customFormat="1" ht="59" customHeight="1" outlineLevel="1" spans="1:16">
      <c r="A839" s="167"/>
      <c r="B839" s="168"/>
      <c r="C839" s="176"/>
      <c r="D839" s="176"/>
      <c r="E839" s="168"/>
      <c r="F839" s="157" t="s">
        <v>747</v>
      </c>
      <c r="G839" s="43" t="s">
        <v>2906</v>
      </c>
      <c r="H839" s="137" t="s">
        <v>3116</v>
      </c>
      <c r="I839" s="157" t="s">
        <v>747</v>
      </c>
      <c r="J839" s="43" t="str">
        <f>INDEX(数据元说明!A:F,MATCH(I839,数据元说明!C:C,0),2)</f>
        <v>005003</v>
      </c>
      <c r="K839" s="158" t="str">
        <f>INDEX(数据元说明!A:F,MATCH(I839,数据元说明!C:C,0),5)</f>
        <v>流动资金贷款，法人账户透支，项目贷款，项目贷款（银团），一般固定资产贷款，住房按揭贷款，商用房贷款，汽车贷款，互联网贷款，助学贷款，消费贷款，个人经营性贷款，票据贴现，买断式转贴现，贸易融资业务，融资租赁业务，垫款，委托贷款，其他-银行自定义类型。以枚举类型填报，如无法以枚举类型填报，则以“其他-XX”填报，其中“XX”为银行自定义类型。</v>
      </c>
      <c r="L839" s="43" t="str">
        <f>INDEX(数据元说明!A:F,MATCH(I839,数据元说明!C:C,0),6)</f>
        <v>C..100</v>
      </c>
      <c r="M839" s="162" t="s">
        <v>2908</v>
      </c>
      <c r="N839" s="139" t="s">
        <v>25</v>
      </c>
      <c r="O839" s="139" t="s">
        <v>275</v>
      </c>
      <c r="P839" s="140" t="s">
        <v>1588</v>
      </c>
    </row>
    <row r="840" s="61" customFormat="1" ht="59" customHeight="1" outlineLevel="1" spans="1:16">
      <c r="A840" s="159"/>
      <c r="B840" s="160"/>
      <c r="C840" s="161"/>
      <c r="D840" s="161"/>
      <c r="E840" s="160"/>
      <c r="F840" s="157" t="s">
        <v>906</v>
      </c>
      <c r="G840" s="43" t="s">
        <v>2956</v>
      </c>
      <c r="H840" s="137" t="s">
        <v>3117</v>
      </c>
      <c r="I840" s="157" t="s">
        <v>906</v>
      </c>
      <c r="J840" s="407" t="str">
        <f>INDEX(数据元说明!A:F,MATCH(I840,数据元说明!C:C,0),2)</f>
        <v>005043</v>
      </c>
      <c r="K840" s="158" t="str">
        <f>INDEX(数据元说明!A:F,MATCH(I840,数据元说明!C:C,0),5)</f>
        <v>新增，无还本续贷，借新还旧，重组贷款，其他-银行自定义。无法以枚举类型填报的，以“其他-XX”填报，其中“XX”为银行自定义类型。</v>
      </c>
      <c r="L840" s="43" t="str">
        <f>INDEX(数据元说明!A:F,MATCH(I840,数据元说明!C:C,0),6)</f>
        <v>C..30</v>
      </c>
      <c r="M840" s="158" t="s">
        <v>2958</v>
      </c>
      <c r="N840" s="139" t="s">
        <v>25</v>
      </c>
      <c r="O840" s="139" t="s">
        <v>2959</v>
      </c>
      <c r="P840" s="140" t="s">
        <v>1588</v>
      </c>
    </row>
    <row r="841" s="61" customFormat="1" ht="59" customHeight="1" outlineLevel="1" spans="1:16">
      <c r="A841" s="159"/>
      <c r="B841" s="160"/>
      <c r="C841" s="161"/>
      <c r="D841" s="161"/>
      <c r="E841" s="160"/>
      <c r="F841" s="97" t="s">
        <v>760</v>
      </c>
      <c r="G841" s="29" t="s">
        <v>2960</v>
      </c>
      <c r="H841" s="132" t="s">
        <v>3118</v>
      </c>
      <c r="I841" s="97" t="s">
        <v>760</v>
      </c>
      <c r="J841" s="29" t="str">
        <f>INDEX(数据元说明!A:F,MATCH(I841,数据元说明!C:C,0),2)</f>
        <v>005006</v>
      </c>
      <c r="K841" s="98" t="str">
        <f>INDEX(数据元说明!A:F,MATCH(I841,数据元说明!C:C,0),5)</f>
        <v>自主支付，受托支付，混合支付，其他-银行自定义。以枚举类型填报，如无法以枚举类型填报，则以“其他-XX”填报，其中“XX”为银行自定义方式。</v>
      </c>
      <c r="L841" s="29" t="str">
        <f>INDEX(数据元说明!A:F,MATCH(I841,数据元说明!C:C,0),6)</f>
        <v>C..30</v>
      </c>
      <c r="M841" s="217" t="s">
        <v>2962</v>
      </c>
      <c r="N841" s="33" t="s">
        <v>25</v>
      </c>
      <c r="O841" s="99"/>
      <c r="P841" s="33" t="s">
        <v>1588</v>
      </c>
    </row>
    <row r="842" s="61" customFormat="1" ht="30" customHeight="1" outlineLevel="1" spans="1:16">
      <c r="A842" s="130"/>
      <c r="B842" s="36"/>
      <c r="C842" s="25"/>
      <c r="D842" s="25"/>
      <c r="E842" s="36"/>
      <c r="F842" s="131" t="s">
        <v>624</v>
      </c>
      <c r="G842" s="31" t="s">
        <v>1989</v>
      </c>
      <c r="H842" s="132" t="s">
        <v>3119</v>
      </c>
      <c r="I842" s="131" t="s">
        <v>624</v>
      </c>
      <c r="J842" s="31" t="str">
        <f>INDEX(数据元说明!A:F,MATCH(I842,数据元说明!C:C,0),2)</f>
        <v>003014</v>
      </c>
      <c r="K842" s="133" t="str">
        <f>INDEX(数据元说明!A:F,MATCH(I842,数据元说明!C:C,0),5)</f>
        <v>遵循《GB/T 12406 表示货币和资金的代码》的字母代码，如CNY。上述文件所列币种无法涵盖的，允许银行自定义填报。多个币种合计折算为人民币（本外币合计）的，填报为BWB。</v>
      </c>
      <c r="L842" s="31" t="str">
        <f>INDEX(数据元说明!A:F,MATCH(I842,数据元说明!C:C,0),6)</f>
        <v>C3</v>
      </c>
      <c r="M842" s="133"/>
      <c r="N842" s="99"/>
      <c r="O842" s="99"/>
      <c r="P842" s="99"/>
    </row>
    <row r="843" s="81" customFormat="1" ht="30" customHeight="1" outlineLevel="1" spans="1:16">
      <c r="A843" s="167"/>
      <c r="B843" s="168"/>
      <c r="C843" s="176"/>
      <c r="D843" s="176"/>
      <c r="E843" s="168"/>
      <c r="F843" s="157" t="s">
        <v>2761</v>
      </c>
      <c r="G843" s="43" t="s">
        <v>2762</v>
      </c>
      <c r="H843" s="137" t="s">
        <v>3120</v>
      </c>
      <c r="I843" s="157" t="s">
        <v>609</v>
      </c>
      <c r="J843" s="43" t="str">
        <f>INDEX(数据元说明!A:F,MATCH(I843,数据元说明!C:C,0),2)</f>
        <v>003010</v>
      </c>
      <c r="K843" s="158" t="str">
        <f>INDEX(数据元说明!A:F,MATCH(I843,数据元说明!C:C,0),5)</f>
        <v>与币种相对应金额。</v>
      </c>
      <c r="L843" s="43" t="str">
        <f>INDEX(数据元说明!A:F,MATCH(I843,数据元说明!C:C,0),6)</f>
        <v>D20.2</v>
      </c>
      <c r="M843" s="138" t="s">
        <v>2764</v>
      </c>
      <c r="N843" s="140" t="s">
        <v>25</v>
      </c>
      <c r="O843" s="140"/>
      <c r="P843" s="140"/>
    </row>
    <row r="844" s="81" customFormat="1" ht="30" customHeight="1" outlineLevel="1" spans="1:16">
      <c r="A844" s="167"/>
      <c r="B844" s="168"/>
      <c r="C844" s="176"/>
      <c r="D844" s="176"/>
      <c r="E844" s="168"/>
      <c r="F844" s="157" t="s">
        <v>2765</v>
      </c>
      <c r="G844" s="43" t="s">
        <v>2766</v>
      </c>
      <c r="H844" s="137" t="s">
        <v>3121</v>
      </c>
      <c r="I844" s="157" t="s">
        <v>613</v>
      </c>
      <c r="J844" s="43" t="str">
        <f>INDEX(数据元说明!A:F,MATCH(I844,数据元说明!C:C,0),2)</f>
        <v>003011</v>
      </c>
      <c r="K844" s="158" t="str">
        <f>INDEX(数据元说明!A:F,MATCH(I844,数据元说明!C:C,0),5)</f>
        <v>与币种相对应金额。</v>
      </c>
      <c r="L844" s="43" t="str">
        <f>INDEX(数据元说明!A:F,MATCH(I844,数据元说明!C:C,0),6)</f>
        <v>D20.2</v>
      </c>
      <c r="M844" s="138" t="s">
        <v>2768</v>
      </c>
      <c r="N844" s="140" t="s">
        <v>25</v>
      </c>
      <c r="O844" s="139" t="s">
        <v>2966</v>
      </c>
      <c r="P844" s="140" t="s">
        <v>1588</v>
      </c>
    </row>
    <row r="845" s="81" customFormat="1" ht="30" customHeight="1" outlineLevel="1" spans="1:16">
      <c r="A845" s="154"/>
      <c r="B845" s="155"/>
      <c r="C845" s="156"/>
      <c r="D845" s="156"/>
      <c r="E845" s="155"/>
      <c r="F845" s="157" t="s">
        <v>685</v>
      </c>
      <c r="G845" s="43" t="s">
        <v>2967</v>
      </c>
      <c r="H845" s="137" t="s">
        <v>3122</v>
      </c>
      <c r="I845" s="157" t="s">
        <v>685</v>
      </c>
      <c r="J845" s="43" t="str">
        <f>INDEX(数据元说明!A:F,MATCH(I845,数据元说明!C:C,0),2)</f>
        <v>003029</v>
      </c>
      <c r="K845" s="158" t="str">
        <f>INDEX(数据元说明!A:F,MATCH(I845,数据元说明!C:C,0),5)</f>
        <v>正常，关注，次级，可疑，损失。</v>
      </c>
      <c r="L845" s="43" t="str">
        <f>INDEX(数据元说明!A:F,MATCH(I845,数据元说明!C:C,0),6)</f>
        <v>C6</v>
      </c>
      <c r="M845" s="224" t="s">
        <v>2969</v>
      </c>
      <c r="N845" s="139" t="s">
        <v>25</v>
      </c>
      <c r="O845" s="139" t="s">
        <v>1606</v>
      </c>
      <c r="P845" s="139" t="s">
        <v>1588</v>
      </c>
    </row>
    <row r="846" s="61" customFormat="1" ht="30" customHeight="1" outlineLevel="1" spans="1:16">
      <c r="A846" s="159"/>
      <c r="B846" s="160"/>
      <c r="C846" s="161"/>
      <c r="D846" s="161"/>
      <c r="E846" s="160"/>
      <c r="F846" s="97" t="s">
        <v>2970</v>
      </c>
      <c r="G846" s="29" t="s">
        <v>2971</v>
      </c>
      <c r="H846" s="132" t="s">
        <v>3123</v>
      </c>
      <c r="I846" s="97" t="s">
        <v>835</v>
      </c>
      <c r="J846" s="408" t="str">
        <f>INDEX(数据元说明!A:F,MATCH(I846,数据元说明!C:C,0),2)</f>
        <v>005025</v>
      </c>
      <c r="K846" s="98" t="str">
        <f>INDEX(数据元说明!A:F,MATCH(I846,数据元说明!C:C,0),5)</f>
        <v>期数，默认值0。</v>
      </c>
      <c r="L846" s="29" t="str">
        <f>INDEX(数据元说明!A:F,MATCH(I846,数据元说明!C:C,0),6)</f>
        <v>I..4</v>
      </c>
      <c r="M846" s="98" t="s">
        <v>3124</v>
      </c>
      <c r="N846" s="99"/>
      <c r="O846" s="99"/>
      <c r="P846" s="99"/>
    </row>
    <row r="847" s="61" customFormat="1" ht="30" customHeight="1" outlineLevel="1" spans="1:16">
      <c r="A847" s="93"/>
      <c r="B847" s="94"/>
      <c r="C847" s="95"/>
      <c r="D847" s="95"/>
      <c r="E847" s="94"/>
      <c r="F847" s="97" t="s">
        <v>2974</v>
      </c>
      <c r="G847" s="29" t="s">
        <v>2975</v>
      </c>
      <c r="H847" s="132" t="s">
        <v>3125</v>
      </c>
      <c r="I847" s="97" t="s">
        <v>835</v>
      </c>
      <c r="J847" s="408" t="str">
        <f>INDEX(数据元说明!A:F,MATCH(I847,数据元说明!C:C,0),2)</f>
        <v>005025</v>
      </c>
      <c r="K847" s="98" t="str">
        <f>INDEX(数据元说明!A:F,MATCH(I847,数据元说明!C:C,0),5)</f>
        <v>期数，默认值0。</v>
      </c>
      <c r="L847" s="29" t="str">
        <f>INDEX(数据元说明!A:F,MATCH(I847,数据元说明!C:C,0),6)</f>
        <v>I..4</v>
      </c>
      <c r="M847" s="98" t="s">
        <v>2977</v>
      </c>
      <c r="N847" s="99"/>
      <c r="O847" s="99"/>
      <c r="P847" s="99"/>
    </row>
    <row r="848" s="61" customFormat="1" ht="30" customHeight="1" outlineLevel="1" spans="1:16">
      <c r="A848" s="159"/>
      <c r="B848" s="160"/>
      <c r="C848" s="161"/>
      <c r="D848" s="161"/>
      <c r="E848" s="160"/>
      <c r="F848" s="97" t="s">
        <v>830</v>
      </c>
      <c r="G848" s="29" t="s">
        <v>2978</v>
      </c>
      <c r="H848" s="132" t="s">
        <v>3126</v>
      </c>
      <c r="I848" s="97" t="s">
        <v>830</v>
      </c>
      <c r="J848" s="408" t="str">
        <f>INDEX(数据元说明!A:F,MATCH(I848,数据元说明!C:C,0),2)</f>
        <v>005024</v>
      </c>
      <c r="K848" s="98" t="str">
        <f>INDEX(数据元说明!A:F,MATCH(I848,数据元说明!C:C,0),5)</f>
        <v>贷款展期次数，未展期为0。</v>
      </c>
      <c r="L848" s="29" t="str">
        <f>INDEX(数据元说明!A:F,MATCH(I848,数据元说明!C:C,0),6)</f>
        <v>I..4</v>
      </c>
      <c r="M848" s="217"/>
      <c r="N848" s="99"/>
      <c r="O848" s="99"/>
      <c r="P848" s="99"/>
    </row>
    <row r="849" s="81" customFormat="1" ht="30" customHeight="1" outlineLevel="1" spans="1:16">
      <c r="A849" s="154"/>
      <c r="B849" s="155"/>
      <c r="C849" s="156"/>
      <c r="D849" s="156"/>
      <c r="E849" s="155"/>
      <c r="F849" s="157" t="s">
        <v>2980</v>
      </c>
      <c r="G849" s="43" t="s">
        <v>2981</v>
      </c>
      <c r="H849" s="137" t="s">
        <v>3127</v>
      </c>
      <c r="I849" s="157" t="s">
        <v>302</v>
      </c>
      <c r="J849" s="43" t="str">
        <f>INDEX(数据元说明!A:F,MATCH(I849,数据元说明!C:C,0),2)</f>
        <v>001005</v>
      </c>
      <c r="K849" s="158" t="str">
        <f>INDEX(数据元说明!A:F,MATCH(I849,数据元说明!C:C,0),5)</f>
        <v>YYYYMMDD，默认值99991231。</v>
      </c>
      <c r="L849" s="43" t="str">
        <f>INDEX(数据元说明!A:F,MATCH(I849,数据元说明!C:C,0),6)</f>
        <v>C8</v>
      </c>
      <c r="M849" s="158" t="s">
        <v>2983</v>
      </c>
      <c r="N849" s="139" t="s">
        <v>25</v>
      </c>
      <c r="O849" s="139" t="s">
        <v>449</v>
      </c>
      <c r="P849" s="140"/>
    </row>
    <row r="850" s="81" customFormat="1" ht="30" customHeight="1" outlineLevel="1" spans="1:16">
      <c r="A850" s="154"/>
      <c r="B850" s="155"/>
      <c r="C850" s="156"/>
      <c r="D850" s="156"/>
      <c r="E850" s="155"/>
      <c r="F850" s="157" t="s">
        <v>2984</v>
      </c>
      <c r="G850" s="43" t="s">
        <v>2985</v>
      </c>
      <c r="H850" s="137" t="s">
        <v>3128</v>
      </c>
      <c r="I850" s="157" t="s">
        <v>302</v>
      </c>
      <c r="J850" s="43" t="str">
        <f>INDEX(数据元说明!A:F,MATCH(I850,数据元说明!C:C,0),2)</f>
        <v>001005</v>
      </c>
      <c r="K850" s="158" t="str">
        <f>INDEX(数据元说明!A:F,MATCH(I850,数据元说明!C:C,0),5)</f>
        <v>YYYYMMDD，默认值99991231。</v>
      </c>
      <c r="L850" s="43" t="str">
        <f>INDEX(数据元说明!A:F,MATCH(I850,数据元说明!C:C,0),6)</f>
        <v>C8</v>
      </c>
      <c r="M850" s="158" t="s">
        <v>2987</v>
      </c>
      <c r="N850" s="187" t="s">
        <v>25</v>
      </c>
      <c r="O850" s="139" t="s">
        <v>449</v>
      </c>
      <c r="P850" s="140"/>
    </row>
    <row r="851" s="61" customFormat="1" ht="30" customHeight="1" outlineLevel="1" spans="1:16">
      <c r="A851" s="93"/>
      <c r="B851" s="94"/>
      <c r="C851" s="95"/>
      <c r="D851" s="95"/>
      <c r="E851" s="94"/>
      <c r="F851" s="157" t="s">
        <v>2988</v>
      </c>
      <c r="G851" s="43" t="s">
        <v>2989</v>
      </c>
      <c r="H851" s="137" t="s">
        <v>3129</v>
      </c>
      <c r="I851" s="157" t="s">
        <v>302</v>
      </c>
      <c r="J851" s="43" t="str">
        <f>INDEX(数据元说明!A:F,MATCH(I851,数据元说明!C:C,0),2)</f>
        <v>001005</v>
      </c>
      <c r="K851" s="158" t="str">
        <f>INDEX(数据元说明!A:F,MATCH(I851,数据元说明!C:C,0),5)</f>
        <v>YYYYMMDD，默认值99991231。</v>
      </c>
      <c r="L851" s="43" t="str">
        <f>INDEX(数据元说明!A:F,MATCH(I851,数据元说明!C:C,0),6)</f>
        <v>C8</v>
      </c>
      <c r="M851" s="158" t="s">
        <v>2991</v>
      </c>
      <c r="N851" s="140" t="s">
        <v>25</v>
      </c>
      <c r="O851" s="139" t="s">
        <v>449</v>
      </c>
      <c r="P851" s="140"/>
    </row>
    <row r="852" s="81" customFormat="1" ht="30" customHeight="1" outlineLevel="1" spans="1:16">
      <c r="A852" s="134"/>
      <c r="B852" s="47"/>
      <c r="C852" s="39"/>
      <c r="D852" s="39"/>
      <c r="E852" s="47"/>
      <c r="F852" s="135" t="s">
        <v>2992</v>
      </c>
      <c r="G852" s="136" t="s">
        <v>2993</v>
      </c>
      <c r="H852" s="137" t="s">
        <v>3130</v>
      </c>
      <c r="I852" s="135" t="s">
        <v>609</v>
      </c>
      <c r="J852" s="136" t="str">
        <f>INDEX(数据元说明!A:F,MATCH(I852,数据元说明!C:C,0),2)</f>
        <v>003010</v>
      </c>
      <c r="K852" s="138" t="str">
        <f>INDEX(数据元说明!A:F,MATCH(I852,数据元说明!C:C,0),5)</f>
        <v>与币种相对应金额。</v>
      </c>
      <c r="L852" s="136" t="str">
        <f>INDEX(数据元说明!A:F,MATCH(I852,数据元说明!C:C,0),6)</f>
        <v>D20.2</v>
      </c>
      <c r="M852" s="138" t="s">
        <v>2995</v>
      </c>
      <c r="N852" s="143" t="s">
        <v>57</v>
      </c>
      <c r="O852" s="140"/>
      <c r="P852" s="140"/>
    </row>
    <row r="853" s="81" customFormat="1" ht="30" customHeight="1" outlineLevel="1" spans="1:16">
      <c r="A853" s="134"/>
      <c r="B853" s="47"/>
      <c r="C853" s="39"/>
      <c r="D853" s="39"/>
      <c r="E853" s="47"/>
      <c r="F853" s="135" t="s">
        <v>2996</v>
      </c>
      <c r="G853" s="136" t="s">
        <v>2997</v>
      </c>
      <c r="H853" s="137" t="s">
        <v>3131</v>
      </c>
      <c r="I853" s="135" t="s">
        <v>302</v>
      </c>
      <c r="J853" s="136" t="str">
        <f>INDEX(数据元说明!A:F,MATCH(I853,数据元说明!C:C,0),2)</f>
        <v>001005</v>
      </c>
      <c r="K853" s="138" t="str">
        <f>INDEX(数据元说明!A:F,MATCH(I853,数据元说明!C:C,0),5)</f>
        <v>YYYYMMDD，默认值99991231。</v>
      </c>
      <c r="L853" s="136" t="str">
        <f>INDEX(数据元说明!A:F,MATCH(I853,数据元说明!C:C,0),6)</f>
        <v>C8</v>
      </c>
      <c r="M853" s="158" t="s">
        <v>3010</v>
      </c>
      <c r="N853" s="143" t="s">
        <v>57</v>
      </c>
      <c r="O853" s="139"/>
      <c r="P853" s="140"/>
    </row>
    <row r="854" s="61" customFormat="1" ht="30" customHeight="1" outlineLevel="1" spans="1:16">
      <c r="A854" s="93"/>
      <c r="B854" s="94"/>
      <c r="C854" s="95"/>
      <c r="D854" s="95"/>
      <c r="E854" s="94"/>
      <c r="F854" s="97" t="s">
        <v>3000</v>
      </c>
      <c r="G854" s="29" t="s">
        <v>3001</v>
      </c>
      <c r="H854" s="132" t="s">
        <v>3132</v>
      </c>
      <c r="I854" s="97" t="s">
        <v>613</v>
      </c>
      <c r="J854" s="29" t="str">
        <f>INDEX(数据元说明!A:F,MATCH(I854,数据元说明!C:C,0),2)</f>
        <v>003011</v>
      </c>
      <c r="K854" s="98" t="str">
        <f>INDEX(数据元说明!A:F,MATCH(I854,数据元说明!C:C,0),5)</f>
        <v>与币种相对应金额。</v>
      </c>
      <c r="L854" s="29" t="str">
        <f>INDEX(数据元说明!A:F,MATCH(I854,数据元说明!C:C,0),6)</f>
        <v>D20.2</v>
      </c>
      <c r="M854" s="98" t="s">
        <v>3003</v>
      </c>
      <c r="N854" s="99"/>
      <c r="O854" s="99"/>
      <c r="P854" s="99"/>
    </row>
    <row r="855" s="61" customFormat="1" ht="30" customHeight="1" outlineLevel="1" spans="1:16">
      <c r="A855" s="93"/>
      <c r="B855" s="94"/>
      <c r="C855" s="95"/>
      <c r="D855" s="95"/>
      <c r="E855" s="94"/>
      <c r="F855" s="97" t="s">
        <v>3004</v>
      </c>
      <c r="G855" s="29" t="s">
        <v>3005</v>
      </c>
      <c r="H855" s="132" t="s">
        <v>3133</v>
      </c>
      <c r="I855" s="97" t="s">
        <v>613</v>
      </c>
      <c r="J855" s="29" t="str">
        <f>INDEX(数据元说明!A:F,MATCH(I855,数据元说明!C:C,0),2)</f>
        <v>003011</v>
      </c>
      <c r="K855" s="98" t="str">
        <f>INDEX(数据元说明!A:F,MATCH(I855,数据元说明!C:C,0),5)</f>
        <v>与币种相对应金额。</v>
      </c>
      <c r="L855" s="29" t="str">
        <f>INDEX(数据元说明!A:F,MATCH(I855,数据元说明!C:C,0),6)</f>
        <v>D20.2</v>
      </c>
      <c r="M855" s="98" t="s">
        <v>3007</v>
      </c>
      <c r="N855" s="99"/>
      <c r="O855" s="99"/>
      <c r="P855" s="99"/>
    </row>
    <row r="856" s="81" customFormat="1" ht="53" spans="1:16">
      <c r="A856" s="154"/>
      <c r="B856" s="155"/>
      <c r="C856" s="156"/>
      <c r="D856" s="156"/>
      <c r="E856" s="155"/>
      <c r="F856" s="135" t="s">
        <v>3008</v>
      </c>
      <c r="G856" s="136" t="s">
        <v>2232</v>
      </c>
      <c r="H856" s="137" t="s">
        <v>3134</v>
      </c>
      <c r="I856" s="135" t="s">
        <v>302</v>
      </c>
      <c r="J856" s="43" t="str">
        <f>INDEX(数据元说明!A:F,MATCH(I856,数据元说明!C:C,0),2)</f>
        <v>001005</v>
      </c>
      <c r="K856" s="157" t="str">
        <f>INDEX(数据元说明!A:F,MATCH(I856,数据元说明!C:C,0),5)</f>
        <v>YYYYMMDD，默认值99991231。</v>
      </c>
      <c r="L856" s="43" t="str">
        <f>INDEX(数据元说明!A:F,MATCH(I856,数据元说明!C:C,0),6)</f>
        <v>C8</v>
      </c>
      <c r="M856" s="158" t="s">
        <v>3010</v>
      </c>
      <c r="N856" s="143" t="s">
        <v>57</v>
      </c>
      <c r="O856" s="140"/>
      <c r="P856" s="205"/>
    </row>
    <row r="857" s="81" customFormat="1" ht="53" spans="1:16">
      <c r="A857" s="154"/>
      <c r="B857" s="155"/>
      <c r="C857" s="156"/>
      <c r="D857" s="156"/>
      <c r="E857" s="155"/>
      <c r="F857" s="135" t="s">
        <v>3011</v>
      </c>
      <c r="G857" s="136" t="s">
        <v>3012</v>
      </c>
      <c r="H857" s="137" t="s">
        <v>3135</v>
      </c>
      <c r="I857" s="135" t="s">
        <v>835</v>
      </c>
      <c r="J857" s="406" t="str">
        <f>INDEX(数据元说明!A:F,MATCH(I857,数据元说明!C:C,0),2)</f>
        <v>005025</v>
      </c>
      <c r="K857" s="138" t="str">
        <f>INDEX(数据元说明!A:F,MATCH(I857,数据元说明!C:C,0),5)</f>
        <v>期数，默认值0。</v>
      </c>
      <c r="L857" s="136" t="str">
        <f>INDEX(数据元说明!A:F,MATCH(I857,数据元说明!C:C,0),6)</f>
        <v>I..4</v>
      </c>
      <c r="M857" s="138" t="s">
        <v>3136</v>
      </c>
      <c r="N857" s="139" t="s">
        <v>25</v>
      </c>
      <c r="O857" s="139" t="s">
        <v>449</v>
      </c>
      <c r="P857" s="140"/>
    </row>
    <row r="858" s="81" customFormat="1" ht="36" spans="1:16">
      <c r="A858" s="154"/>
      <c r="B858" s="155"/>
      <c r="C858" s="156"/>
      <c r="D858" s="156"/>
      <c r="E858" s="155"/>
      <c r="F858" s="135" t="s">
        <v>3015</v>
      </c>
      <c r="G858" s="136" t="s">
        <v>3016</v>
      </c>
      <c r="H858" s="137" t="s">
        <v>3137</v>
      </c>
      <c r="I858" s="135" t="s">
        <v>835</v>
      </c>
      <c r="J858" s="406" t="str">
        <f>INDEX(数据元说明!A:F,MATCH(I858,数据元说明!C:C,0),2)</f>
        <v>005025</v>
      </c>
      <c r="K858" s="138" t="str">
        <f>INDEX(数据元说明!A:F,MATCH(I858,数据元说明!C:C,0),5)</f>
        <v>期数，默认值0。</v>
      </c>
      <c r="L858" s="136" t="str">
        <f>INDEX(数据元说明!A:F,MATCH(I858,数据元说明!C:C,0),6)</f>
        <v>I..4</v>
      </c>
      <c r="M858" s="224" t="s">
        <v>3018</v>
      </c>
      <c r="N858" s="140" t="s">
        <v>25</v>
      </c>
      <c r="O858" s="140" t="s">
        <v>449</v>
      </c>
      <c r="P858" s="140"/>
    </row>
    <row r="859" s="81" customFormat="1" ht="30" customHeight="1" outlineLevel="1" spans="1:16">
      <c r="A859" s="154"/>
      <c r="B859" s="155"/>
      <c r="C859" s="156"/>
      <c r="D859" s="156"/>
      <c r="E859" s="155"/>
      <c r="F859" s="157" t="s">
        <v>3019</v>
      </c>
      <c r="G859" s="43" t="s">
        <v>3020</v>
      </c>
      <c r="H859" s="137" t="s">
        <v>3138</v>
      </c>
      <c r="I859" s="157" t="s">
        <v>677</v>
      </c>
      <c r="J859" s="43" t="str">
        <f>INDEX(数据元说明!A:F,MATCH(I859,数据元说明!C:C,0),2)</f>
        <v>003027</v>
      </c>
      <c r="K859" s="158" t="str">
        <f>INDEX(数据元说明!A:F,MATCH(I859,数据元说明!C:C,0),5)</f>
        <v>借据统一编号。</v>
      </c>
      <c r="L859" s="43" t="str">
        <f>INDEX(数据元说明!A:F,MATCH(I859,数据元说明!C:C,0),6)</f>
        <v>C..100</v>
      </c>
      <c r="M859" s="158" t="s">
        <v>3022</v>
      </c>
      <c r="N859" s="143" t="s">
        <v>57</v>
      </c>
      <c r="O859" s="139"/>
      <c r="P859" s="140"/>
    </row>
    <row r="860" s="81" customFormat="1" ht="30" customHeight="1" outlineLevel="1" spans="1:16">
      <c r="A860" s="154"/>
      <c r="B860" s="155"/>
      <c r="C860" s="156"/>
      <c r="D860" s="156"/>
      <c r="E860" s="155"/>
      <c r="F860" s="157" t="s">
        <v>3023</v>
      </c>
      <c r="G860" s="43" t="s">
        <v>3024</v>
      </c>
      <c r="H860" s="137" t="s">
        <v>3139</v>
      </c>
      <c r="I860" s="157" t="s">
        <v>697</v>
      </c>
      <c r="J860" s="43" t="str">
        <f>INDEX(数据元说明!A:F,MATCH(I860,数据元说明!C:C,0),2)</f>
        <v>003032</v>
      </c>
      <c r="K860" s="158" t="str">
        <f>INDEX(数据元说明!A:F,MATCH(I860,数据元说明!C:C,0),5)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860" s="43" t="str">
        <f>INDEX(数据元说明!A:F,MATCH(I860,数据元说明!C:C,0),6)</f>
        <v>C..60</v>
      </c>
      <c r="M860" s="158" t="s">
        <v>3026</v>
      </c>
      <c r="N860" s="140" t="s">
        <v>25</v>
      </c>
      <c r="O860" s="139" t="s">
        <v>449</v>
      </c>
      <c r="P860" s="140"/>
    </row>
    <row r="861" s="81" customFormat="1" ht="30" customHeight="1" outlineLevel="1" spans="1:16">
      <c r="A861" s="154"/>
      <c r="B861" s="155"/>
      <c r="C861" s="156"/>
      <c r="D861" s="156"/>
      <c r="E861" s="155"/>
      <c r="F861" s="157" t="s">
        <v>3027</v>
      </c>
      <c r="G861" s="43" t="s">
        <v>3028</v>
      </c>
      <c r="H861" s="137" t="s">
        <v>3140</v>
      </c>
      <c r="I861" s="157" t="s">
        <v>282</v>
      </c>
      <c r="J861" s="43" t="str">
        <f>INDEX(数据元说明!A:F,MATCH(I861,数据元说明!C:C,0),2)</f>
        <v>001001</v>
      </c>
      <c r="K861" s="158" t="str">
        <f>INDEX(数据元说明!A:F,MATCH(I861,数据元说明!C:C,0),5)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61" s="43" t="str">
        <f>INDEX(数据元说明!A:F,MATCH(I861,数据元说明!C:C,0),6)</f>
        <v>C..400</v>
      </c>
      <c r="M861" s="158" t="s">
        <v>3141</v>
      </c>
      <c r="N861" s="140" t="s">
        <v>25</v>
      </c>
      <c r="O861" s="139"/>
      <c r="P861" s="140"/>
    </row>
    <row r="862" s="81" customFormat="1" ht="30" customHeight="1" outlineLevel="1" spans="1:16">
      <c r="A862" s="134"/>
      <c r="B862" s="47"/>
      <c r="C862" s="39"/>
      <c r="D862" s="39"/>
      <c r="E862" s="47"/>
      <c r="F862" s="135" t="s">
        <v>3031</v>
      </c>
      <c r="G862" s="136" t="s">
        <v>3032</v>
      </c>
      <c r="H862" s="137" t="s">
        <v>3142</v>
      </c>
      <c r="I862" s="135" t="s">
        <v>282</v>
      </c>
      <c r="J862" s="136" t="str">
        <f>INDEX(数据元说明!A:F,MATCH(I862,数据元说明!C:C,0),2)</f>
        <v>001001</v>
      </c>
      <c r="K862" s="138" t="str">
        <f>INDEX(数据元说明!A:F,MATCH(I862,数据元说明!C:C,0),5)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62" s="136" t="str">
        <f>INDEX(数据元说明!A:F,MATCH(I862,数据元说明!C:C,0),6)</f>
        <v>C..400</v>
      </c>
      <c r="M862" s="138" t="s">
        <v>3034</v>
      </c>
      <c r="N862" s="143" t="s">
        <v>57</v>
      </c>
      <c r="O862" s="140"/>
      <c r="P862" s="140"/>
    </row>
    <row r="863" s="81" customFormat="1" ht="30" customHeight="1" outlineLevel="1" spans="1:16">
      <c r="A863" s="141"/>
      <c r="B863" s="142"/>
      <c r="C863" s="177"/>
      <c r="D863" s="177"/>
      <c r="E863" s="47"/>
      <c r="F863" s="135" t="s">
        <v>1117</v>
      </c>
      <c r="G863" s="136" t="s">
        <v>3035</v>
      </c>
      <c r="H863" s="137" t="s">
        <v>3143</v>
      </c>
      <c r="I863" s="135" t="s">
        <v>1117</v>
      </c>
      <c r="J863" s="406" t="str">
        <f>INDEX(数据元说明!A:F,MATCH(I863,数据元说明!C:C,0),2)</f>
        <v>010006</v>
      </c>
      <c r="K863" s="138" t="str">
        <f>INDEX(数据元说明!A:F,MATCH(I863,数据元说明!C:C,0),5)</f>
        <v>LPR，非LPR。</v>
      </c>
      <c r="L863" s="136" t="str">
        <f>INDEX(数据元说明!A:F,MATCH(I863,数据元说明!C:C,0),6)</f>
        <v>C..6</v>
      </c>
      <c r="M863" s="138"/>
      <c r="N863" s="187" t="s">
        <v>25</v>
      </c>
      <c r="O863" s="139" t="s">
        <v>275</v>
      </c>
      <c r="P863" s="139"/>
    </row>
    <row r="864" s="81" customFormat="1" ht="30" customHeight="1" outlineLevel="1" spans="1:16">
      <c r="A864" s="141"/>
      <c r="B864" s="142"/>
      <c r="C864" s="177"/>
      <c r="D864" s="177"/>
      <c r="E864" s="47"/>
      <c r="F864" s="135" t="s">
        <v>2756</v>
      </c>
      <c r="G864" s="136" t="s">
        <v>2840</v>
      </c>
      <c r="H864" s="137" t="s">
        <v>3144</v>
      </c>
      <c r="I864" s="135" t="s">
        <v>660</v>
      </c>
      <c r="J864" s="136" t="str">
        <f>INDEX(数据元说明!A:F,MATCH(I864,数据元说明!C:C,0),2)</f>
        <v>003023</v>
      </c>
      <c r="K864" s="138" t="str">
        <f>INDEX(数据元说明!A:F,MATCH(I864,数据元说明!C:C,0),5)</f>
        <v>百分比为单位，即%，如4.5%填报为4.5。</v>
      </c>
      <c r="L864" s="136" t="str">
        <f>INDEX(数据元说明!A:F,MATCH(I864,数据元说明!C:C,0),6)</f>
        <v>D10.4</v>
      </c>
      <c r="M864" s="138" t="s">
        <v>2759</v>
      </c>
      <c r="N864" s="143" t="s">
        <v>57</v>
      </c>
      <c r="O864" s="140"/>
      <c r="P864" s="140"/>
    </row>
    <row r="865" s="81" customFormat="1" ht="30" customHeight="1" outlineLevel="1" spans="1:16">
      <c r="A865" s="134"/>
      <c r="B865" s="47"/>
      <c r="C865" s="39"/>
      <c r="D865" s="39"/>
      <c r="E865" s="47"/>
      <c r="F865" s="135" t="s">
        <v>843</v>
      </c>
      <c r="G865" s="136" t="s">
        <v>3038</v>
      </c>
      <c r="H865" s="137" t="s">
        <v>3145</v>
      </c>
      <c r="I865" s="135" t="s">
        <v>843</v>
      </c>
      <c r="J865" s="406" t="str">
        <f>INDEX(数据元说明!A:F,MATCH(I865,数据元说明!C:C,0),2)</f>
        <v>005027</v>
      </c>
      <c r="K865" s="138" t="str">
        <f>INDEX(数据元说明!A:F,MATCH(I865,数据元说明!C:C,0),5)</f>
        <v>按月，按季，按半年，按年，利随本清，分期付息一次还本，其他-银行自定义。若无法以枚举类型填写，则以“其他-XX”填报，其中“XX”为银行自定义类型。</v>
      </c>
      <c r="L865" s="136" t="str">
        <f>INDEX(数据元说明!A:F,MATCH(I865,数据元说明!C:C,0),6)</f>
        <v>C..40</v>
      </c>
      <c r="M865" s="224"/>
      <c r="N865" s="139" t="s">
        <v>25</v>
      </c>
      <c r="O865" s="139" t="s">
        <v>275</v>
      </c>
      <c r="P865" s="139"/>
    </row>
    <row r="866" s="81" customFormat="1" ht="30" customHeight="1" outlineLevel="1" spans="1:16">
      <c r="A866" s="134"/>
      <c r="B866" s="47"/>
      <c r="C866" s="39"/>
      <c r="D866" s="39"/>
      <c r="E866" s="47"/>
      <c r="F866" s="135" t="s">
        <v>3041</v>
      </c>
      <c r="G866" s="136" t="s">
        <v>3042</v>
      </c>
      <c r="H866" s="137" t="s">
        <v>3146</v>
      </c>
      <c r="I866" s="157" t="s">
        <v>697</v>
      </c>
      <c r="J866" s="136" t="str">
        <f>INDEX(数据元说明!A:F,MATCH(I866,数据元说明!C:C,0),2)</f>
        <v>003032</v>
      </c>
      <c r="K866" s="138" t="str">
        <f>INDEX(数据元说明!A:F,MATCH(I866,数据元说明!C:C,0),5)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866" s="136" t="str">
        <f>INDEX(数据元说明!A:F,MATCH(I866,数据元说明!C:C,0),6)</f>
        <v>C..60</v>
      </c>
      <c r="M866" s="138" t="s">
        <v>3044</v>
      </c>
      <c r="N866" s="139" t="s">
        <v>25</v>
      </c>
      <c r="O866" s="139" t="s">
        <v>449</v>
      </c>
      <c r="P866" s="140"/>
    </row>
    <row r="867" s="81" customFormat="1" ht="30" customHeight="1" outlineLevel="1" spans="1:16">
      <c r="A867" s="134"/>
      <c r="B867" s="47"/>
      <c r="C867" s="39"/>
      <c r="D867" s="39"/>
      <c r="E867" s="47"/>
      <c r="F867" s="135" t="s">
        <v>3045</v>
      </c>
      <c r="G867" s="136" t="s">
        <v>3046</v>
      </c>
      <c r="H867" s="137" t="s">
        <v>3147</v>
      </c>
      <c r="I867" s="135" t="s">
        <v>282</v>
      </c>
      <c r="J867" s="136" t="str">
        <f>INDEX(数据元说明!A:F,MATCH(I867,数据元说明!C:C,0),2)</f>
        <v>001001</v>
      </c>
      <c r="K867" s="138" t="str">
        <f>INDEX(数据元说明!A:F,MATCH(I867,数据元说明!C:C,0),5)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67" s="136" t="str">
        <f>INDEX(数据元说明!A:F,MATCH(I867,数据元说明!C:C,0),6)</f>
        <v>C..400</v>
      </c>
      <c r="M867" s="138" t="s">
        <v>3048</v>
      </c>
      <c r="N867" s="143" t="s">
        <v>57</v>
      </c>
      <c r="O867" s="140"/>
      <c r="P867" s="140"/>
    </row>
    <row r="868" s="81" customFormat="1" ht="30" customHeight="1" outlineLevel="1" spans="1:16">
      <c r="A868" s="141"/>
      <c r="B868" s="142"/>
      <c r="C868" s="39"/>
      <c r="D868" s="39"/>
      <c r="E868" s="47"/>
      <c r="F868" s="135" t="s">
        <v>673</v>
      </c>
      <c r="G868" s="136" t="s">
        <v>2685</v>
      </c>
      <c r="H868" s="137" t="s">
        <v>3148</v>
      </c>
      <c r="I868" s="135" t="s">
        <v>673</v>
      </c>
      <c r="J868" s="136" t="str">
        <f>INDEX(数据元说明!A:F,MATCH(I868,数据元说明!C:C,0),2)</f>
        <v>003026</v>
      </c>
      <c r="K868" s="138" t="str">
        <f>INDEX(数据元说明!A:F,MATCH(I868,数据元说明!C:C,0),5)</f>
        <v>利息的计算方法，按月结息，按季结息，按半年结息，按年结息，不定期结息，不记利息，利随本清，其他-银行自定义。无法以枚举类型填报的，以“其他-XX”填报，其中“XX”为银行自定义类型。</v>
      </c>
      <c r="L868" s="136" t="str">
        <f>INDEX(数据元说明!A:F,MATCH(I868,数据元说明!C:C,0),6)</f>
        <v>C..30</v>
      </c>
      <c r="M868" s="162"/>
      <c r="N868" s="139" t="s">
        <v>25</v>
      </c>
      <c r="O868" s="139" t="s">
        <v>1539</v>
      </c>
      <c r="P868" s="139" t="s">
        <v>1606</v>
      </c>
    </row>
    <row r="869" s="81" customFormat="1" ht="30" customHeight="1" outlineLevel="1" spans="1:16">
      <c r="A869" s="141"/>
      <c r="B869" s="142"/>
      <c r="C869" s="39"/>
      <c r="D869" s="39"/>
      <c r="E869" s="47"/>
      <c r="F869" s="135" t="s">
        <v>3050</v>
      </c>
      <c r="G869" s="136" t="s">
        <v>3051</v>
      </c>
      <c r="H869" s="137" t="s">
        <v>3149</v>
      </c>
      <c r="I869" s="135" t="s">
        <v>302</v>
      </c>
      <c r="J869" s="136" t="str">
        <f>INDEX(数据元说明!A:F,MATCH(I869,数据元说明!C:C,0),2)</f>
        <v>001005</v>
      </c>
      <c r="K869" s="138" t="str">
        <f>INDEX(数据元说明!A:F,MATCH(I869,数据元说明!C:C,0),5)</f>
        <v>YYYYMMDD，默认值99991231。</v>
      </c>
      <c r="L869" s="136" t="str">
        <f>INDEX(数据元说明!A:F,MATCH(I869,数据元说明!C:C,0),6)</f>
        <v>C8</v>
      </c>
      <c r="M869" s="162" t="s">
        <v>3053</v>
      </c>
      <c r="N869" s="143" t="s">
        <v>57</v>
      </c>
      <c r="O869" s="139"/>
      <c r="P869" s="139"/>
    </row>
    <row r="870" s="81" customFormat="1" ht="30" customHeight="1" outlineLevel="1" spans="1:16">
      <c r="A870" s="141"/>
      <c r="B870" s="142"/>
      <c r="C870" s="39"/>
      <c r="D870" s="39"/>
      <c r="E870" s="47"/>
      <c r="F870" s="135" t="s">
        <v>3054</v>
      </c>
      <c r="G870" s="136" t="s">
        <v>3055</v>
      </c>
      <c r="H870" s="137" t="s">
        <v>3150</v>
      </c>
      <c r="I870" s="135" t="s">
        <v>609</v>
      </c>
      <c r="J870" s="136" t="str">
        <f>INDEX(数据元说明!A:F,MATCH(I870,数据元说明!C:C,0),2)</f>
        <v>003010</v>
      </c>
      <c r="K870" s="138" t="str">
        <f>INDEX(数据元说明!A:F,MATCH(I870,数据元说明!C:C,0),5)</f>
        <v>与币种相对应金额。</v>
      </c>
      <c r="L870" s="136" t="str">
        <f>INDEX(数据元说明!A:F,MATCH(I870,数据元说明!C:C,0),6)</f>
        <v>D20.2</v>
      </c>
      <c r="M870" s="162" t="s">
        <v>3057</v>
      </c>
      <c r="N870" s="143" t="s">
        <v>57</v>
      </c>
      <c r="O870" s="139"/>
      <c r="P870" s="139"/>
    </row>
    <row r="871" s="81" customFormat="1" ht="30" customHeight="1" outlineLevel="1" spans="1:16">
      <c r="A871" s="141"/>
      <c r="B871" s="142"/>
      <c r="C871" s="39"/>
      <c r="D871" s="39"/>
      <c r="E871" s="47"/>
      <c r="F871" s="135" t="s">
        <v>3058</v>
      </c>
      <c r="G871" s="136" t="s">
        <v>3059</v>
      </c>
      <c r="H871" s="137" t="s">
        <v>3151</v>
      </c>
      <c r="I871" s="135" t="s">
        <v>609</v>
      </c>
      <c r="J871" s="136" t="str">
        <f>INDEX(数据元说明!A:F,MATCH(I871,数据元说明!C:C,0),2)</f>
        <v>003010</v>
      </c>
      <c r="K871" s="138" t="str">
        <f>INDEX(数据元说明!A:F,MATCH(I871,数据元说明!C:C,0),5)</f>
        <v>与币种相对应金额。</v>
      </c>
      <c r="L871" s="136" t="str">
        <f>INDEX(数据元说明!A:F,MATCH(I871,数据元说明!C:C,0),6)</f>
        <v>D20.2</v>
      </c>
      <c r="M871" s="162" t="s">
        <v>3061</v>
      </c>
      <c r="N871" s="143" t="s">
        <v>57</v>
      </c>
      <c r="O871" s="139"/>
      <c r="P871" s="139"/>
    </row>
    <row r="872" s="81" customFormat="1" ht="30" customHeight="1" outlineLevel="1" spans="1:16">
      <c r="A872" s="134"/>
      <c r="B872" s="47"/>
      <c r="C872" s="39"/>
      <c r="D872" s="39"/>
      <c r="E872" s="47"/>
      <c r="F872" s="135" t="s">
        <v>3062</v>
      </c>
      <c r="G872" s="136" t="s">
        <v>3063</v>
      </c>
      <c r="H872" s="137" t="s">
        <v>3152</v>
      </c>
      <c r="I872" s="135" t="s">
        <v>764</v>
      </c>
      <c r="J872" s="136" t="str">
        <f>INDEX(数据元说明!A:F,MATCH(I872,数据元说明!C:C,0),2)</f>
        <v>005007</v>
      </c>
      <c r="K872" s="138" t="str">
        <f>INDEX(数据元说明!A:F,MATCH(I872,数据元说明!C:C,0),5)</f>
        <v>贷款使用的具体内容。</v>
      </c>
      <c r="L872" s="136" t="str">
        <f>INDEX(数据元说明!A:F,MATCH(I872,数据元说明!C:C,0),6)</f>
        <v>C..1000</v>
      </c>
      <c r="M872" s="138" t="s">
        <v>3065</v>
      </c>
      <c r="N872" s="143" t="s">
        <v>57</v>
      </c>
      <c r="O872" s="140"/>
      <c r="P872" s="140"/>
    </row>
    <row r="873" s="88" customFormat="1" ht="68" customHeight="1" outlineLevel="1" spans="1:16">
      <c r="A873" s="134"/>
      <c r="B873" s="47"/>
      <c r="C873" s="39" t="s">
        <v>3066</v>
      </c>
      <c r="D873" s="39"/>
      <c r="E873" s="47"/>
      <c r="F873" s="135" t="s">
        <v>3067</v>
      </c>
      <c r="G873" s="136" t="s">
        <v>3068</v>
      </c>
      <c r="H873" s="137" t="s">
        <v>3153</v>
      </c>
      <c r="I873" s="135" t="s">
        <v>407</v>
      </c>
      <c r="J873" s="136" t="str">
        <f>INDEX(数据元说明!A:F,MATCH(I873,数据元说明!C:C,0),2)</f>
        <v>001031</v>
      </c>
      <c r="K873" s="138" t="str">
        <f>INDEX(数据元说明!A:F,MATCH(I873,数据元说明!C:C,0),5)</f>
        <v>境内地区参照《GB/T 2260-2020 中华人民共和国行政区划代码》填写国内行政区划代码，填写至二级分类，如110100。境外地区参照《GB/T 2659 世界各国和地区名称代码》定义的三字符代码，如USA。</v>
      </c>
      <c r="L873" s="136" t="str">
        <f>INDEX(数据元说明!A:F,MATCH(I873,数据元说明!C:C,0),6)</f>
        <v>C..6</v>
      </c>
      <c r="M873" s="138" t="s">
        <v>3070</v>
      </c>
      <c r="N873" s="140" t="s">
        <v>25</v>
      </c>
      <c r="O873" s="140" t="s">
        <v>449</v>
      </c>
      <c r="P873" s="140"/>
    </row>
    <row r="874" s="81" customFormat="1" ht="30" customHeight="1" outlineLevel="1" spans="1:16">
      <c r="A874" s="134"/>
      <c r="B874" s="47"/>
      <c r="C874" s="39"/>
      <c r="D874" s="39"/>
      <c r="E874" s="47"/>
      <c r="F874" s="135" t="s">
        <v>768</v>
      </c>
      <c r="G874" s="136" t="s">
        <v>3071</v>
      </c>
      <c r="H874" s="137" t="s">
        <v>3154</v>
      </c>
      <c r="I874" s="135" t="s">
        <v>768</v>
      </c>
      <c r="J874" s="136" t="str">
        <f>INDEX(数据元说明!A:F,MATCH(I874,数据元说明!C:C,0),2)</f>
        <v>005008</v>
      </c>
      <c r="K874" s="138" t="str">
        <f>INDEX(数据元说明!A:F,MATCH(I874,数据元说明!C:C,0),5)</f>
        <v>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v>
      </c>
      <c r="L874" s="136" t="str">
        <f>INDEX(数据元说明!A:F,MATCH(I874,数据元说明!C:C,0),6)</f>
        <v>C..100</v>
      </c>
      <c r="M874" s="138" t="s">
        <v>3155</v>
      </c>
      <c r="N874" s="140" t="s">
        <v>25</v>
      </c>
      <c r="O874" s="140" t="s">
        <v>275</v>
      </c>
      <c r="P874" s="139" t="s">
        <v>1606</v>
      </c>
    </row>
    <row r="875" s="81" customFormat="1" ht="30" customHeight="1" outlineLevel="1" spans="1:16">
      <c r="A875" s="134"/>
      <c r="B875" s="47"/>
      <c r="C875" s="39"/>
      <c r="D875" s="39"/>
      <c r="E875" s="47"/>
      <c r="F875" s="135" t="s">
        <v>3074</v>
      </c>
      <c r="G875" s="136" t="s">
        <v>3075</v>
      </c>
      <c r="H875" s="137" t="s">
        <v>3156</v>
      </c>
      <c r="I875" s="135" t="s">
        <v>287</v>
      </c>
      <c r="J875" s="136" t="str">
        <f>INDEX(数据元说明!A:F,MATCH(I875,数据元说明!C:C,0),2)</f>
        <v>001002</v>
      </c>
      <c r="K875" s="138" t="str">
        <f>INDEX(数据元说明!A:F,MATCH(I875,数据元说明!C:C,0),5)</f>
        <v>是，否。</v>
      </c>
      <c r="L875" s="136" t="str">
        <f>INDEX(数据元说明!A:F,MATCH(I875,数据元说明!C:C,0),6)</f>
        <v>C3</v>
      </c>
      <c r="M875" s="138" t="s">
        <v>3077</v>
      </c>
      <c r="N875" s="143" t="s">
        <v>57</v>
      </c>
      <c r="O875" s="140"/>
      <c r="P875" s="139"/>
    </row>
    <row r="876" s="81" customFormat="1" ht="30" customHeight="1" outlineLevel="1" spans="1:16">
      <c r="A876" s="134"/>
      <c r="B876" s="47"/>
      <c r="C876" s="39"/>
      <c r="D876" s="39"/>
      <c r="E876" s="47"/>
      <c r="F876" s="135" t="s">
        <v>3078</v>
      </c>
      <c r="G876" s="136" t="s">
        <v>3079</v>
      </c>
      <c r="H876" s="137" t="s">
        <v>3157</v>
      </c>
      <c r="I876" s="135" t="s">
        <v>287</v>
      </c>
      <c r="J876" s="136" t="str">
        <f>INDEX(数据元说明!A:F,MATCH(I876,数据元说明!C:C,0),2)</f>
        <v>001002</v>
      </c>
      <c r="K876" s="138" t="str">
        <f>INDEX(数据元说明!A:F,MATCH(I876,数据元说明!C:C,0),5)</f>
        <v>是，否。</v>
      </c>
      <c r="L876" s="136" t="str">
        <f>INDEX(数据元说明!A:F,MATCH(I876,数据元说明!C:C,0),6)</f>
        <v>C3</v>
      </c>
      <c r="M876" s="138" t="s">
        <v>3081</v>
      </c>
      <c r="N876" s="143" t="s">
        <v>57</v>
      </c>
      <c r="O876" s="140"/>
      <c r="P876" s="139"/>
    </row>
    <row r="877" s="81" customFormat="1" ht="30" customHeight="1" outlineLevel="1" spans="1:16">
      <c r="A877" s="134"/>
      <c r="B877" s="47"/>
      <c r="C877" s="39"/>
      <c r="D877" s="39"/>
      <c r="E877" s="47"/>
      <c r="F877" s="135" t="s">
        <v>3082</v>
      </c>
      <c r="G877" s="136" t="s">
        <v>3083</v>
      </c>
      <c r="H877" s="137" t="s">
        <v>3158</v>
      </c>
      <c r="I877" s="135" t="s">
        <v>287</v>
      </c>
      <c r="J877" s="136" t="str">
        <f>INDEX(数据元说明!A:F,MATCH(I877,数据元说明!C:C,0),2)</f>
        <v>001002</v>
      </c>
      <c r="K877" s="138" t="str">
        <f>INDEX(数据元说明!A:F,MATCH(I877,数据元说明!C:C,0),5)</f>
        <v>是，否。</v>
      </c>
      <c r="L877" s="136" t="str">
        <f>INDEX(数据元说明!A:F,MATCH(I877,数据元说明!C:C,0),6)</f>
        <v>C3</v>
      </c>
      <c r="M877" s="138" t="s">
        <v>3085</v>
      </c>
      <c r="N877" s="143" t="s">
        <v>57</v>
      </c>
      <c r="O877" s="140"/>
      <c r="P877" s="139"/>
    </row>
    <row r="878" s="81" customFormat="1" ht="30" customHeight="1" outlineLevel="1" spans="1:16">
      <c r="A878" s="134"/>
      <c r="B878" s="47"/>
      <c r="C878" s="39"/>
      <c r="D878" s="39"/>
      <c r="E878" s="47"/>
      <c r="F878" s="135" t="s">
        <v>3086</v>
      </c>
      <c r="G878" s="136" t="s">
        <v>3087</v>
      </c>
      <c r="H878" s="137" t="s">
        <v>3159</v>
      </c>
      <c r="I878" s="135" t="s">
        <v>287</v>
      </c>
      <c r="J878" s="136" t="str">
        <f>INDEX(数据元说明!A:F,MATCH(I878,数据元说明!C:C,0),2)</f>
        <v>001002</v>
      </c>
      <c r="K878" s="138" t="str">
        <f>INDEX(数据元说明!A:F,MATCH(I878,数据元说明!C:C,0),5)</f>
        <v>是，否。</v>
      </c>
      <c r="L878" s="136" t="str">
        <f>INDEX(数据元说明!A:F,MATCH(I878,数据元说明!C:C,0),6)</f>
        <v>C3</v>
      </c>
      <c r="M878" s="138" t="s">
        <v>3089</v>
      </c>
      <c r="N878" s="143" t="s">
        <v>57</v>
      </c>
      <c r="O878" s="140"/>
      <c r="P878" s="139"/>
    </row>
    <row r="879" s="81" customFormat="1" ht="53" outlineLevel="1" spans="1:16">
      <c r="A879" s="134"/>
      <c r="B879" s="47"/>
      <c r="C879" s="39"/>
      <c r="D879" s="39"/>
      <c r="E879" s="47"/>
      <c r="F879" s="135" t="s">
        <v>3090</v>
      </c>
      <c r="G879" s="136" t="s">
        <v>3091</v>
      </c>
      <c r="H879" s="137" t="s">
        <v>3160</v>
      </c>
      <c r="I879" s="135" t="s">
        <v>287</v>
      </c>
      <c r="J879" s="136" t="str">
        <f>INDEX(数据元说明!A:F,MATCH(I879,数据元说明!C:C,0),2)</f>
        <v>001002</v>
      </c>
      <c r="K879" s="138" t="str">
        <f>INDEX(数据元说明!A:F,MATCH(I879,数据元说明!C:C,0),5)</f>
        <v>是，否。</v>
      </c>
      <c r="L879" s="136" t="str">
        <f>INDEX(数据元说明!A:F,MATCH(I879,数据元说明!C:C,0),6)</f>
        <v>C3</v>
      </c>
      <c r="M879" s="138" t="s">
        <v>3093</v>
      </c>
      <c r="N879" s="143" t="s">
        <v>57</v>
      </c>
      <c r="O879" s="140"/>
      <c r="P879" s="139"/>
    </row>
    <row r="880" s="81" customFormat="1" ht="30" customHeight="1" outlineLevel="1" spans="1:16">
      <c r="A880" s="141"/>
      <c r="B880" s="142"/>
      <c r="C880" s="39"/>
      <c r="D880" s="39"/>
      <c r="E880" s="47"/>
      <c r="F880" s="135" t="s">
        <v>3094</v>
      </c>
      <c r="G880" s="136" t="s">
        <v>3095</v>
      </c>
      <c r="H880" s="137" t="s">
        <v>3161</v>
      </c>
      <c r="I880" s="135" t="s">
        <v>349</v>
      </c>
      <c r="J880" s="136" t="str">
        <f>INDEX(数据元说明!A:F,MATCH(I880,数据元说明!C:C,0),2)</f>
        <v>001016</v>
      </c>
      <c r="K880" s="138" t="str">
        <f>INDEX(数据元说明!A:F,MATCH(I880,数据元说明!C:C,0),5)</f>
        <v>工号，银行自定义。</v>
      </c>
      <c r="L880" s="136" t="str">
        <f>INDEX(数据元说明!A:F,MATCH(I880,数据元说明!C:C,0),6)</f>
        <v>C..30</v>
      </c>
      <c r="M880" s="138" t="s">
        <v>3097</v>
      </c>
      <c r="N880" s="140" t="s">
        <v>25</v>
      </c>
      <c r="O880" s="140" t="s">
        <v>1550</v>
      </c>
      <c r="P880" s="140" t="s">
        <v>1588</v>
      </c>
    </row>
    <row r="881" s="81" customFormat="1" ht="30" customHeight="1" outlineLevel="1" spans="1:16">
      <c r="A881" s="154"/>
      <c r="B881" s="155"/>
      <c r="C881" s="156"/>
      <c r="D881" s="156"/>
      <c r="E881" s="155"/>
      <c r="F881" s="157" t="s">
        <v>839</v>
      </c>
      <c r="G881" s="43" t="s">
        <v>2777</v>
      </c>
      <c r="H881" s="137" t="s">
        <v>3162</v>
      </c>
      <c r="I881" s="157" t="s">
        <v>839</v>
      </c>
      <c r="J881" s="407" t="str">
        <f>INDEX(数据元说明!A:F,MATCH(I881,数据元说明!C:C,0),2)</f>
        <v>005026</v>
      </c>
      <c r="K881" s="158" t="str">
        <f>INDEX(数据元说明!A:F,MATCH(I881,数据元说明!C:C,0),5)</f>
        <v>正常、结清、逾期、核销、转让，其他-银行自定义。以枚举类型填报，如无法以枚举类型填报，则以“其他-XX”填报，其中“XX”为银行自定义状态。</v>
      </c>
      <c r="L881" s="43" t="str">
        <f>INDEX(数据元说明!A:F,MATCH(I881,数据元说明!C:C,0),6)</f>
        <v>C..30</v>
      </c>
      <c r="M881" s="158"/>
      <c r="N881" s="129" t="s">
        <v>25</v>
      </c>
      <c r="O881" s="139" t="s">
        <v>275</v>
      </c>
      <c r="P881" s="139" t="s">
        <v>1588</v>
      </c>
    </row>
    <row r="882" s="81" customFormat="1" ht="30" customHeight="1" outlineLevel="1" spans="1:16">
      <c r="A882" s="134"/>
      <c r="B882" s="47"/>
      <c r="C882" s="39"/>
      <c r="D882" s="39"/>
      <c r="E882" s="47"/>
      <c r="F882" s="169" t="s">
        <v>449</v>
      </c>
      <c r="G882" s="148" t="s">
        <v>1571</v>
      </c>
      <c r="H882" s="148" t="s">
        <v>3163</v>
      </c>
      <c r="I882" s="169" t="s">
        <v>449</v>
      </c>
      <c r="J882" s="170" t="str">
        <f>INDEX(数据元说明!A:F,MATCH(I882,数据元说明!C:C,0),2)</f>
        <v>001040</v>
      </c>
      <c r="K882" s="171" t="str">
        <f>INDEX(数据元说明!A:F,MATCH(I882,数据元说明!C:C,0),5)</f>
        <v>银行自定义。</v>
      </c>
      <c r="L882" s="170" t="str">
        <f>INDEX(数据元说明!A:F,MATCH(I882,数据元说明!C:C,0),6)</f>
        <v>C..600</v>
      </c>
      <c r="M882" s="149" t="s">
        <v>1573</v>
      </c>
      <c r="N882" s="143" t="s">
        <v>57</v>
      </c>
      <c r="O882" s="173"/>
      <c r="P882" s="173"/>
    </row>
    <row r="883" s="61" customFormat="1" ht="30" customHeight="1" outlineLevel="1" spans="1:16">
      <c r="A883" s="130"/>
      <c r="B883" s="36"/>
      <c r="C883" s="25"/>
      <c r="D883" s="25"/>
      <c r="E883" s="36"/>
      <c r="F883" s="131" t="s">
        <v>1574</v>
      </c>
      <c r="G883" s="31" t="s">
        <v>1575</v>
      </c>
      <c r="H883" s="132" t="s">
        <v>3164</v>
      </c>
      <c r="I883" s="131" t="s">
        <v>302</v>
      </c>
      <c r="J883" s="31" t="str">
        <f>INDEX(数据元说明!A:F,MATCH(I883,数据元说明!C:C,0),2)</f>
        <v>001005</v>
      </c>
      <c r="K883" s="133" t="str">
        <f>INDEX(数据元说明!A:F,MATCH(I883,数据元说明!C:C,0),5)</f>
        <v>YYYYMMDD，默认值99991231。</v>
      </c>
      <c r="L883" s="31" t="str">
        <f>INDEX(数据元说明!A:F,MATCH(I883,数据元说明!C:C,0),6)</f>
        <v>C8</v>
      </c>
      <c r="M883" s="133" t="s">
        <v>1577</v>
      </c>
      <c r="N883" s="99"/>
      <c r="O883" s="99"/>
      <c r="P883" s="99"/>
    </row>
    <row r="884" s="83" customFormat="1" ht="30" customHeight="1" spans="1:16">
      <c r="A884" s="188"/>
      <c r="B884" s="189"/>
      <c r="C884" s="190" t="s">
        <v>137</v>
      </c>
      <c r="D884" s="191" t="s">
        <v>138</v>
      </c>
      <c r="E884" s="192" t="s">
        <v>3165</v>
      </c>
      <c r="F884" s="193"/>
      <c r="G884" s="194"/>
      <c r="H884" s="192"/>
      <c r="I884" s="193"/>
      <c r="J884" s="194"/>
      <c r="K884" s="195"/>
      <c r="L884" s="194"/>
      <c r="M884" s="193" t="str">
        <f>INDEX(表结构总览!E:H,MATCH(D884,表结构总览!E:E,0),4)</f>
        <v>[个人信贷业务借据表]和[对公信贷业务借据表]中放款方式为“受托支付”或“混合支付”的，在该表中报送受托支付对象信息。</v>
      </c>
      <c r="N884" s="143" t="s">
        <v>57</v>
      </c>
      <c r="O884" s="164"/>
      <c r="P884" s="143"/>
    </row>
    <row r="885" s="61" customFormat="1" ht="30" customHeight="1" outlineLevel="1" spans="1:16">
      <c r="A885" s="184"/>
      <c r="B885" s="185"/>
      <c r="C885" s="25"/>
      <c r="D885" s="25"/>
      <c r="E885" s="36"/>
      <c r="F885" s="131" t="s">
        <v>325</v>
      </c>
      <c r="G885" s="31" t="s">
        <v>1520</v>
      </c>
      <c r="H885" s="132" t="s">
        <v>3166</v>
      </c>
      <c r="I885" s="131" t="s">
        <v>325</v>
      </c>
      <c r="J885" s="31" t="str">
        <f>INDEX(数据元说明!A:F,MATCH(I885,数据元说明!C:C,0),2)</f>
        <v>001010</v>
      </c>
      <c r="K885" s="133" t="str">
        <f>INDEX(数据元说明!A:F,MATCH(I885,数据元说明!C:C,0),5)</f>
        <v>12位人行支付行号或SWIFT行号。</v>
      </c>
      <c r="L885" s="31" t="str">
        <f>INDEX(数据元说明!A:F,MATCH(I885,数据元说明!C:C,0),6)</f>
        <v>C..30</v>
      </c>
      <c r="M885" s="133" t="s">
        <v>1579</v>
      </c>
      <c r="N885" s="143" t="s">
        <v>57</v>
      </c>
      <c r="O885" s="99"/>
      <c r="P885" s="33" t="s">
        <v>1588</v>
      </c>
    </row>
    <row r="886" s="81" customFormat="1" ht="30" customHeight="1" outlineLevel="1" spans="1:16">
      <c r="A886" s="134"/>
      <c r="B886" s="47"/>
      <c r="C886" s="39"/>
      <c r="D886" s="39"/>
      <c r="E886" s="47"/>
      <c r="F886" s="135" t="s">
        <v>329</v>
      </c>
      <c r="G886" s="136" t="s">
        <v>1526</v>
      </c>
      <c r="H886" s="137" t="s">
        <v>3167</v>
      </c>
      <c r="I886" s="135" t="s">
        <v>329</v>
      </c>
      <c r="J886" s="136" t="str">
        <f>INDEX(数据元说明!A:F,MATCH(I886,数据元说明!C:C,0),2)</f>
        <v>001011</v>
      </c>
      <c r="K886" s="138" t="str">
        <f>INDEX(数据元说明!A:F,MATCH(I886,数据元说明!C:C,0),5)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886" s="136" t="str">
        <f>INDEX(数据元说明!A:F,MATCH(I886,数据元说明!C:C,0),6)</f>
        <v>C..30</v>
      </c>
      <c r="M886" s="138" t="s">
        <v>3168</v>
      </c>
      <c r="N886" s="129" t="s">
        <v>25</v>
      </c>
      <c r="O886" s="129" t="s">
        <v>449</v>
      </c>
      <c r="P886" s="139"/>
    </row>
    <row r="887" s="61" customFormat="1" ht="30" customHeight="1" outlineLevel="1" spans="1:16">
      <c r="A887" s="130"/>
      <c r="B887" s="36"/>
      <c r="C887" s="25"/>
      <c r="D887" s="25"/>
      <c r="E887" s="36"/>
      <c r="F887" s="131" t="s">
        <v>333</v>
      </c>
      <c r="G887" s="31" t="s">
        <v>1523</v>
      </c>
      <c r="H887" s="132" t="s">
        <v>3169</v>
      </c>
      <c r="I887" s="131" t="s">
        <v>333</v>
      </c>
      <c r="J887" s="31" t="str">
        <f>INDEX(数据元说明!A:F,MATCH(I887,数据元说明!C:C,0),2)</f>
        <v>001012</v>
      </c>
      <c r="K887" s="133" t="str">
        <f>INDEX(数据元说明!A:F,MATCH(I887,数据元说明!C:C,0),5)</f>
        <v>银行内部机构号。应具有标识机构的唯一性。</v>
      </c>
      <c r="L887" s="31" t="str">
        <f>INDEX(数据元说明!A:F,MATCH(I887,数据元说明!C:C,0),6)</f>
        <v>C..30</v>
      </c>
      <c r="M887" s="133" t="s">
        <v>1834</v>
      </c>
      <c r="N887" s="143" t="s">
        <v>57</v>
      </c>
      <c r="O887" s="99"/>
      <c r="P887" s="33" t="s">
        <v>1588</v>
      </c>
    </row>
    <row r="888" s="61" customFormat="1" ht="30" customHeight="1" outlineLevel="1" spans="1:16">
      <c r="A888" s="184"/>
      <c r="B888" s="185"/>
      <c r="C888" s="25"/>
      <c r="D888" s="25"/>
      <c r="E888" s="36"/>
      <c r="F888" s="131" t="s">
        <v>2895</v>
      </c>
      <c r="G888" s="31" t="s">
        <v>2896</v>
      </c>
      <c r="H888" s="132" t="s">
        <v>3170</v>
      </c>
      <c r="I888" s="131" t="s">
        <v>681</v>
      </c>
      <c r="J888" s="31" t="str">
        <f>INDEX(数据元说明!A:F,MATCH(I888,数据元说明!C:C,0),2)</f>
        <v>003028</v>
      </c>
      <c r="K888" s="133" t="str">
        <f>INDEX(数据元说明!A:F,MATCH(I888,数据元说明!C:C,0),5)</f>
        <v>合同号。</v>
      </c>
      <c r="L888" s="31" t="str">
        <f>INDEX(数据元说明!A:F,MATCH(I888,数据元说明!C:C,0),6)</f>
        <v>C..100</v>
      </c>
      <c r="M888" s="133" t="s">
        <v>2951</v>
      </c>
      <c r="N888" s="99"/>
      <c r="O888" s="99"/>
      <c r="P888" s="99"/>
    </row>
    <row r="889" s="61" customFormat="1" ht="30" customHeight="1" outlineLevel="1" spans="1:16">
      <c r="A889" s="184"/>
      <c r="B889" s="185"/>
      <c r="C889" s="25"/>
      <c r="D889" s="25"/>
      <c r="E889" s="36"/>
      <c r="F889" s="131" t="s">
        <v>2752</v>
      </c>
      <c r="G889" s="31" t="s">
        <v>2753</v>
      </c>
      <c r="H889" s="132" t="s">
        <v>3171</v>
      </c>
      <c r="I889" s="131" t="s">
        <v>677</v>
      </c>
      <c r="J889" s="31" t="str">
        <f>INDEX(数据元说明!A:F,MATCH(I889,数据元说明!C:C,0),2)</f>
        <v>003027</v>
      </c>
      <c r="K889" s="133" t="str">
        <f>INDEX(数据元说明!A:F,MATCH(I889,数据元说明!C:C,0),5)</f>
        <v>借据统一编号。</v>
      </c>
      <c r="L889" s="31" t="str">
        <f>INDEX(数据元说明!A:F,MATCH(I889,数据元说明!C:C,0),6)</f>
        <v>C..100</v>
      </c>
      <c r="M889" s="133" t="s">
        <v>3172</v>
      </c>
      <c r="N889" s="143" t="s">
        <v>57</v>
      </c>
      <c r="O889" s="99"/>
      <c r="P889" s="33" t="s">
        <v>1588</v>
      </c>
    </row>
    <row r="890" s="81" customFormat="1" ht="30" customHeight="1" outlineLevel="1" spans="1:16">
      <c r="A890" s="134"/>
      <c r="B890" s="47"/>
      <c r="C890" s="39"/>
      <c r="D890" s="39"/>
      <c r="E890" s="47"/>
      <c r="F890" s="135" t="s">
        <v>624</v>
      </c>
      <c r="G890" s="136" t="s">
        <v>1989</v>
      </c>
      <c r="H890" s="137" t="s">
        <v>3173</v>
      </c>
      <c r="I890" s="135" t="s">
        <v>624</v>
      </c>
      <c r="J890" s="136" t="str">
        <f>INDEX(数据元说明!A:F,MATCH(I890,数据元说明!C:C,0),2)</f>
        <v>003014</v>
      </c>
      <c r="K890" s="138" t="str">
        <f>INDEX(数据元说明!A:F,MATCH(I890,数据元说明!C:C,0),5)</f>
        <v>遵循《GB/T 12406 表示货币和资金的代码》的字母代码，如CNY。上述文件所列币种无法涵盖的，允许银行自定义填报。多个币种合计折算为人民币（本外币合计）的，填报为BWB。</v>
      </c>
      <c r="L890" s="136" t="str">
        <f>INDEX(数据元说明!A:F,MATCH(I890,数据元说明!C:C,0),6)</f>
        <v>C3</v>
      </c>
      <c r="M890" s="138"/>
      <c r="N890" s="164" t="s">
        <v>57</v>
      </c>
      <c r="O890" s="140"/>
      <c r="P890" s="140"/>
    </row>
    <row r="891" s="81" customFormat="1" ht="30" customHeight="1" outlineLevel="1" spans="1:16">
      <c r="A891" s="167"/>
      <c r="B891" s="168"/>
      <c r="C891" s="176"/>
      <c r="D891" s="176"/>
      <c r="E891" s="168"/>
      <c r="F891" s="157" t="s">
        <v>2761</v>
      </c>
      <c r="G891" s="43" t="s">
        <v>2762</v>
      </c>
      <c r="H891" s="137" t="s">
        <v>3174</v>
      </c>
      <c r="I891" s="157" t="s">
        <v>609</v>
      </c>
      <c r="J891" s="43" t="str">
        <f>INDEX(数据元说明!A:F,MATCH(I891,数据元说明!C:C,0),2)</f>
        <v>003010</v>
      </c>
      <c r="K891" s="158" t="str">
        <f>INDEX(数据元说明!A:F,MATCH(I891,数据元说明!C:C,0),5)</f>
        <v>与币种相对应金额。</v>
      </c>
      <c r="L891" s="43" t="str">
        <f>INDEX(数据元说明!A:F,MATCH(I891,数据元说明!C:C,0),6)</f>
        <v>D20.2</v>
      </c>
      <c r="M891" s="158" t="s">
        <v>2764</v>
      </c>
      <c r="N891" s="143" t="s">
        <v>57</v>
      </c>
      <c r="O891" s="140"/>
      <c r="P891" s="140"/>
    </row>
    <row r="892" s="81" customFormat="1" ht="30" customHeight="1" outlineLevel="1" spans="1:16">
      <c r="A892" s="167"/>
      <c r="B892" s="168"/>
      <c r="C892" s="176"/>
      <c r="D892" s="176"/>
      <c r="E892" s="168"/>
      <c r="F892" s="157" t="s">
        <v>3175</v>
      </c>
      <c r="G892" s="43" t="s">
        <v>3176</v>
      </c>
      <c r="H892" s="137" t="s">
        <v>3177</v>
      </c>
      <c r="I892" s="157" t="s">
        <v>609</v>
      </c>
      <c r="J892" s="43" t="str">
        <f>INDEX(数据元说明!A:F,MATCH(I892,数据元说明!C:C,0),2)</f>
        <v>003010</v>
      </c>
      <c r="K892" s="158" t="str">
        <f>INDEX(数据元说明!A:F,MATCH(I892,数据元说明!C:C,0),5)</f>
        <v>与币种相对应金额。</v>
      </c>
      <c r="L892" s="43" t="str">
        <f>INDEX(数据元说明!A:F,MATCH(I892,数据元说明!C:C,0),6)</f>
        <v>D20.2</v>
      </c>
      <c r="M892" s="158" t="s">
        <v>3178</v>
      </c>
      <c r="N892" s="143" t="s">
        <v>57</v>
      </c>
      <c r="O892" s="140"/>
      <c r="P892" s="140"/>
    </row>
    <row r="893" s="81" customFormat="1" ht="30" customHeight="1" outlineLevel="1" spans="1:16">
      <c r="A893" s="167"/>
      <c r="B893" s="168"/>
      <c r="C893" s="176"/>
      <c r="D893" s="176"/>
      <c r="E893" s="168"/>
      <c r="F893" s="157" t="s">
        <v>3179</v>
      </c>
      <c r="G893" s="43" t="s">
        <v>3180</v>
      </c>
      <c r="H893" s="137" t="s">
        <v>3181</v>
      </c>
      <c r="I893" s="157" t="s">
        <v>302</v>
      </c>
      <c r="J893" s="43" t="str">
        <f>INDEX(数据元说明!A:F,MATCH(I893,数据元说明!C:C,0),2)</f>
        <v>001005</v>
      </c>
      <c r="K893" s="158" t="str">
        <f>INDEX(数据元说明!A:F,MATCH(I893,数据元说明!C:C,0),5)</f>
        <v>YYYYMMDD，默认值99991231。</v>
      </c>
      <c r="L893" s="43" t="str">
        <f>INDEX(数据元说明!A:F,MATCH(I893,数据元说明!C:C,0),6)</f>
        <v>C8</v>
      </c>
      <c r="M893" s="158" t="s">
        <v>3182</v>
      </c>
      <c r="N893" s="143" t="s">
        <v>57</v>
      </c>
      <c r="O893" s="140"/>
      <c r="P893" s="140"/>
    </row>
    <row r="894" s="81" customFormat="1" ht="30" customHeight="1" outlineLevel="1" spans="1:16">
      <c r="A894" s="134"/>
      <c r="B894" s="47"/>
      <c r="C894" s="39"/>
      <c r="D894" s="39"/>
      <c r="E894" s="47"/>
      <c r="F894" s="135" t="s">
        <v>3183</v>
      </c>
      <c r="G894" s="136" t="s">
        <v>3184</v>
      </c>
      <c r="H894" s="137" t="s">
        <v>3185</v>
      </c>
      <c r="I894" s="157" t="s">
        <v>697</v>
      </c>
      <c r="J894" s="136" t="str">
        <f>INDEX(数据元说明!A:F,MATCH(I894,数据元说明!C:C,0),2)</f>
        <v>003032</v>
      </c>
      <c r="K894" s="138" t="str">
        <f>INDEX(数据元说明!A:F,MATCH(I894,数据元说明!C:C,0),5)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894" s="136" t="str">
        <f>INDEX(数据元说明!A:F,MATCH(I894,数据元说明!C:C,0),6)</f>
        <v>C..60</v>
      </c>
      <c r="M894" s="138" t="s">
        <v>3186</v>
      </c>
      <c r="N894" s="143" t="s">
        <v>57</v>
      </c>
      <c r="O894" s="140"/>
      <c r="P894" s="140"/>
    </row>
    <row r="895" s="81" customFormat="1" ht="30" customHeight="1" outlineLevel="1" spans="1:16">
      <c r="A895" s="134"/>
      <c r="B895" s="47"/>
      <c r="C895" s="39"/>
      <c r="D895" s="39"/>
      <c r="E895" s="47"/>
      <c r="F895" s="135" t="s">
        <v>3187</v>
      </c>
      <c r="G895" s="136" t="s">
        <v>3188</v>
      </c>
      <c r="H895" s="137" t="s">
        <v>3189</v>
      </c>
      <c r="I895" s="135" t="s">
        <v>628</v>
      </c>
      <c r="J895" s="136" t="str">
        <f>INDEX(数据元说明!A:F,MATCH(I895,数据元说明!C:C,0),2)</f>
        <v>003015</v>
      </c>
      <c r="K895" s="138" t="str">
        <f>INDEX(数据元说明!A:F,MATCH(I895,数据元说明!C:C,0),5)</f>
        <v>账户归属者的名称。如果客户为个人，则为隐私，银行机构变形，变形规则见《采集技术接口说明》。客户是境内涉密机构的，账户名称填报为“*********”。其他情况，则为非隐私，不做变形。</v>
      </c>
      <c r="L895" s="136" t="str">
        <f>INDEX(数据元说明!A:F,MATCH(I895,数据元说明!C:C,0),6)</f>
        <v>C..400</v>
      </c>
      <c r="M895" s="138" t="s">
        <v>3190</v>
      </c>
      <c r="N895" s="143" t="s">
        <v>57</v>
      </c>
      <c r="O895" s="140"/>
      <c r="P895" s="140"/>
    </row>
    <row r="896" s="81" customFormat="1" ht="30" customHeight="1" outlineLevel="1" spans="1:16">
      <c r="A896" s="134"/>
      <c r="B896" s="47"/>
      <c r="C896" s="39"/>
      <c r="D896" s="39"/>
      <c r="E896" s="47"/>
      <c r="F896" s="135" t="s">
        <v>3191</v>
      </c>
      <c r="G896" s="136" t="s">
        <v>3192</v>
      </c>
      <c r="H896" s="137" t="s">
        <v>3193</v>
      </c>
      <c r="I896" s="135" t="s">
        <v>325</v>
      </c>
      <c r="J896" s="136" t="str">
        <f>INDEX(数据元说明!A:F,MATCH(I896,数据元说明!C:C,0),2)</f>
        <v>001010</v>
      </c>
      <c r="K896" s="138" t="str">
        <f>INDEX(数据元说明!A:F,MATCH(I896,数据元说明!C:C,0),5)</f>
        <v>12位人行支付行号或SWIFT行号。</v>
      </c>
      <c r="L896" s="136" t="str">
        <f>INDEX(数据元说明!A:F,MATCH(I896,数据元说明!C:C,0),6)</f>
        <v>C..30</v>
      </c>
      <c r="M896" s="138" t="s">
        <v>3194</v>
      </c>
      <c r="N896" s="143" t="s">
        <v>57</v>
      </c>
      <c r="O896" s="140"/>
      <c r="P896" s="140"/>
    </row>
    <row r="897" s="81" customFormat="1" ht="30" customHeight="1" outlineLevel="1" spans="1:16">
      <c r="A897" s="134"/>
      <c r="B897" s="47"/>
      <c r="C897" s="39"/>
      <c r="D897" s="39"/>
      <c r="E897" s="47"/>
      <c r="F897" s="135" t="s">
        <v>3195</v>
      </c>
      <c r="G897" s="136" t="s">
        <v>3196</v>
      </c>
      <c r="H897" s="137" t="s">
        <v>3197</v>
      </c>
      <c r="I897" s="135" t="s">
        <v>282</v>
      </c>
      <c r="J897" s="136" t="str">
        <f>INDEX(数据元说明!A:F,MATCH(I897,数据元说明!C:C,0),2)</f>
        <v>001001</v>
      </c>
      <c r="K897" s="138" t="str">
        <f>INDEX(数据元说明!A:F,MATCH(I897,数据元说明!C:C,0),5)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897" s="136" t="str">
        <f>INDEX(数据元说明!A:F,MATCH(I897,数据元说明!C:C,0),6)</f>
        <v>C..400</v>
      </c>
      <c r="M897" s="138" t="s">
        <v>3198</v>
      </c>
      <c r="N897" s="143" t="s">
        <v>57</v>
      </c>
      <c r="O897" s="140"/>
      <c r="P897" s="140"/>
    </row>
    <row r="898" s="81" customFormat="1" ht="30" customHeight="1" outlineLevel="1" spans="1:16">
      <c r="A898" s="134"/>
      <c r="B898" s="47"/>
      <c r="C898" s="39"/>
      <c r="D898" s="39"/>
      <c r="E898" s="47"/>
      <c r="F898" s="169" t="s">
        <v>449</v>
      </c>
      <c r="G898" s="148" t="s">
        <v>1571</v>
      </c>
      <c r="H898" s="148" t="s">
        <v>3199</v>
      </c>
      <c r="I898" s="169" t="s">
        <v>449</v>
      </c>
      <c r="J898" s="170" t="str">
        <f>INDEX(数据元说明!A:F,MATCH(I898,数据元说明!C:C,0),2)</f>
        <v>001040</v>
      </c>
      <c r="K898" s="171" t="str">
        <f>INDEX(数据元说明!A:F,MATCH(I898,数据元说明!C:C,0),5)</f>
        <v>银行自定义。</v>
      </c>
      <c r="L898" s="170" t="str">
        <f>INDEX(数据元说明!A:F,MATCH(I898,数据元说明!C:C,0),6)</f>
        <v>C..600</v>
      </c>
      <c r="M898" s="149" t="s">
        <v>1573</v>
      </c>
      <c r="N898" s="143" t="s">
        <v>57</v>
      </c>
      <c r="O898" s="173"/>
      <c r="P898" s="173"/>
    </row>
    <row r="899" s="61" customFormat="1" ht="30" customHeight="1" outlineLevel="1" spans="1:16">
      <c r="A899" s="130"/>
      <c r="B899" s="36"/>
      <c r="C899" s="25"/>
      <c r="D899" s="25"/>
      <c r="E899" s="36"/>
      <c r="F899" s="131" t="s">
        <v>1574</v>
      </c>
      <c r="G899" s="31" t="s">
        <v>1575</v>
      </c>
      <c r="H899" s="132" t="s">
        <v>3200</v>
      </c>
      <c r="I899" s="131" t="s">
        <v>302</v>
      </c>
      <c r="J899" s="31" t="str">
        <f>INDEX(数据元说明!A:F,MATCH(I899,数据元说明!C:C,0),2)</f>
        <v>001005</v>
      </c>
      <c r="K899" s="133" t="str">
        <f>INDEX(数据元说明!A:F,MATCH(I899,数据元说明!C:C,0),5)</f>
        <v>YYYYMMDD，默认值99991231。</v>
      </c>
      <c r="L899" s="31" t="str">
        <f>INDEX(数据元说明!A:F,MATCH(I899,数据元说明!C:C,0),6)</f>
        <v>C8</v>
      </c>
      <c r="M899" s="133" t="s">
        <v>1577</v>
      </c>
      <c r="N899" s="143" t="s">
        <v>57</v>
      </c>
      <c r="O899" s="99"/>
      <c r="P899" s="99"/>
    </row>
    <row r="900" s="81" customFormat="1" ht="30" customHeight="1" spans="1:16">
      <c r="A900" s="199"/>
      <c r="B900" s="49"/>
      <c r="C900" s="37" t="s">
        <v>141</v>
      </c>
      <c r="D900" s="38" t="s">
        <v>142</v>
      </c>
      <c r="E900" s="181" t="s">
        <v>3201</v>
      </c>
      <c r="F900" s="182"/>
      <c r="G900" s="183"/>
      <c r="H900" s="181"/>
      <c r="I900" s="182"/>
      <c r="J900" s="183"/>
      <c r="K900" s="128"/>
      <c r="L900" s="183"/>
      <c r="M900" s="128" t="str">
        <f>INDEX(表结构总览!E:H,MATCH(D900,表结构总览!E:E,0),4)</f>
        <v>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以信贷借据号为最小颗粒报送，同一合同下多笔借据的按多条报送。已结清、核销的数据在次月不再报送。</v>
      </c>
      <c r="N900" s="139" t="s">
        <v>25</v>
      </c>
      <c r="O900" s="139" t="s">
        <v>449</v>
      </c>
      <c r="P900" s="140"/>
    </row>
    <row r="901" s="61" customFormat="1" ht="30" customHeight="1" outlineLevel="1" spans="1:16">
      <c r="A901" s="130"/>
      <c r="B901" s="36"/>
      <c r="C901" s="25"/>
      <c r="D901" s="25"/>
      <c r="E901" s="36"/>
      <c r="F901" s="131" t="s">
        <v>325</v>
      </c>
      <c r="G901" s="31" t="s">
        <v>1520</v>
      </c>
      <c r="H901" s="132" t="s">
        <v>3202</v>
      </c>
      <c r="I901" s="131" t="s">
        <v>325</v>
      </c>
      <c r="J901" s="31" t="str">
        <f>INDEX(数据元说明!A:F,MATCH(I901,数据元说明!C:C,0),2)</f>
        <v>001010</v>
      </c>
      <c r="K901" s="133" t="str">
        <f>INDEX(数据元说明!A:F,MATCH(I901,数据元说明!C:C,0),5)</f>
        <v>12位人行支付行号或SWIFT行号。</v>
      </c>
      <c r="L901" s="31" t="str">
        <f>INDEX(数据元说明!A:F,MATCH(I901,数据元说明!C:C,0),6)</f>
        <v>C..30</v>
      </c>
      <c r="M901" s="133" t="s">
        <v>1579</v>
      </c>
      <c r="N901" s="99"/>
      <c r="O901" s="99"/>
      <c r="P901" s="99"/>
    </row>
    <row r="902" s="61" customFormat="1" ht="30" customHeight="1" outlineLevel="1" spans="1:16">
      <c r="A902" s="130"/>
      <c r="B902" s="36"/>
      <c r="C902" s="25"/>
      <c r="D902" s="25"/>
      <c r="E902" s="36"/>
      <c r="F902" s="131" t="s">
        <v>329</v>
      </c>
      <c r="G902" s="31" t="s">
        <v>1526</v>
      </c>
      <c r="H902" s="132" t="s">
        <v>3203</v>
      </c>
      <c r="I902" s="131" t="s">
        <v>329</v>
      </c>
      <c r="J902" s="31" t="str">
        <f>INDEX(数据元说明!A:F,MATCH(I902,数据元说明!C:C,0),2)</f>
        <v>001011</v>
      </c>
      <c r="K902" s="133" t="str">
        <f>INDEX(数据元说明!A:F,MATCH(I902,数据元说明!C:C,0),5)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02" s="31" t="str">
        <f>INDEX(数据元说明!A:F,MATCH(I902,数据元说明!C:C,0),6)</f>
        <v>C..30</v>
      </c>
      <c r="M902" s="133" t="s">
        <v>3204</v>
      </c>
      <c r="N902" s="99"/>
      <c r="O902" s="99"/>
      <c r="P902" s="99"/>
    </row>
    <row r="903" s="61" customFormat="1" ht="30" customHeight="1" outlineLevel="1" spans="1:16">
      <c r="A903" s="130"/>
      <c r="B903" s="36"/>
      <c r="C903" s="25"/>
      <c r="D903" s="25"/>
      <c r="E903" s="36"/>
      <c r="F903" s="131" t="s">
        <v>333</v>
      </c>
      <c r="G903" s="31" t="s">
        <v>1523</v>
      </c>
      <c r="H903" s="132" t="s">
        <v>3205</v>
      </c>
      <c r="I903" s="131" t="s">
        <v>333</v>
      </c>
      <c r="J903" s="31" t="str">
        <f>INDEX(数据元说明!A:F,MATCH(I903,数据元说明!C:C,0),2)</f>
        <v>001012</v>
      </c>
      <c r="K903" s="133" t="str">
        <f>INDEX(数据元说明!A:F,MATCH(I903,数据元说明!C:C,0),5)</f>
        <v>银行内部机构号。应具有标识机构的唯一性。</v>
      </c>
      <c r="L903" s="31" t="str">
        <f>INDEX(数据元说明!A:F,MATCH(I903,数据元说明!C:C,0),6)</f>
        <v>C..30</v>
      </c>
      <c r="M903" s="133" t="s">
        <v>1834</v>
      </c>
      <c r="N903" s="99"/>
      <c r="O903" s="99"/>
      <c r="P903" s="33" t="s">
        <v>1588</v>
      </c>
    </row>
    <row r="904" s="81" customFormat="1" ht="30" customHeight="1" outlineLevel="1" spans="1:16">
      <c r="A904" s="134"/>
      <c r="B904" s="47"/>
      <c r="C904" s="39"/>
      <c r="D904" s="39"/>
      <c r="E904" s="47"/>
      <c r="F904" s="135" t="s">
        <v>1532</v>
      </c>
      <c r="G904" s="136" t="s">
        <v>1533</v>
      </c>
      <c r="H904" s="137" t="s">
        <v>3206</v>
      </c>
      <c r="I904" s="135" t="s">
        <v>282</v>
      </c>
      <c r="J904" s="136" t="str">
        <f>INDEX(数据元说明!A:F,MATCH(I904,数据元说明!C:C,0),2)</f>
        <v>001001</v>
      </c>
      <c r="K904" s="138" t="str">
        <f>INDEX(数据元说明!A:F,MATCH(I904,数据元说明!C:C,0),5)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04" s="136" t="str">
        <f>INDEX(数据元说明!A:F,MATCH(I904,数据元说明!C:C,0),6)</f>
        <v>C..400</v>
      </c>
      <c r="M904" s="138" t="s">
        <v>1584</v>
      </c>
      <c r="N904" s="139" t="s">
        <v>25</v>
      </c>
      <c r="O904" s="139" t="s">
        <v>280</v>
      </c>
      <c r="P904" s="140" t="s">
        <v>1588</v>
      </c>
    </row>
    <row r="905" s="81" customFormat="1" ht="30" customHeight="1" outlineLevel="1" spans="1:16">
      <c r="A905" s="134"/>
      <c r="B905" s="47"/>
      <c r="C905" s="39"/>
      <c r="D905" s="39"/>
      <c r="E905" s="47"/>
      <c r="F905" s="135" t="s">
        <v>2895</v>
      </c>
      <c r="G905" s="136" t="s">
        <v>2896</v>
      </c>
      <c r="H905" s="137" t="s">
        <v>3207</v>
      </c>
      <c r="I905" s="135" t="s">
        <v>681</v>
      </c>
      <c r="J905" s="136" t="str">
        <f>INDEX(数据元说明!A:F,MATCH(I905,数据元说明!C:C,0),2)</f>
        <v>003028</v>
      </c>
      <c r="K905" s="138" t="str">
        <f>INDEX(数据元说明!A:F,MATCH(I905,数据元说明!C:C,0),5)</f>
        <v>合同号。</v>
      </c>
      <c r="L905" s="136" t="str">
        <f>INDEX(数据元说明!A:F,MATCH(I905,数据元说明!C:C,0),6)</f>
        <v>C..100</v>
      </c>
      <c r="M905" s="138" t="s">
        <v>3208</v>
      </c>
      <c r="N905" s="139" t="s">
        <v>25</v>
      </c>
      <c r="O905" s="139" t="s">
        <v>449</v>
      </c>
      <c r="P905" s="140"/>
    </row>
    <row r="906" s="81" customFormat="1" ht="30" customHeight="1" outlineLevel="1" spans="1:16">
      <c r="A906" s="141"/>
      <c r="B906" s="142"/>
      <c r="C906" s="39"/>
      <c r="D906" s="39"/>
      <c r="E906" s="47"/>
      <c r="F906" s="135" t="s">
        <v>2752</v>
      </c>
      <c r="G906" s="136" t="s">
        <v>2753</v>
      </c>
      <c r="H906" s="137" t="s">
        <v>3209</v>
      </c>
      <c r="I906" s="135" t="s">
        <v>677</v>
      </c>
      <c r="J906" s="136" t="str">
        <f>INDEX(数据元说明!A:F,MATCH(I906,数据元说明!C:C,0),2)</f>
        <v>003027</v>
      </c>
      <c r="K906" s="138" t="str">
        <f>INDEX(数据元说明!A:F,MATCH(I906,数据元说明!C:C,0),5)</f>
        <v>借据统一编号。</v>
      </c>
      <c r="L906" s="136" t="str">
        <f>INDEX(数据元说明!A:F,MATCH(I906,数据元说明!C:C,0),6)</f>
        <v>C..100</v>
      </c>
      <c r="M906" s="138" t="s">
        <v>3210</v>
      </c>
      <c r="N906" s="143" t="s">
        <v>57</v>
      </c>
      <c r="O906" s="140"/>
      <c r="P906" s="139"/>
    </row>
    <row r="907" s="81" customFormat="1" ht="30" customHeight="1" outlineLevel="1" spans="1:16">
      <c r="A907" s="134"/>
      <c r="B907" s="47"/>
      <c r="C907" s="39"/>
      <c r="D907" s="39"/>
      <c r="E907" s="47"/>
      <c r="F907" s="135" t="s">
        <v>777</v>
      </c>
      <c r="G907" s="136" t="s">
        <v>3211</v>
      </c>
      <c r="H907" s="137" t="s">
        <v>3212</v>
      </c>
      <c r="I907" s="135" t="s">
        <v>777</v>
      </c>
      <c r="J907" s="136" t="str">
        <f>INDEX(数据元说明!A:F,MATCH(I907,数据元说明!C:C,0),2)</f>
        <v>005010</v>
      </c>
      <c r="K907" s="138" t="str">
        <f>INDEX(数据元说明!A:F,MATCH(I907,数据元说明!C:C,0),5)</f>
        <v>基础设施建设项目，房地产项目，技术改造项目，科技开发项目，并购贷款，其他-银行自定义类型。如无法以枚举类型填报，则以“其他-XX”填报，其中“XX”为银行自定义类型。</v>
      </c>
      <c r="L907" s="136" t="str">
        <f>INDEX(数据元说明!A:F,MATCH(I907,数据元说明!C:C,0),6)</f>
        <v>C..100</v>
      </c>
      <c r="M907" s="138"/>
      <c r="N907" s="140" t="s">
        <v>25</v>
      </c>
      <c r="O907" s="139" t="s">
        <v>275</v>
      </c>
      <c r="P907" s="140"/>
    </row>
    <row r="908" s="61" customFormat="1" ht="30" customHeight="1" outlineLevel="1" spans="1:16">
      <c r="A908" s="130"/>
      <c r="B908" s="36"/>
      <c r="C908" s="25"/>
      <c r="D908" s="25"/>
      <c r="E908" s="36"/>
      <c r="F908" s="131" t="s">
        <v>772</v>
      </c>
      <c r="G908" s="31" t="s">
        <v>3213</v>
      </c>
      <c r="H908" s="132" t="s">
        <v>3214</v>
      </c>
      <c r="I908" s="131" t="s">
        <v>772</v>
      </c>
      <c r="J908" s="31" t="str">
        <f>INDEX(数据元说明!A:F,MATCH(I908,数据元说明!C:C,0),2)</f>
        <v>005009</v>
      </c>
      <c r="K908" s="133" t="str">
        <f>INDEX(数据元说明!A:F,MATCH(I908,数据元说明!C:C,0),5)</f>
        <v>项目贷款名称。</v>
      </c>
      <c r="L908" s="31" t="str">
        <f>INDEX(数据元说明!A:F,MATCH(I908,数据元说明!C:C,0),6)</f>
        <v>C..100 </v>
      </c>
      <c r="M908" s="133"/>
      <c r="N908" s="99"/>
      <c r="O908" s="99"/>
      <c r="P908" s="99"/>
    </row>
    <row r="909" s="61" customFormat="1" ht="30" customHeight="1" outlineLevel="1" spans="1:16">
      <c r="A909" s="184"/>
      <c r="B909" s="185"/>
      <c r="C909" s="25"/>
      <c r="D909" s="25"/>
      <c r="E909" s="36"/>
      <c r="F909" s="131" t="s">
        <v>624</v>
      </c>
      <c r="G909" s="31" t="s">
        <v>1989</v>
      </c>
      <c r="H909" s="132" t="s">
        <v>3215</v>
      </c>
      <c r="I909" s="131" t="s">
        <v>624</v>
      </c>
      <c r="J909" s="31" t="str">
        <f>INDEX(数据元说明!A:F,MATCH(I909,数据元说明!C:C,0),2)</f>
        <v>003014</v>
      </c>
      <c r="K909" s="133" t="str">
        <f>INDEX(数据元说明!A:F,MATCH(I909,数据元说明!C:C,0),5)</f>
        <v>遵循《GB/T 12406 表示货币和资金的代码》的字母代码，如CNY。上述文件所列币种无法涵盖的，允许银行自定义填报。多个币种合计折算为人民币（本外币合计）的，填报为BWB。</v>
      </c>
      <c r="L909" s="31" t="str">
        <f>INDEX(数据元说明!A:F,MATCH(I909,数据元说明!C:C,0),6)</f>
        <v>C3</v>
      </c>
      <c r="M909" s="133"/>
      <c r="N909" s="33" t="s">
        <v>25</v>
      </c>
      <c r="O909" s="99"/>
      <c r="P909" s="33" t="s">
        <v>1588</v>
      </c>
    </row>
    <row r="910" s="81" customFormat="1" ht="30" customHeight="1" outlineLevel="1" spans="1:16">
      <c r="A910" s="141"/>
      <c r="B910" s="142"/>
      <c r="C910" s="39"/>
      <c r="D910" s="39"/>
      <c r="E910" s="47"/>
      <c r="F910" s="135" t="s">
        <v>2761</v>
      </c>
      <c r="G910" s="136" t="s">
        <v>2762</v>
      </c>
      <c r="H910" s="137" t="s">
        <v>3216</v>
      </c>
      <c r="I910" s="135" t="s">
        <v>609</v>
      </c>
      <c r="J910" s="136" t="str">
        <f>INDEX(数据元说明!A:F,MATCH(I910,数据元说明!C:C,0),2)</f>
        <v>003010</v>
      </c>
      <c r="K910" s="138" t="str">
        <f>INDEX(数据元说明!A:F,MATCH(I910,数据元说明!C:C,0),5)</f>
        <v>与币种相对应金额。</v>
      </c>
      <c r="L910" s="136" t="str">
        <f>INDEX(数据元说明!A:F,MATCH(I910,数据元说明!C:C,0),6)</f>
        <v>D20.2</v>
      </c>
      <c r="M910" s="138" t="s">
        <v>3217</v>
      </c>
      <c r="N910" s="129" t="s">
        <v>25</v>
      </c>
      <c r="O910" s="139" t="s">
        <v>1550</v>
      </c>
      <c r="P910" s="139"/>
    </row>
    <row r="911" s="81" customFormat="1" ht="30" customHeight="1" outlineLevel="1" spans="1:16">
      <c r="A911" s="141"/>
      <c r="B911" s="142"/>
      <c r="C911" s="39"/>
      <c r="D911" s="39"/>
      <c r="E911" s="47"/>
      <c r="F911" s="135" t="s">
        <v>2765</v>
      </c>
      <c r="G911" s="136" t="s">
        <v>2766</v>
      </c>
      <c r="H911" s="137" t="s">
        <v>3218</v>
      </c>
      <c r="I911" s="135" t="s">
        <v>613</v>
      </c>
      <c r="J911" s="136" t="str">
        <f>INDEX(数据元说明!A:F,MATCH(I911,数据元说明!C:C,0),2)</f>
        <v>003011</v>
      </c>
      <c r="K911" s="138" t="str">
        <f>INDEX(数据元说明!A:F,MATCH(I911,数据元说明!C:C,0),5)</f>
        <v>与币种相对应金额。</v>
      </c>
      <c r="L911" s="136" t="str">
        <f>INDEX(数据元说明!A:F,MATCH(I911,数据元说明!C:C,0),6)</f>
        <v>D20.2</v>
      </c>
      <c r="M911" s="138" t="s">
        <v>2768</v>
      </c>
      <c r="N911" s="143" t="s">
        <v>57</v>
      </c>
      <c r="O911" s="139"/>
      <c r="P911" s="139"/>
    </row>
    <row r="912" s="61" customFormat="1" ht="30" customHeight="1" outlineLevel="1" spans="1:16">
      <c r="A912" s="130"/>
      <c r="B912" s="36"/>
      <c r="C912" s="25"/>
      <c r="D912" s="25"/>
      <c r="E912" s="36"/>
      <c r="F912" s="131" t="s">
        <v>3219</v>
      </c>
      <c r="G912" s="31" t="s">
        <v>3220</v>
      </c>
      <c r="H912" s="132" t="s">
        <v>3221</v>
      </c>
      <c r="I912" s="131" t="s">
        <v>287</v>
      </c>
      <c r="J912" s="31" t="str">
        <f>INDEX(数据元说明!A:F,MATCH(I912,数据元说明!C:C,0),2)</f>
        <v>001002</v>
      </c>
      <c r="K912" s="133" t="str">
        <f>INDEX(数据元说明!A:F,MATCH(I912,数据元说明!C:C,0),5)</f>
        <v>是，否。</v>
      </c>
      <c r="L912" s="31" t="str">
        <f>INDEX(数据元说明!A:F,MATCH(I912,数据元说明!C:C,0),6)</f>
        <v>C3</v>
      </c>
      <c r="M912" s="133"/>
      <c r="N912" s="99"/>
      <c r="O912" s="99"/>
      <c r="P912" s="99"/>
    </row>
    <row r="913" s="81" customFormat="1" ht="30" customHeight="1" outlineLevel="1" spans="1:16">
      <c r="A913" s="141"/>
      <c r="B913" s="142"/>
      <c r="C913" s="177"/>
      <c r="D913" s="177"/>
      <c r="E913" s="142"/>
      <c r="F913" s="135" t="s">
        <v>3222</v>
      </c>
      <c r="G913" s="136" t="s">
        <v>3223</v>
      </c>
      <c r="H913" s="137" t="s">
        <v>3224</v>
      </c>
      <c r="I913" s="135" t="s">
        <v>453</v>
      </c>
      <c r="J913" s="136" t="str">
        <f>INDEX(数据元说明!A:F,MATCH(I913,数据元说明!C:C,0),2)</f>
        <v>002001</v>
      </c>
      <c r="K913" s="138" t="str">
        <f>INDEX(数据元说明!A:F,MATCH(I913,数据元说明!C:C,0),5)</f>
        <v>银行自定义的唯一识别客户的标识。供应链融资的填写供应链融资编码。</v>
      </c>
      <c r="L913" s="136" t="str">
        <f>INDEX(数据元说明!A:F,MATCH(I913,数据元说明!C:C,0),6)</f>
        <v>C..60</v>
      </c>
      <c r="M913" s="138" t="s">
        <v>2548</v>
      </c>
      <c r="N913" s="139" t="s">
        <v>25</v>
      </c>
      <c r="O913" s="140"/>
      <c r="P913" s="139" t="s">
        <v>1588</v>
      </c>
    </row>
    <row r="914" s="61" customFormat="1" ht="30" customHeight="1" outlineLevel="1" spans="1:16">
      <c r="A914" s="130"/>
      <c r="B914" s="36"/>
      <c r="C914" s="25"/>
      <c r="D914" s="25"/>
      <c r="E914" s="36"/>
      <c r="F914" s="135" t="s">
        <v>3225</v>
      </c>
      <c r="G914" s="136" t="s">
        <v>3226</v>
      </c>
      <c r="H914" s="137" t="s">
        <v>3227</v>
      </c>
      <c r="I914" s="135" t="s">
        <v>282</v>
      </c>
      <c r="J914" s="136" t="str">
        <f>INDEX(数据元说明!A:F,MATCH(I914,数据元说明!C:C,0),2)</f>
        <v>001001</v>
      </c>
      <c r="K914" s="138" t="str">
        <f>INDEX(数据元说明!A:F,MATCH(I914,数据元说明!C:C,0),5)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14" s="136" t="str">
        <f>INDEX(数据元说明!A:F,MATCH(I914,数据元说明!C:C,0),6)</f>
        <v>C..400</v>
      </c>
      <c r="M914" s="138" t="s">
        <v>1600</v>
      </c>
      <c r="N914" s="139" t="s">
        <v>25</v>
      </c>
      <c r="O914" s="139" t="s">
        <v>1613</v>
      </c>
      <c r="P914" s="140"/>
    </row>
    <row r="915" s="61" customFormat="1" ht="30" customHeight="1" outlineLevel="1" spans="1:16">
      <c r="A915" s="184"/>
      <c r="B915" s="185"/>
      <c r="C915" s="25"/>
      <c r="D915" s="25"/>
      <c r="E915" s="36"/>
      <c r="F915" s="131" t="s">
        <v>3228</v>
      </c>
      <c r="G915" s="31" t="s">
        <v>3229</v>
      </c>
      <c r="H915" s="132" t="s">
        <v>3230</v>
      </c>
      <c r="I915" s="131" t="s">
        <v>609</v>
      </c>
      <c r="J915" s="31" t="str">
        <f>INDEX(数据元说明!A:F,MATCH(I915,数据元说明!C:C,0),2)</f>
        <v>003010</v>
      </c>
      <c r="K915" s="133" t="str">
        <f>INDEX(数据元说明!A:F,MATCH(I915,数据元说明!C:C,0),5)</f>
        <v>与币种相对应金额。</v>
      </c>
      <c r="L915" s="31" t="str">
        <f>INDEX(数据元说明!A:F,MATCH(I915,数据元说明!C:C,0),6)</f>
        <v>D20.2</v>
      </c>
      <c r="M915" s="133"/>
      <c r="N915" s="99"/>
      <c r="O915" s="99"/>
      <c r="P915" s="99"/>
    </row>
    <row r="916" s="61" customFormat="1" ht="30" customHeight="1" outlineLevel="1" spans="1:16">
      <c r="A916" s="184"/>
      <c r="B916" s="185"/>
      <c r="C916" s="25"/>
      <c r="D916" s="25"/>
      <c r="E916" s="36"/>
      <c r="F916" s="131" t="s">
        <v>3231</v>
      </c>
      <c r="G916" s="31" t="s">
        <v>3232</v>
      </c>
      <c r="H916" s="132" t="s">
        <v>3233</v>
      </c>
      <c r="I916" s="131" t="s">
        <v>609</v>
      </c>
      <c r="J916" s="31" t="str">
        <f>INDEX(数据元说明!A:F,MATCH(I916,数据元说明!C:C,0),2)</f>
        <v>003010</v>
      </c>
      <c r="K916" s="133" t="str">
        <f>INDEX(数据元说明!A:F,MATCH(I916,数据元说明!C:C,0),5)</f>
        <v>与币种相对应金额。</v>
      </c>
      <c r="L916" s="31" t="str">
        <f>INDEX(数据元说明!A:F,MATCH(I916,数据元说明!C:C,0),6)</f>
        <v>D20.2</v>
      </c>
      <c r="M916" s="133"/>
      <c r="N916" s="99"/>
      <c r="O916" s="99"/>
      <c r="P916" s="99"/>
    </row>
    <row r="917" s="81" customFormat="1" ht="30" customHeight="1" outlineLevel="1" spans="1:16">
      <c r="A917" s="141"/>
      <c r="B917" s="142"/>
      <c r="C917" s="39"/>
      <c r="D917" s="39"/>
      <c r="E917" s="47"/>
      <c r="F917" s="135" t="s">
        <v>781</v>
      </c>
      <c r="G917" s="136" t="s">
        <v>3234</v>
      </c>
      <c r="H917" s="137" t="s">
        <v>3235</v>
      </c>
      <c r="I917" s="135" t="s">
        <v>781</v>
      </c>
      <c r="J917" s="136" t="str">
        <f>INDEX(数据元说明!A:F,MATCH(I917,数据元说明!C:C,0),2)</f>
        <v>005011</v>
      </c>
      <c r="K917" s="138" t="str">
        <f>INDEX(数据元说明!A:F,MATCH(I917,数据元说明!C:C,0),5)</f>
        <v>银行自定义。</v>
      </c>
      <c r="L917" s="136" t="str">
        <f>INDEX(数据元说明!A:F,MATCH(I917,数据元说明!C:C,0),6)</f>
        <v>C..60 </v>
      </c>
      <c r="M917" s="138" t="s">
        <v>3236</v>
      </c>
      <c r="N917" s="139" t="s">
        <v>25</v>
      </c>
      <c r="O917" s="139" t="s">
        <v>449</v>
      </c>
      <c r="P917" s="140"/>
    </row>
    <row r="918" s="81" customFormat="1" ht="30" customHeight="1" outlineLevel="1" spans="1:16">
      <c r="A918" s="141"/>
      <c r="B918" s="142"/>
      <c r="C918" s="39"/>
      <c r="D918" s="39"/>
      <c r="E918" s="47"/>
      <c r="F918" s="135" t="s">
        <v>785</v>
      </c>
      <c r="G918" s="136" t="s">
        <v>3237</v>
      </c>
      <c r="H918" s="137" t="s">
        <v>3238</v>
      </c>
      <c r="I918" s="135" t="s">
        <v>785</v>
      </c>
      <c r="J918" s="136" t="str">
        <f>INDEX(数据元说明!A:F,MATCH(I918,数据元说明!C:C,0),2)</f>
        <v>005012</v>
      </c>
      <c r="K918" s="138" t="str">
        <f>INDEX(数据元说明!A:F,MATCH(I918,数据元说明!C:C,0),5)</f>
        <v>批文名称，可银行自定义。</v>
      </c>
      <c r="L918" s="136" t="str">
        <f>INDEX(数据元说明!A:F,MATCH(I918,数据元说明!C:C,0),6)</f>
        <v>C..60 </v>
      </c>
      <c r="M918" s="138" t="s">
        <v>3239</v>
      </c>
      <c r="N918" s="139" t="s">
        <v>25</v>
      </c>
      <c r="O918" s="139" t="s">
        <v>449</v>
      </c>
      <c r="P918" s="140"/>
    </row>
    <row r="919" s="81" customFormat="1" ht="30" customHeight="1" outlineLevel="1" spans="1:16">
      <c r="A919" s="141"/>
      <c r="B919" s="142"/>
      <c r="C919" s="39"/>
      <c r="D919" s="39"/>
      <c r="E919" s="47"/>
      <c r="F919" s="135" t="s">
        <v>3240</v>
      </c>
      <c r="G919" s="136" t="s">
        <v>3241</v>
      </c>
      <c r="H919" s="137" t="s">
        <v>3242</v>
      </c>
      <c r="I919" s="135" t="s">
        <v>789</v>
      </c>
      <c r="J919" s="136" t="str">
        <f>INDEX(数据元说明!A:F,MATCH(I919,数据元说明!C:C,0),2)</f>
        <v>005013</v>
      </c>
      <c r="K919" s="138" t="str">
        <f>INDEX(数据元说明!A:F,MATCH(I919,数据元说明!C:C,0),5)</f>
        <v>银行自定义。</v>
      </c>
      <c r="L919" s="136" t="str">
        <f>INDEX(数据元说明!A:F,MATCH(I919,数据元说明!C:C,0),6)</f>
        <v>C..60 </v>
      </c>
      <c r="M919" s="138" t="s">
        <v>3243</v>
      </c>
      <c r="N919" s="143" t="s">
        <v>57</v>
      </c>
      <c r="O919" s="140"/>
      <c r="P919" s="140"/>
    </row>
    <row r="920" s="81" customFormat="1" ht="30" customHeight="1" outlineLevel="1" spans="1:16">
      <c r="A920" s="141"/>
      <c r="B920" s="142"/>
      <c r="C920" s="39"/>
      <c r="D920" s="39"/>
      <c r="E920" s="47"/>
      <c r="F920" s="135" t="s">
        <v>3244</v>
      </c>
      <c r="G920" s="136" t="s">
        <v>3245</v>
      </c>
      <c r="H920" s="137" t="s">
        <v>3246</v>
      </c>
      <c r="I920" s="135" t="s">
        <v>302</v>
      </c>
      <c r="J920" s="136" t="str">
        <f>INDEX(数据元说明!A:F,MATCH(I920,数据元说明!C:C,0),2)</f>
        <v>001005</v>
      </c>
      <c r="K920" s="138" t="str">
        <f>INDEX(数据元说明!A:F,MATCH(I920,数据元说明!C:C,0),5)</f>
        <v>YYYYMMDD，默认值99991231。</v>
      </c>
      <c r="L920" s="136" t="str">
        <f>INDEX(数据元说明!A:F,MATCH(I920,数据元说明!C:C,0),6)</f>
        <v>C8</v>
      </c>
      <c r="M920" s="138" t="s">
        <v>3247</v>
      </c>
      <c r="N920" s="143" t="s">
        <v>57</v>
      </c>
      <c r="O920" s="140"/>
      <c r="P920" s="140"/>
    </row>
    <row r="921" s="81" customFormat="1" ht="30" customHeight="1" outlineLevel="1" spans="1:16">
      <c r="A921" s="141"/>
      <c r="B921" s="142"/>
      <c r="C921" s="39"/>
      <c r="D921" s="39"/>
      <c r="E921" s="47"/>
      <c r="F921" s="135" t="s">
        <v>3248</v>
      </c>
      <c r="G921" s="136" t="s">
        <v>3249</v>
      </c>
      <c r="H921" s="137" t="s">
        <v>3250</v>
      </c>
      <c r="I921" s="135" t="s">
        <v>789</v>
      </c>
      <c r="J921" s="136" t="str">
        <f>INDEX(数据元说明!A:F,MATCH(I921,数据元说明!C:C,0),2)</f>
        <v>005013</v>
      </c>
      <c r="K921" s="138" t="str">
        <f>INDEX(数据元说明!A:F,MATCH(I921,数据元说明!C:C,0),5)</f>
        <v>银行自定义。</v>
      </c>
      <c r="L921" s="136" t="str">
        <f>INDEX(数据元说明!A:F,MATCH(I921,数据元说明!C:C,0),6)</f>
        <v>C..60 </v>
      </c>
      <c r="M921" s="138" t="s">
        <v>3243</v>
      </c>
      <c r="N921" s="139" t="s">
        <v>25</v>
      </c>
      <c r="O921" s="139" t="s">
        <v>449</v>
      </c>
      <c r="P921" s="140"/>
    </row>
    <row r="922" s="81" customFormat="1" ht="30" customHeight="1" outlineLevel="1" spans="1:16">
      <c r="A922" s="141"/>
      <c r="B922" s="142"/>
      <c r="C922" s="39"/>
      <c r="D922" s="39"/>
      <c r="E922" s="47"/>
      <c r="F922" s="135" t="s">
        <v>3251</v>
      </c>
      <c r="G922" s="136" t="s">
        <v>3252</v>
      </c>
      <c r="H922" s="137" t="s">
        <v>3253</v>
      </c>
      <c r="I922" s="135" t="s">
        <v>302</v>
      </c>
      <c r="J922" s="136" t="str">
        <f>INDEX(数据元说明!A:F,MATCH(I922,数据元说明!C:C,0),2)</f>
        <v>001005</v>
      </c>
      <c r="K922" s="138" t="str">
        <f>INDEX(数据元说明!A:F,MATCH(I922,数据元说明!C:C,0),5)</f>
        <v>YYYYMMDD，默认值99991231。</v>
      </c>
      <c r="L922" s="136" t="str">
        <f>INDEX(数据元说明!A:F,MATCH(I922,数据元说明!C:C,0),6)</f>
        <v>C8</v>
      </c>
      <c r="M922" s="138" t="s">
        <v>3247</v>
      </c>
      <c r="N922" s="164" t="s">
        <v>57</v>
      </c>
      <c r="O922" s="140"/>
      <c r="P922" s="140"/>
    </row>
    <row r="923" s="81" customFormat="1" ht="30" customHeight="1" outlineLevel="1" spans="1:16">
      <c r="A923" s="141"/>
      <c r="B923" s="142"/>
      <c r="C923" s="39"/>
      <c r="D923" s="39"/>
      <c r="E923" s="47"/>
      <c r="F923" s="135" t="s">
        <v>3254</v>
      </c>
      <c r="G923" s="136" t="s">
        <v>3255</v>
      </c>
      <c r="H923" s="137" t="s">
        <v>3256</v>
      </c>
      <c r="I923" s="135" t="s">
        <v>789</v>
      </c>
      <c r="J923" s="136" t="str">
        <f>INDEX(数据元说明!A:F,MATCH(I923,数据元说明!C:C,0),2)</f>
        <v>005013</v>
      </c>
      <c r="K923" s="138" t="str">
        <f>INDEX(数据元说明!A:F,MATCH(I923,数据元说明!C:C,0),5)</f>
        <v>银行自定义。</v>
      </c>
      <c r="L923" s="136" t="str">
        <f>INDEX(数据元说明!A:F,MATCH(I923,数据元说明!C:C,0),6)</f>
        <v>C..60 </v>
      </c>
      <c r="M923" s="138" t="s">
        <v>3243</v>
      </c>
      <c r="N923" s="143" t="s">
        <v>57</v>
      </c>
      <c r="O923" s="140"/>
      <c r="P923" s="140"/>
    </row>
    <row r="924" s="81" customFormat="1" ht="30" customHeight="1" outlineLevel="1" spans="1:16">
      <c r="A924" s="141"/>
      <c r="B924" s="142"/>
      <c r="C924" s="39"/>
      <c r="D924" s="39"/>
      <c r="E924" s="47"/>
      <c r="F924" s="135" t="s">
        <v>3257</v>
      </c>
      <c r="G924" s="136" t="s">
        <v>3258</v>
      </c>
      <c r="H924" s="137" t="s">
        <v>3259</v>
      </c>
      <c r="I924" s="135" t="s">
        <v>302</v>
      </c>
      <c r="J924" s="136" t="str">
        <f>INDEX(数据元说明!A:F,MATCH(I924,数据元说明!C:C,0),2)</f>
        <v>001005</v>
      </c>
      <c r="K924" s="138" t="str">
        <f>INDEX(数据元说明!A:F,MATCH(I924,数据元说明!C:C,0),5)</f>
        <v>YYYYMMDD，默认值99991231。</v>
      </c>
      <c r="L924" s="136" t="str">
        <f>INDEX(数据元说明!A:F,MATCH(I924,数据元说明!C:C,0),6)</f>
        <v>C8</v>
      </c>
      <c r="M924" s="138" t="s">
        <v>3247</v>
      </c>
      <c r="N924" s="143" t="s">
        <v>57</v>
      </c>
      <c r="O924" s="140"/>
      <c r="P924" s="140"/>
    </row>
    <row r="925" s="81" customFormat="1" ht="30" customHeight="1" outlineLevel="1" spans="1:16">
      <c r="A925" s="141"/>
      <c r="B925" s="142"/>
      <c r="C925" s="39"/>
      <c r="D925" s="39"/>
      <c r="E925" s="47"/>
      <c r="F925" s="135" t="s">
        <v>3260</v>
      </c>
      <c r="G925" s="136" t="s">
        <v>3261</v>
      </c>
      <c r="H925" s="137" t="s">
        <v>3262</v>
      </c>
      <c r="I925" s="135" t="s">
        <v>789</v>
      </c>
      <c r="J925" s="136" t="str">
        <f>INDEX(数据元说明!A:F,MATCH(I925,数据元说明!C:C,0),2)</f>
        <v>005013</v>
      </c>
      <c r="K925" s="138" t="str">
        <f>INDEX(数据元说明!A:F,MATCH(I925,数据元说明!C:C,0),5)</f>
        <v>银行自定义。</v>
      </c>
      <c r="L925" s="136" t="str">
        <f>INDEX(数据元说明!A:F,MATCH(I925,数据元说明!C:C,0),6)</f>
        <v>C..60 </v>
      </c>
      <c r="M925" s="138" t="s">
        <v>3243</v>
      </c>
      <c r="N925" s="139" t="s">
        <v>25</v>
      </c>
      <c r="O925" s="139" t="s">
        <v>449</v>
      </c>
      <c r="P925" s="140"/>
    </row>
    <row r="926" s="81" customFormat="1" ht="30" customHeight="1" outlineLevel="1" spans="1:16">
      <c r="A926" s="141"/>
      <c r="B926" s="142"/>
      <c r="C926" s="39"/>
      <c r="D926" s="39"/>
      <c r="E926" s="47"/>
      <c r="F926" s="135" t="s">
        <v>3263</v>
      </c>
      <c r="G926" s="136" t="s">
        <v>3264</v>
      </c>
      <c r="H926" s="137" t="s">
        <v>3265</v>
      </c>
      <c r="I926" s="135" t="s">
        <v>302</v>
      </c>
      <c r="J926" s="136" t="str">
        <f>INDEX(数据元说明!A:F,MATCH(I926,数据元说明!C:C,0),2)</f>
        <v>001005</v>
      </c>
      <c r="K926" s="138" t="str">
        <f>INDEX(数据元说明!A:F,MATCH(I926,数据元说明!C:C,0),5)</f>
        <v>YYYYMMDD，默认值99991231。</v>
      </c>
      <c r="L926" s="136" t="str">
        <f>INDEX(数据元说明!A:F,MATCH(I926,数据元说明!C:C,0),6)</f>
        <v>C8</v>
      </c>
      <c r="M926" s="138" t="s">
        <v>3247</v>
      </c>
      <c r="N926" s="143" t="s">
        <v>57</v>
      </c>
      <c r="O926" s="140"/>
      <c r="P926" s="140"/>
    </row>
    <row r="927" s="61" customFormat="1" ht="30" customHeight="1" outlineLevel="1" spans="1:16">
      <c r="A927" s="184"/>
      <c r="B927" s="185"/>
      <c r="C927" s="25"/>
      <c r="D927" s="25"/>
      <c r="E927" s="36"/>
      <c r="F927" s="131" t="s">
        <v>3266</v>
      </c>
      <c r="G927" s="31" t="s">
        <v>3267</v>
      </c>
      <c r="H927" s="132" t="s">
        <v>3268</v>
      </c>
      <c r="I927" s="131" t="s">
        <v>792</v>
      </c>
      <c r="J927" s="409" t="str">
        <f>INDEX(数据元说明!A:F,MATCH(I927,数据元说明!C:C,0),2)</f>
        <v>005014</v>
      </c>
      <c r="K927" s="133" t="str">
        <f>INDEX(数据元说明!A:F,MATCH(I927,数据元说明!C:C,0),5)</f>
        <v>银行自定义。</v>
      </c>
      <c r="L927" s="31" t="str">
        <f>INDEX(数据元说明!A:F,MATCH(I927,数据元说明!C:C,0),6)</f>
        <v>C..100</v>
      </c>
      <c r="M927" s="133" t="s">
        <v>3269</v>
      </c>
      <c r="N927" s="139" t="s">
        <v>25</v>
      </c>
      <c r="O927" s="139" t="s">
        <v>280</v>
      </c>
      <c r="P927" s="99"/>
    </row>
    <row r="928" s="61" customFormat="1" ht="30" customHeight="1" outlineLevel="1" spans="1:16">
      <c r="A928" s="184"/>
      <c r="B928" s="185"/>
      <c r="C928" s="25"/>
      <c r="D928" s="25"/>
      <c r="E928" s="36"/>
      <c r="F928" s="131" t="s">
        <v>3270</v>
      </c>
      <c r="G928" s="31" t="s">
        <v>3271</v>
      </c>
      <c r="H928" s="132" t="s">
        <v>3272</v>
      </c>
      <c r="I928" s="131" t="s">
        <v>789</v>
      </c>
      <c r="J928" s="31" t="str">
        <f>INDEX(数据元说明!A:F,MATCH(I928,数据元说明!C:C,0),2)</f>
        <v>005013</v>
      </c>
      <c r="K928" s="133" t="str">
        <f>INDEX(数据元说明!A:F,MATCH(I928,数据元说明!C:C,0),5)</f>
        <v>银行自定义。</v>
      </c>
      <c r="L928" s="31" t="str">
        <f>INDEX(数据元说明!A:F,MATCH(I928,数据元说明!C:C,0),6)</f>
        <v>C..60 </v>
      </c>
      <c r="M928" s="133" t="s">
        <v>3269</v>
      </c>
      <c r="N928" s="139" t="s">
        <v>25</v>
      </c>
      <c r="O928" s="139" t="s">
        <v>280</v>
      </c>
      <c r="P928" s="99"/>
    </row>
    <row r="929" s="61" customFormat="1" ht="30" customHeight="1" outlineLevel="1" spans="1:16">
      <c r="A929" s="184"/>
      <c r="B929" s="185"/>
      <c r="C929" s="25"/>
      <c r="D929" s="25"/>
      <c r="E929" s="36"/>
      <c r="F929" s="131" t="s">
        <v>3273</v>
      </c>
      <c r="G929" s="31" t="s">
        <v>3274</v>
      </c>
      <c r="H929" s="132" t="s">
        <v>3275</v>
      </c>
      <c r="I929" s="131" t="s">
        <v>302</v>
      </c>
      <c r="J929" s="31" t="str">
        <f>INDEX(数据元说明!A:F,MATCH(I929,数据元说明!C:C,0),2)</f>
        <v>001005</v>
      </c>
      <c r="K929" s="133" t="str">
        <f>INDEX(数据元说明!A:F,MATCH(I929,数据元说明!C:C,0),5)</f>
        <v>YYYYMMDD，默认值99991231。</v>
      </c>
      <c r="L929" s="31" t="str">
        <f>INDEX(数据元说明!A:F,MATCH(I929,数据元说明!C:C,0),6)</f>
        <v>C8</v>
      </c>
      <c r="M929" s="133"/>
      <c r="N929" s="99"/>
      <c r="O929" s="99"/>
      <c r="P929" s="99"/>
    </row>
    <row r="930" s="81" customFormat="1" ht="30" customHeight="1" outlineLevel="1" spans="1:16">
      <c r="A930" s="154"/>
      <c r="B930" s="155"/>
      <c r="C930" s="156"/>
      <c r="D930" s="156"/>
      <c r="E930" s="155"/>
      <c r="F930" s="157" t="s">
        <v>839</v>
      </c>
      <c r="G930" s="43" t="s">
        <v>2777</v>
      </c>
      <c r="H930" s="137" t="s">
        <v>3276</v>
      </c>
      <c r="I930" s="157" t="s">
        <v>839</v>
      </c>
      <c r="J930" s="407" t="str">
        <f>INDEX(数据元说明!A:F,MATCH(I930,数据元说明!C:C,0),2)</f>
        <v>005026</v>
      </c>
      <c r="K930" s="158" t="str">
        <f>INDEX(数据元说明!A:F,MATCH(I930,数据元说明!C:C,0),5)</f>
        <v>正常、结清、逾期、核销、转让，其他-银行自定义。以枚举类型填报，如无法以枚举类型填报，则以“其他-XX”填报，其中“XX”为银行自定义状态。</v>
      </c>
      <c r="L930" s="43" t="str">
        <f>INDEX(数据元说明!A:F,MATCH(I930,数据元说明!C:C,0),6)</f>
        <v>C..30</v>
      </c>
      <c r="M930" s="158"/>
      <c r="N930" s="143" t="s">
        <v>57</v>
      </c>
      <c r="O930" s="139"/>
      <c r="P930" s="139"/>
    </row>
    <row r="931" s="81" customFormat="1" ht="30" customHeight="1" outlineLevel="1" spans="1:16">
      <c r="A931" s="134"/>
      <c r="B931" s="47"/>
      <c r="C931" s="39"/>
      <c r="D931" s="39"/>
      <c r="E931" s="47"/>
      <c r="F931" s="169" t="s">
        <v>449</v>
      </c>
      <c r="G931" s="148" t="s">
        <v>1571</v>
      </c>
      <c r="H931" s="148" t="s">
        <v>3277</v>
      </c>
      <c r="I931" s="169" t="s">
        <v>449</v>
      </c>
      <c r="J931" s="170" t="str">
        <f>INDEX(数据元说明!A:F,MATCH(I931,数据元说明!C:C,0),2)</f>
        <v>001040</v>
      </c>
      <c r="K931" s="171" t="str">
        <f>INDEX(数据元说明!A:F,MATCH(I931,数据元说明!C:C,0),5)</f>
        <v>银行自定义。</v>
      </c>
      <c r="L931" s="170" t="str">
        <f>INDEX(数据元说明!A:F,MATCH(I931,数据元说明!C:C,0),6)</f>
        <v>C..600</v>
      </c>
      <c r="M931" s="149" t="s">
        <v>1573</v>
      </c>
      <c r="N931" s="143" t="s">
        <v>57</v>
      </c>
      <c r="O931" s="173"/>
      <c r="P931" s="173"/>
    </row>
    <row r="932" s="61" customFormat="1" ht="30" customHeight="1" outlineLevel="1" spans="1:16">
      <c r="A932" s="130"/>
      <c r="B932" s="36"/>
      <c r="C932" s="25"/>
      <c r="D932" s="25"/>
      <c r="E932" s="36"/>
      <c r="F932" s="131" t="s">
        <v>1574</v>
      </c>
      <c r="G932" s="31" t="s">
        <v>1575</v>
      </c>
      <c r="H932" s="132" t="s">
        <v>3278</v>
      </c>
      <c r="I932" s="131" t="s">
        <v>302</v>
      </c>
      <c r="J932" s="31" t="str">
        <f>INDEX(数据元说明!A:F,MATCH(I932,数据元说明!C:C,0),2)</f>
        <v>001005</v>
      </c>
      <c r="K932" s="133" t="str">
        <f>INDEX(数据元说明!A:F,MATCH(I932,数据元说明!C:C,0),5)</f>
        <v>YYYYMMDD，默认值99991231。</v>
      </c>
      <c r="L932" s="31" t="str">
        <f>INDEX(数据元说明!A:F,MATCH(I932,数据元说明!C:C,0),6)</f>
        <v>C8</v>
      </c>
      <c r="M932" s="133" t="s">
        <v>1577</v>
      </c>
      <c r="N932" s="99"/>
      <c r="O932" s="99"/>
      <c r="P932" s="99"/>
    </row>
    <row r="933" s="81" customFormat="1" ht="30" customHeight="1" spans="1:16">
      <c r="A933" s="179"/>
      <c r="B933" s="180"/>
      <c r="C933" s="37" t="s">
        <v>144</v>
      </c>
      <c r="D933" s="38" t="s">
        <v>145</v>
      </c>
      <c r="E933" s="181" t="s">
        <v>3279</v>
      </c>
      <c r="F933" s="182"/>
      <c r="G933" s="183"/>
      <c r="H933" s="181"/>
      <c r="I933" s="182"/>
      <c r="J933" s="183"/>
      <c r="K933" s="128"/>
      <c r="L933" s="183"/>
      <c r="M933" s="128" t="str">
        <f>INDEX(表结构总览!E:H,MATCH(D933,表结构总览!E:E,0),4)</f>
        <v>银团贷款，不论本行是参贷行还是主办行，只报送本行的信贷合同，银团贷款内其他机构的信贷合同不录入本表，行内银团不在此表报送。以信贷借据号为最小颗粒报送，同一合同下多笔借据的按多条报送。如果主办行与参贷行与客户签订同一份信贷合同的，银团贷款内所有机构均需录入该信贷合同。已结清、核销的数据在次月不再报送。</v>
      </c>
      <c r="N933" s="139" t="s">
        <v>25</v>
      </c>
      <c r="O933" s="139" t="s">
        <v>449</v>
      </c>
      <c r="P933" s="139"/>
    </row>
    <row r="934" ht="30" customHeight="1" outlineLevel="1" spans="1:16">
      <c r="A934" s="159"/>
      <c r="B934" s="160"/>
      <c r="E934" s="94"/>
      <c r="F934" s="97" t="s">
        <v>325</v>
      </c>
      <c r="G934" s="29" t="s">
        <v>1520</v>
      </c>
      <c r="H934" s="96" t="s">
        <v>3280</v>
      </c>
      <c r="I934" s="97" t="s">
        <v>325</v>
      </c>
      <c r="J934" s="29" t="str">
        <f>INDEX(数据元说明!A:F,MATCH(I934,数据元说明!C:C,0),2)</f>
        <v>001010</v>
      </c>
      <c r="K934" s="98" t="str">
        <f>INDEX(数据元说明!A:F,MATCH(I934,数据元说明!C:C,0),5)</f>
        <v>12位人行支付行号或SWIFT行号。</v>
      </c>
      <c r="L934" s="29" t="str">
        <f>INDEX(数据元说明!A:F,MATCH(I934,数据元说明!C:C,0),6)</f>
        <v>C..30</v>
      </c>
      <c r="M934" s="98" t="s">
        <v>1579</v>
      </c>
      <c r="P934" s="99"/>
    </row>
    <row r="935" s="61" customFormat="1" ht="30" customHeight="1" outlineLevel="1" spans="1:16">
      <c r="A935" s="130"/>
      <c r="B935" s="36"/>
      <c r="C935" s="25"/>
      <c r="D935" s="25"/>
      <c r="E935" s="36"/>
      <c r="F935" s="131" t="s">
        <v>329</v>
      </c>
      <c r="G935" s="31" t="s">
        <v>1526</v>
      </c>
      <c r="H935" s="96" t="s">
        <v>3281</v>
      </c>
      <c r="I935" s="131" t="s">
        <v>329</v>
      </c>
      <c r="J935" s="31" t="str">
        <f>INDEX(数据元说明!A:F,MATCH(I935,数据元说明!C:C,0),2)</f>
        <v>001011</v>
      </c>
      <c r="K935" s="133" t="str">
        <f>INDEX(数据元说明!A:F,MATCH(I935,数据元说明!C:C,0),5)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35" s="31" t="str">
        <f>INDEX(数据元说明!A:F,MATCH(I935,数据元说明!C:C,0),6)</f>
        <v>C..30</v>
      </c>
      <c r="M935" s="133" t="s">
        <v>3204</v>
      </c>
      <c r="N935" s="99"/>
      <c r="O935" s="99"/>
      <c r="P935" s="99"/>
    </row>
    <row r="936" ht="30" customHeight="1" outlineLevel="1" spans="1:16">
      <c r="A936" s="159"/>
      <c r="B936" s="160"/>
      <c r="E936" s="94"/>
      <c r="F936" s="97" t="s">
        <v>333</v>
      </c>
      <c r="G936" s="29" t="s">
        <v>1523</v>
      </c>
      <c r="H936" s="96" t="s">
        <v>3282</v>
      </c>
      <c r="I936" s="97" t="s">
        <v>333</v>
      </c>
      <c r="J936" s="29" t="str">
        <f>INDEX(数据元说明!A:F,MATCH(I936,数据元说明!C:C,0),2)</f>
        <v>001012</v>
      </c>
      <c r="K936" s="98" t="str">
        <f>INDEX(数据元说明!A:F,MATCH(I936,数据元说明!C:C,0),5)</f>
        <v>银行内部机构号。应具有标识机构的唯一性。</v>
      </c>
      <c r="L936" s="29" t="str">
        <f>INDEX(数据元说明!A:F,MATCH(I936,数据元说明!C:C,0),6)</f>
        <v>C..30</v>
      </c>
      <c r="M936" s="98" t="s">
        <v>1834</v>
      </c>
      <c r="P936" s="99"/>
    </row>
    <row r="937" s="81" customFormat="1" ht="30" customHeight="1" outlineLevel="1" spans="1:16">
      <c r="A937" s="134"/>
      <c r="B937" s="47"/>
      <c r="C937" s="39"/>
      <c r="D937" s="39"/>
      <c r="E937" s="47"/>
      <c r="F937" s="135" t="s">
        <v>1532</v>
      </c>
      <c r="G937" s="136" t="s">
        <v>1533</v>
      </c>
      <c r="H937" s="153" t="s">
        <v>3283</v>
      </c>
      <c r="I937" s="135" t="s">
        <v>282</v>
      </c>
      <c r="J937" s="136" t="str">
        <f>INDEX(数据元说明!A:F,MATCH(I937,数据元说明!C:C,0),2)</f>
        <v>001001</v>
      </c>
      <c r="K937" s="138" t="str">
        <f>INDEX(数据元说明!A:F,MATCH(I937,数据元说明!C:C,0),5)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37" s="136" t="str">
        <f>INDEX(数据元说明!A:F,MATCH(I937,数据元说明!C:C,0),6)</f>
        <v>C..400</v>
      </c>
      <c r="M937" s="138" t="s">
        <v>1584</v>
      </c>
      <c r="N937" s="139" t="s">
        <v>25</v>
      </c>
      <c r="O937" s="139" t="s">
        <v>280</v>
      </c>
      <c r="P937" s="140" t="s">
        <v>1588</v>
      </c>
    </row>
    <row r="938" s="61" customFormat="1" ht="30" customHeight="1" outlineLevel="1" spans="1:16">
      <c r="A938" s="159"/>
      <c r="B938" s="160"/>
      <c r="C938" s="95"/>
      <c r="D938" s="95"/>
      <c r="E938" s="94"/>
      <c r="F938" s="97" t="s">
        <v>2895</v>
      </c>
      <c r="G938" s="29" t="s">
        <v>2896</v>
      </c>
      <c r="H938" s="96" t="s">
        <v>3284</v>
      </c>
      <c r="I938" s="97" t="s">
        <v>681</v>
      </c>
      <c r="J938" s="29" t="str">
        <f>INDEX(数据元说明!A:F,MATCH(I938,数据元说明!C:C,0),2)</f>
        <v>003028</v>
      </c>
      <c r="K938" s="98" t="str">
        <f>INDEX(数据元说明!A:F,MATCH(I938,数据元说明!C:C,0),5)</f>
        <v>合同号。</v>
      </c>
      <c r="L938" s="29" t="str">
        <f>INDEX(数据元说明!A:F,MATCH(I938,数据元说明!C:C,0),6)</f>
        <v>C..100</v>
      </c>
      <c r="M938" s="98" t="s">
        <v>3208</v>
      </c>
      <c r="N938" s="33" t="s">
        <v>25</v>
      </c>
      <c r="O938" s="99"/>
      <c r="P938" s="33" t="s">
        <v>1588</v>
      </c>
    </row>
    <row r="939" s="81" customFormat="1" ht="30" customHeight="1" outlineLevel="1" spans="1:16">
      <c r="A939" s="141"/>
      <c r="B939" s="142"/>
      <c r="C939" s="39"/>
      <c r="D939" s="39"/>
      <c r="E939" s="47"/>
      <c r="F939" s="135" t="s">
        <v>2752</v>
      </c>
      <c r="G939" s="136" t="s">
        <v>2753</v>
      </c>
      <c r="H939" s="153" t="s">
        <v>3285</v>
      </c>
      <c r="I939" s="135" t="s">
        <v>677</v>
      </c>
      <c r="J939" s="136" t="str">
        <f>INDEX(数据元说明!A:F,MATCH(I939,数据元说明!C:C,0),2)</f>
        <v>003027</v>
      </c>
      <c r="K939" s="138" t="str">
        <f>INDEX(数据元说明!A:F,MATCH(I939,数据元说明!C:C,0),5)</f>
        <v>借据统一编号。</v>
      </c>
      <c r="L939" s="136" t="str">
        <f>INDEX(数据元说明!A:F,MATCH(I939,数据元说明!C:C,0),6)</f>
        <v>C..100</v>
      </c>
      <c r="M939" s="138" t="s">
        <v>3210</v>
      </c>
      <c r="N939" s="139" t="s">
        <v>25</v>
      </c>
      <c r="O939" s="140"/>
      <c r="P939" s="139"/>
    </row>
    <row r="940" s="81" customFormat="1" ht="30" customHeight="1" outlineLevel="1" spans="1:16">
      <c r="A940" s="167"/>
      <c r="B940" s="168"/>
      <c r="C940" s="156"/>
      <c r="D940" s="156"/>
      <c r="E940" s="155"/>
      <c r="F940" s="157" t="s">
        <v>3222</v>
      </c>
      <c r="G940" s="43" t="s">
        <v>3223</v>
      </c>
      <c r="H940" s="153" t="s">
        <v>3286</v>
      </c>
      <c r="I940" s="157" t="s">
        <v>453</v>
      </c>
      <c r="J940" s="43" t="str">
        <f>INDEX(数据元说明!A:F,MATCH(I940,数据元说明!C:C,0),2)</f>
        <v>002001</v>
      </c>
      <c r="K940" s="158" t="str">
        <f>INDEX(数据元说明!A:F,MATCH(I940,数据元说明!C:C,0),5)</f>
        <v>银行自定义的唯一识别客户的标识。供应链融资的填写供应链融资编码。</v>
      </c>
      <c r="L940" s="43" t="str">
        <f>INDEX(数据元说明!A:F,MATCH(I940,数据元说明!C:C,0),6)</f>
        <v>C..60</v>
      </c>
      <c r="M940" s="158" t="s">
        <v>2548</v>
      </c>
      <c r="N940" s="139" t="s">
        <v>25</v>
      </c>
      <c r="O940" s="139" t="s">
        <v>1550</v>
      </c>
      <c r="P940" s="140" t="s">
        <v>1588</v>
      </c>
    </row>
    <row r="941" s="81" customFormat="1" ht="30" customHeight="1" outlineLevel="1" spans="1:16">
      <c r="A941" s="167"/>
      <c r="B941" s="168"/>
      <c r="C941" s="156"/>
      <c r="D941" s="156"/>
      <c r="E941" s="155"/>
      <c r="F941" s="157" t="s">
        <v>3225</v>
      </c>
      <c r="G941" s="43" t="s">
        <v>3226</v>
      </c>
      <c r="H941" s="153" t="s">
        <v>3287</v>
      </c>
      <c r="I941" s="157" t="s">
        <v>628</v>
      </c>
      <c r="J941" s="43" t="str">
        <f>INDEX(数据元说明!A:F,MATCH(I941,数据元说明!C:C,0),2)</f>
        <v>003015</v>
      </c>
      <c r="K941" s="158" t="str">
        <f>INDEX(数据元说明!A:F,MATCH(I941,数据元说明!C:C,0),5)</f>
        <v>账户归属者的名称。如果客户为个人，则为隐私，银行机构变形，变形规则见《采集技术接口说明》。客户是境内涉密机构的，账户名称填报为“*********”。其他情况，则为非隐私，不做变形。</v>
      </c>
      <c r="L941" s="43" t="str">
        <f>INDEX(数据元说明!A:F,MATCH(I941,数据元说明!C:C,0),6)</f>
        <v>C..400</v>
      </c>
      <c r="M941" s="158" t="s">
        <v>3288</v>
      </c>
      <c r="N941" s="129" t="s">
        <v>25</v>
      </c>
      <c r="O941" s="129" t="s">
        <v>1613</v>
      </c>
      <c r="P941" s="187" t="s">
        <v>1588</v>
      </c>
    </row>
    <row r="942" s="81" customFormat="1" ht="30" customHeight="1" outlineLevel="1" spans="1:16">
      <c r="A942" s="167"/>
      <c r="B942" s="168"/>
      <c r="C942" s="156"/>
      <c r="D942" s="156"/>
      <c r="E942" s="155"/>
      <c r="F942" s="157" t="s">
        <v>3289</v>
      </c>
      <c r="G942" s="43" t="s">
        <v>3290</v>
      </c>
      <c r="H942" s="153" t="s">
        <v>3291</v>
      </c>
      <c r="I942" s="157" t="s">
        <v>427</v>
      </c>
      <c r="J942" s="43" t="str">
        <f>INDEX(数据元说明!A:F,MATCH(I942,数据元说明!C:C,0),2)</f>
        <v>001035</v>
      </c>
      <c r="K942" s="158" t="str">
        <f>INDEX(数据元说明!A:F,MATCH(I942,数据元说明!C:C,0),5)</f>
        <v>多个代码</v>
      </c>
      <c r="L942" s="43" t="str">
        <f>INDEX(数据元说明!A:F,MATCH(I942,数据元说明!C:C,0),6)</f>
        <v>C..1000</v>
      </c>
      <c r="M942" s="158" t="s">
        <v>3292</v>
      </c>
      <c r="N942" s="129" t="s">
        <v>25</v>
      </c>
      <c r="O942" s="139" t="s">
        <v>3293</v>
      </c>
      <c r="P942" s="139"/>
    </row>
    <row r="943" ht="30" customHeight="1" outlineLevel="1" spans="1:16">
      <c r="A943" s="159"/>
      <c r="B943" s="160"/>
      <c r="E943" s="94"/>
      <c r="F943" s="157" t="s">
        <v>3294</v>
      </c>
      <c r="G943" s="43" t="s">
        <v>3295</v>
      </c>
      <c r="H943" s="153" t="s">
        <v>3296</v>
      </c>
      <c r="I943" s="157" t="s">
        <v>417</v>
      </c>
      <c r="J943" s="43" t="str">
        <f>INDEX(数据元说明!A:F,MATCH(I943,数据元说明!C:C,0),2)</f>
        <v>001033</v>
      </c>
      <c r="K943" s="158" t="str">
        <f>INDEX(数据元说明!A:F,MATCH(I943,数据元说明!C:C,0),5)</f>
        <v>多个名称</v>
      </c>
      <c r="L943" s="43" t="str">
        <f>INDEX(数据元说明!A:F,MATCH(I943,数据元说明!C:C,0),6)</f>
        <v>C..2000</v>
      </c>
      <c r="M943" s="158" t="s">
        <v>3297</v>
      </c>
      <c r="N943" s="129" t="s">
        <v>25</v>
      </c>
      <c r="O943" s="139" t="s">
        <v>280</v>
      </c>
      <c r="P943" s="139"/>
    </row>
    <row r="944" s="81" customFormat="1" ht="30" customHeight="1" outlineLevel="1" spans="1:16">
      <c r="A944" s="167"/>
      <c r="B944" s="168"/>
      <c r="C944" s="156"/>
      <c r="D944" s="156"/>
      <c r="E944" s="155"/>
      <c r="F944" s="157" t="s">
        <v>3298</v>
      </c>
      <c r="G944" s="43" t="s">
        <v>3299</v>
      </c>
      <c r="H944" s="153" t="s">
        <v>3300</v>
      </c>
      <c r="I944" s="157" t="s">
        <v>427</v>
      </c>
      <c r="J944" s="43" t="str">
        <f>INDEX(数据元说明!A:F,MATCH(I944,数据元说明!C:C,0),2)</f>
        <v>001035</v>
      </c>
      <c r="K944" s="158" t="str">
        <f>INDEX(数据元说明!A:F,MATCH(I944,数据元说明!C:C,0),5)</f>
        <v>多个代码</v>
      </c>
      <c r="L944" s="43" t="str">
        <f>INDEX(数据元说明!A:F,MATCH(I944,数据元说明!C:C,0),6)</f>
        <v>C..1000</v>
      </c>
      <c r="M944" s="158" t="s">
        <v>3301</v>
      </c>
      <c r="N944" s="129" t="s">
        <v>25</v>
      </c>
      <c r="O944" s="139" t="s">
        <v>1673</v>
      </c>
      <c r="P944" s="139"/>
    </row>
    <row r="945" ht="30" customHeight="1" outlineLevel="1" spans="1:16">
      <c r="A945" s="159"/>
      <c r="B945" s="160"/>
      <c r="E945" s="94"/>
      <c r="F945" s="157" t="s">
        <v>3302</v>
      </c>
      <c r="G945" s="43" t="s">
        <v>3303</v>
      </c>
      <c r="H945" s="153" t="s">
        <v>3304</v>
      </c>
      <c r="I945" s="157" t="s">
        <v>417</v>
      </c>
      <c r="J945" s="43" t="str">
        <f>INDEX(数据元说明!A:F,MATCH(I945,数据元说明!C:C,0),2)</f>
        <v>001033</v>
      </c>
      <c r="K945" s="158" t="str">
        <f>INDEX(数据元说明!A:F,MATCH(I945,数据元说明!C:C,0),5)</f>
        <v>多个名称</v>
      </c>
      <c r="L945" s="43" t="str">
        <f>INDEX(数据元说明!A:F,MATCH(I945,数据元说明!C:C,0),6)</f>
        <v>C..2000</v>
      </c>
      <c r="M945" s="158" t="s">
        <v>3305</v>
      </c>
      <c r="N945" s="129" t="s">
        <v>25</v>
      </c>
      <c r="O945" s="139" t="s">
        <v>280</v>
      </c>
      <c r="P945" s="139"/>
    </row>
    <row r="946" s="81" customFormat="1" ht="30" customHeight="1" outlineLevel="1" spans="1:16">
      <c r="A946" s="167"/>
      <c r="B946" s="168"/>
      <c r="C946" s="156"/>
      <c r="D946" s="156"/>
      <c r="E946" s="155"/>
      <c r="F946" s="157" t="s">
        <v>3306</v>
      </c>
      <c r="G946" s="43" t="s">
        <v>3307</v>
      </c>
      <c r="H946" s="153" t="s">
        <v>3308</v>
      </c>
      <c r="I946" s="157" t="s">
        <v>427</v>
      </c>
      <c r="J946" s="43" t="str">
        <f>INDEX(数据元说明!A:F,MATCH(I946,数据元说明!C:C,0),2)</f>
        <v>001035</v>
      </c>
      <c r="K946" s="158" t="str">
        <f>INDEX(数据元说明!A:F,MATCH(I946,数据元说明!C:C,0),5)</f>
        <v>多个代码</v>
      </c>
      <c r="L946" s="43" t="str">
        <f>INDEX(数据元说明!A:F,MATCH(I946,数据元说明!C:C,0),6)</f>
        <v>C..1000</v>
      </c>
      <c r="M946" s="158" t="s">
        <v>3309</v>
      </c>
      <c r="N946" s="129" t="s">
        <v>25</v>
      </c>
      <c r="O946" s="139" t="s">
        <v>280</v>
      </c>
      <c r="P946" s="140"/>
    </row>
    <row r="947" ht="30" customHeight="1" outlineLevel="1" spans="1:16">
      <c r="A947" s="159"/>
      <c r="B947" s="160"/>
      <c r="E947" s="94"/>
      <c r="F947" s="97" t="s">
        <v>3310</v>
      </c>
      <c r="G947" s="29" t="s">
        <v>3311</v>
      </c>
      <c r="H947" s="96" t="s">
        <v>3312</v>
      </c>
      <c r="I947" s="97" t="s">
        <v>417</v>
      </c>
      <c r="J947" s="29" t="str">
        <f>INDEX(数据元说明!A:F,MATCH(I947,数据元说明!C:C,0),2)</f>
        <v>001033</v>
      </c>
      <c r="K947" s="98" t="str">
        <f>INDEX(数据元说明!A:F,MATCH(I947,数据元说明!C:C,0),5)</f>
        <v>多个名称</v>
      </c>
      <c r="L947" s="29" t="str">
        <f>INDEX(数据元说明!A:F,MATCH(I947,数据元说明!C:C,0),6)</f>
        <v>C..2000</v>
      </c>
      <c r="M947" s="98" t="s">
        <v>3313</v>
      </c>
      <c r="N947" s="139"/>
      <c r="P947" s="99"/>
    </row>
    <row r="948" s="81" customFormat="1" ht="30" customHeight="1" outlineLevel="1" spans="1:16">
      <c r="A948" s="167"/>
      <c r="B948" s="168"/>
      <c r="C948" s="156"/>
      <c r="D948" s="156"/>
      <c r="E948" s="155"/>
      <c r="F948" s="157" t="s">
        <v>819</v>
      </c>
      <c r="G948" s="43" t="s">
        <v>3314</v>
      </c>
      <c r="H948" s="153" t="s">
        <v>3315</v>
      </c>
      <c r="I948" s="157" t="s">
        <v>819</v>
      </c>
      <c r="J948" s="407" t="str">
        <f>INDEX(数据元说明!A:F,MATCH(I948,数据元说明!C:C,0),2)</f>
        <v>005021</v>
      </c>
      <c r="K948" s="158" t="str">
        <f>INDEX(数据元说明!A:F,MATCH(I948,数据元说明!C:C,0),5)</f>
        <v>代理行，参贷行。</v>
      </c>
      <c r="L948" s="43" t="str">
        <f>INDEX(数据元说明!A:F,MATCH(I948,数据元说明!C:C,0),6)</f>
        <v>C9</v>
      </c>
      <c r="M948" s="158"/>
      <c r="N948" s="129" t="s">
        <v>25</v>
      </c>
      <c r="O948" s="139" t="s">
        <v>275</v>
      </c>
      <c r="P948" s="140"/>
    </row>
    <row r="949" s="61" customFormat="1" ht="30" customHeight="1" outlineLevel="1" spans="1:16">
      <c r="A949" s="184"/>
      <c r="B949" s="185"/>
      <c r="C949" s="25"/>
      <c r="D949" s="25"/>
      <c r="E949" s="36"/>
      <c r="F949" s="131" t="s">
        <v>624</v>
      </c>
      <c r="G949" s="31" t="s">
        <v>1989</v>
      </c>
      <c r="H949" s="96" t="s">
        <v>3316</v>
      </c>
      <c r="I949" s="131" t="s">
        <v>624</v>
      </c>
      <c r="J949" s="31" t="str">
        <f>INDEX(数据元说明!A:F,MATCH(I949,数据元说明!C:C,0),2)</f>
        <v>003014</v>
      </c>
      <c r="K949" s="133" t="str">
        <f>INDEX(数据元说明!A:F,MATCH(I949,数据元说明!C:C,0),5)</f>
        <v>遵循《GB/T 12406 表示货币和资金的代码》的字母代码，如CNY。上述文件所列币种无法涵盖的，允许银行自定义填报。多个币种合计折算为人民币（本外币合计）的，填报为BWB。</v>
      </c>
      <c r="L949" s="31" t="str">
        <f>INDEX(数据元说明!A:F,MATCH(I949,数据元说明!C:C,0),6)</f>
        <v>C3</v>
      </c>
      <c r="M949" s="133"/>
      <c r="N949" s="33"/>
      <c r="O949" s="99"/>
      <c r="P949" s="99"/>
    </row>
    <row r="950" s="81" customFormat="1" ht="30" customHeight="1" outlineLevel="1" spans="1:16">
      <c r="A950" s="141"/>
      <c r="B950" s="142"/>
      <c r="C950" s="39"/>
      <c r="D950" s="39"/>
      <c r="E950" s="47"/>
      <c r="F950" s="135" t="s">
        <v>3317</v>
      </c>
      <c r="G950" s="136" t="s">
        <v>3318</v>
      </c>
      <c r="H950" s="153" t="s">
        <v>3319</v>
      </c>
      <c r="I950" s="135" t="s">
        <v>609</v>
      </c>
      <c r="J950" s="136" t="str">
        <f>INDEX(数据元说明!A:F,MATCH(I950,数据元说明!C:C,0),2)</f>
        <v>003010</v>
      </c>
      <c r="K950" s="138" t="str">
        <f>INDEX(数据元说明!A:F,MATCH(I950,数据元说明!C:C,0),5)</f>
        <v>与币种相对应金额。</v>
      </c>
      <c r="L950" s="136" t="str">
        <f>INDEX(数据元说明!A:F,MATCH(I950,数据元说明!C:C,0),6)</f>
        <v>D20.2</v>
      </c>
      <c r="M950" s="138" t="s">
        <v>3320</v>
      </c>
      <c r="N950" s="129" t="s">
        <v>25</v>
      </c>
      <c r="O950" s="139" t="s">
        <v>449</v>
      </c>
      <c r="P950" s="140"/>
    </row>
    <row r="951" s="81" customFormat="1" ht="30" customHeight="1" outlineLevel="1" spans="1:16">
      <c r="A951" s="141"/>
      <c r="B951" s="142"/>
      <c r="C951" s="39"/>
      <c r="D951" s="39"/>
      <c r="E951" s="47"/>
      <c r="F951" s="135" t="s">
        <v>3321</v>
      </c>
      <c r="G951" s="136" t="s">
        <v>3322</v>
      </c>
      <c r="H951" s="153" t="s">
        <v>3323</v>
      </c>
      <c r="I951" s="135" t="s">
        <v>609</v>
      </c>
      <c r="J951" s="136" t="str">
        <f>INDEX(数据元说明!A:F,MATCH(I951,数据元说明!C:C,0),2)</f>
        <v>003010</v>
      </c>
      <c r="K951" s="138" t="str">
        <f>INDEX(数据元说明!A:F,MATCH(I951,数据元说明!C:C,0),5)</f>
        <v>与币种相对应金额。</v>
      </c>
      <c r="L951" s="136" t="str">
        <f>INDEX(数据元说明!A:F,MATCH(I951,数据元说明!C:C,0),6)</f>
        <v>D20.2</v>
      </c>
      <c r="M951" s="138" t="s">
        <v>3324</v>
      </c>
      <c r="N951" s="129" t="s">
        <v>25</v>
      </c>
      <c r="O951" s="139" t="s">
        <v>449</v>
      </c>
      <c r="P951" s="140"/>
    </row>
    <row r="952" s="81" customFormat="1" ht="30" customHeight="1" outlineLevel="1" spans="1:16">
      <c r="A952" s="141"/>
      <c r="B952" s="142"/>
      <c r="C952" s="39"/>
      <c r="D952" s="39"/>
      <c r="E952" s="47"/>
      <c r="F952" s="135" t="s">
        <v>3325</v>
      </c>
      <c r="G952" s="136" t="s">
        <v>3326</v>
      </c>
      <c r="H952" s="153" t="s">
        <v>3327</v>
      </c>
      <c r="I952" s="135" t="s">
        <v>609</v>
      </c>
      <c r="J952" s="136" t="str">
        <f>INDEX(数据元说明!A:F,MATCH(I952,数据元说明!C:C,0),2)</f>
        <v>003010</v>
      </c>
      <c r="K952" s="138" t="str">
        <f>INDEX(数据元说明!A:F,MATCH(I952,数据元说明!C:C,0),5)</f>
        <v>与币种相对应金额。</v>
      </c>
      <c r="L952" s="136" t="str">
        <f>INDEX(数据元说明!A:F,MATCH(I952,数据元说明!C:C,0),6)</f>
        <v>D20.2</v>
      </c>
      <c r="M952" s="138" t="s">
        <v>3328</v>
      </c>
      <c r="N952" s="129" t="s">
        <v>25</v>
      </c>
      <c r="O952" s="139" t="s">
        <v>449</v>
      </c>
      <c r="P952" s="140"/>
    </row>
    <row r="953" s="81" customFormat="1" ht="30" customHeight="1" outlineLevel="1" spans="1:16">
      <c r="A953" s="141"/>
      <c r="B953" s="142"/>
      <c r="C953" s="39"/>
      <c r="D953" s="39"/>
      <c r="E953" s="47"/>
      <c r="F953" s="135" t="s">
        <v>3329</v>
      </c>
      <c r="G953" s="136" t="s">
        <v>3330</v>
      </c>
      <c r="H953" s="153" t="s">
        <v>3331</v>
      </c>
      <c r="I953" s="135" t="s">
        <v>609</v>
      </c>
      <c r="J953" s="136" t="str">
        <f>INDEX(数据元说明!A:F,MATCH(I953,数据元说明!C:C,0),2)</f>
        <v>003010</v>
      </c>
      <c r="K953" s="138" t="str">
        <f>INDEX(数据元说明!A:F,MATCH(I953,数据元说明!C:C,0),5)</f>
        <v>与币种相对应金额。</v>
      </c>
      <c r="L953" s="136" t="str">
        <f>INDEX(数据元说明!A:F,MATCH(I953,数据元说明!C:C,0),6)</f>
        <v>D20.2</v>
      </c>
      <c r="M953" s="138" t="s">
        <v>3332</v>
      </c>
      <c r="N953" s="129" t="s">
        <v>25</v>
      </c>
      <c r="O953" s="139" t="s">
        <v>449</v>
      </c>
      <c r="P953" s="140"/>
    </row>
    <row r="954" s="81" customFormat="1" ht="30" customHeight="1" outlineLevel="1" spans="1:16">
      <c r="A954" s="141"/>
      <c r="B954" s="142"/>
      <c r="C954" s="39"/>
      <c r="D954" s="39"/>
      <c r="E954" s="47"/>
      <c r="F954" s="135" t="s">
        <v>3333</v>
      </c>
      <c r="G954" s="136" t="s">
        <v>3334</v>
      </c>
      <c r="H954" s="153" t="s">
        <v>3335</v>
      </c>
      <c r="I954" s="135" t="s">
        <v>609</v>
      </c>
      <c r="J954" s="136" t="str">
        <f>INDEX(数据元说明!A:F,MATCH(I954,数据元说明!C:C,0),2)</f>
        <v>003010</v>
      </c>
      <c r="K954" s="138" t="str">
        <f>INDEX(数据元说明!A:F,MATCH(I954,数据元说明!C:C,0),5)</f>
        <v>与币种相对应金额。</v>
      </c>
      <c r="L954" s="136" t="str">
        <f>INDEX(数据元说明!A:F,MATCH(I954,数据元说明!C:C,0),6)</f>
        <v>D20.2</v>
      </c>
      <c r="M954" s="138" t="s">
        <v>3336</v>
      </c>
      <c r="N954" s="143" t="s">
        <v>57</v>
      </c>
      <c r="O954" s="139"/>
      <c r="P954" s="140"/>
    </row>
    <row r="955" s="81" customFormat="1" ht="30" customHeight="1" outlineLevel="1" spans="1:16">
      <c r="A955" s="141"/>
      <c r="B955" s="142"/>
      <c r="C955" s="39"/>
      <c r="D955" s="39"/>
      <c r="E955" s="47"/>
      <c r="F955" s="135" t="s">
        <v>3337</v>
      </c>
      <c r="G955" s="136" t="s">
        <v>3338</v>
      </c>
      <c r="H955" s="153" t="s">
        <v>3339</v>
      </c>
      <c r="I955" s="135" t="s">
        <v>609</v>
      </c>
      <c r="J955" s="136" t="str">
        <f>INDEX(数据元说明!A:F,MATCH(I955,数据元说明!C:C,0),2)</f>
        <v>003010</v>
      </c>
      <c r="K955" s="138" t="str">
        <f>INDEX(数据元说明!A:F,MATCH(I955,数据元说明!C:C,0),5)</f>
        <v>与币种相对应金额。</v>
      </c>
      <c r="L955" s="136" t="str">
        <f>INDEX(数据元说明!A:F,MATCH(I955,数据元说明!C:C,0),6)</f>
        <v>D20.2</v>
      </c>
      <c r="M955" s="138" t="s">
        <v>3340</v>
      </c>
      <c r="N955" s="143" t="s">
        <v>57</v>
      </c>
      <c r="O955" s="139"/>
      <c r="P955" s="140"/>
    </row>
    <row r="956" s="81" customFormat="1" ht="30" customHeight="1" outlineLevel="1" spans="1:16">
      <c r="A956" s="154"/>
      <c r="B956" s="155"/>
      <c r="C956" s="156"/>
      <c r="D956" s="156"/>
      <c r="E956" s="155"/>
      <c r="F956" s="157" t="s">
        <v>839</v>
      </c>
      <c r="G956" s="43" t="s">
        <v>2777</v>
      </c>
      <c r="H956" s="153" t="s">
        <v>3341</v>
      </c>
      <c r="I956" s="157" t="s">
        <v>839</v>
      </c>
      <c r="J956" s="407" t="str">
        <f>INDEX(数据元说明!A:F,MATCH(I956,数据元说明!C:C,0),2)</f>
        <v>005026</v>
      </c>
      <c r="K956" s="158" t="str">
        <f>INDEX(数据元说明!A:F,MATCH(I956,数据元说明!C:C,0),5)</f>
        <v>正常、结清、逾期、核销、转让，其他-银行自定义。以枚举类型填报，如无法以枚举类型填报，则以“其他-XX”填报，其中“XX”为银行自定义状态。</v>
      </c>
      <c r="L956" s="43" t="str">
        <f>INDEX(数据元说明!A:F,MATCH(I956,数据元说明!C:C,0),6)</f>
        <v>C..30</v>
      </c>
      <c r="M956" s="158"/>
      <c r="N956" s="129" t="s">
        <v>25</v>
      </c>
      <c r="O956" s="139" t="s">
        <v>275</v>
      </c>
      <c r="P956" s="139" t="s">
        <v>1588</v>
      </c>
    </row>
    <row r="957" s="81" customFormat="1" ht="30" customHeight="1" outlineLevel="1" spans="1:16">
      <c r="A957" s="134"/>
      <c r="B957" s="47"/>
      <c r="C957" s="39"/>
      <c r="D957" s="39"/>
      <c r="E957" s="47"/>
      <c r="F957" s="169" t="s">
        <v>449</v>
      </c>
      <c r="G957" s="148" t="s">
        <v>1571</v>
      </c>
      <c r="H957" s="148" t="s">
        <v>3342</v>
      </c>
      <c r="I957" s="169" t="s">
        <v>449</v>
      </c>
      <c r="J957" s="170" t="str">
        <f>INDEX(数据元说明!A:F,MATCH(I957,数据元说明!C:C,0),2)</f>
        <v>001040</v>
      </c>
      <c r="K957" s="171" t="str">
        <f>INDEX(数据元说明!A:F,MATCH(I957,数据元说明!C:C,0),5)</f>
        <v>银行自定义。</v>
      </c>
      <c r="L957" s="170" t="str">
        <f>INDEX(数据元说明!A:F,MATCH(I957,数据元说明!C:C,0),6)</f>
        <v>C..600</v>
      </c>
      <c r="M957" s="149" t="s">
        <v>1573</v>
      </c>
      <c r="N957" s="143" t="s">
        <v>57</v>
      </c>
      <c r="O957" s="173"/>
      <c r="P957" s="173"/>
    </row>
    <row r="958" ht="30" customHeight="1" outlineLevel="1" spans="1:16">
      <c r="E958" s="94"/>
      <c r="F958" s="97" t="s">
        <v>1574</v>
      </c>
      <c r="G958" s="29" t="s">
        <v>1575</v>
      </c>
      <c r="H958" s="96" t="s">
        <v>3343</v>
      </c>
      <c r="I958" s="97" t="s">
        <v>302</v>
      </c>
      <c r="J958" s="29" t="str">
        <f>INDEX(数据元说明!A:F,MATCH(I958,数据元说明!C:C,0),2)</f>
        <v>001005</v>
      </c>
      <c r="K958" s="98" t="str">
        <f>INDEX(数据元说明!A:F,MATCH(I958,数据元说明!C:C,0),5)</f>
        <v>YYYYMMDD，默认值99991231。</v>
      </c>
      <c r="L958" s="29" t="str">
        <f>INDEX(数据元说明!A:F,MATCH(I958,数据元说明!C:C,0),6)</f>
        <v>C8</v>
      </c>
      <c r="M958" s="98" t="s">
        <v>1577</v>
      </c>
      <c r="P958" s="99"/>
    </row>
    <row r="959" s="83" customFormat="1" ht="30" customHeight="1" spans="1:16">
      <c r="A959" s="210"/>
      <c r="B959" s="211"/>
      <c r="C959" s="190" t="s">
        <v>147</v>
      </c>
      <c r="D959" s="191" t="s">
        <v>148</v>
      </c>
      <c r="E959" s="192" t="s">
        <v>3344</v>
      </c>
      <c r="F959" s="193"/>
      <c r="G959" s="194"/>
      <c r="H959" s="192"/>
      <c r="I959" s="193"/>
      <c r="J959" s="194"/>
      <c r="K959" s="195"/>
      <c r="L959" s="194"/>
      <c r="M959" s="193" t="str">
        <f>INDEX(表结构总览!E:H,MATCH(D959,表结构总览!E:E,0),4)</f>
        <v>报送本行经办的“票据直贴”业务的明细信息。报送范围：1104报表G01_Ⅲ中[1.3贴现及买断式转贴现]-[1.3.1其中:买断式转贴现]。票据状态为“卖断”、“解付”或“核销”的数据，在报送票据最后状态的次月可不再报送。</v>
      </c>
      <c r="N959" s="143" t="s">
        <v>57</v>
      </c>
      <c r="O959" s="164"/>
    </row>
    <row r="960" s="35" customFormat="1" ht="30" customHeight="1" outlineLevel="1" spans="1:16">
      <c r="A960" s="93"/>
      <c r="B960" s="94"/>
      <c r="C960" s="95"/>
      <c r="D960" s="95"/>
      <c r="E960" s="94"/>
      <c r="F960" s="158" t="s">
        <v>325</v>
      </c>
      <c r="G960" s="43" t="s">
        <v>1520</v>
      </c>
      <c r="H960" s="153" t="s">
        <v>3345</v>
      </c>
      <c r="I960" s="158" t="s">
        <v>325</v>
      </c>
      <c r="J960" s="213" t="str">
        <f>INDEX(数据元说明!A:F,MATCH(I960,数据元说明!C:C,0),2)</f>
        <v>001010</v>
      </c>
      <c r="K960" s="158" t="str">
        <f>INDEX(数据元说明!A:F,MATCH(I960,数据元说明!C:C,0),5)</f>
        <v>12位人行支付行号或SWIFT行号。</v>
      </c>
      <c r="L960" s="213" t="str">
        <f>INDEX(数据元说明!A:F,MATCH(I960,数据元说明!C:C,0),6)</f>
        <v>C..30</v>
      </c>
      <c r="M960" s="135" t="s">
        <v>3346</v>
      </c>
      <c r="N960" s="143" t="s">
        <v>57</v>
      </c>
      <c r="O960" s="44"/>
      <c r="P960" s="99"/>
    </row>
    <row r="961" s="81" customFormat="1" ht="30" customHeight="1" outlineLevel="1" spans="1:16">
      <c r="A961" s="134"/>
      <c r="B961" s="47"/>
      <c r="C961" s="39"/>
      <c r="D961" s="39"/>
      <c r="E961" s="47"/>
      <c r="F961" s="135" t="s">
        <v>329</v>
      </c>
      <c r="G961" s="136" t="s">
        <v>1526</v>
      </c>
      <c r="H961" s="153" t="s">
        <v>3347</v>
      </c>
      <c r="I961" s="135" t="s">
        <v>329</v>
      </c>
      <c r="J961" s="136" t="str">
        <f>INDEX(数据元说明!A:F,MATCH(I961,数据元说明!C:C,0),2)</f>
        <v>001011</v>
      </c>
      <c r="K961" s="138" t="str">
        <f>INDEX(数据元说明!A:F,MATCH(I961,数据元说明!C:C,0),5)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61" s="136" t="str">
        <f>INDEX(数据元说明!A:F,MATCH(I961,数据元说明!C:C,0),6)</f>
        <v>C..30</v>
      </c>
      <c r="M961" s="135" t="s">
        <v>3348</v>
      </c>
      <c r="N961" s="143" t="s">
        <v>57</v>
      </c>
      <c r="O961" s="140"/>
      <c r="P961" s="140"/>
    </row>
    <row r="962" s="35" customFormat="1" ht="30" customHeight="1" outlineLevel="1" spans="1:16">
      <c r="A962" s="93"/>
      <c r="B962" s="94"/>
      <c r="C962" s="95"/>
      <c r="D962" s="95"/>
      <c r="E962" s="94"/>
      <c r="F962" s="158" t="s">
        <v>333</v>
      </c>
      <c r="G962" s="43" t="s">
        <v>1523</v>
      </c>
      <c r="H962" s="153" t="s">
        <v>3349</v>
      </c>
      <c r="I962" s="158" t="s">
        <v>333</v>
      </c>
      <c r="J962" s="213" t="str">
        <f>INDEX(数据元说明!A:F,MATCH(I962,数据元说明!C:C,0),2)</f>
        <v>001012</v>
      </c>
      <c r="K962" s="158" t="str">
        <f>INDEX(数据元说明!A:F,MATCH(I962,数据元说明!C:C,0),5)</f>
        <v>银行内部机构号。应具有标识机构的唯一性。</v>
      </c>
      <c r="L962" s="213" t="str">
        <f>INDEX(数据元说明!A:F,MATCH(I962,数据元说明!C:C,0),6)</f>
        <v>C..30</v>
      </c>
      <c r="M962" s="135" t="s">
        <v>3350</v>
      </c>
      <c r="N962" s="143" t="s">
        <v>57</v>
      </c>
      <c r="O962" s="44"/>
      <c r="P962" s="99"/>
    </row>
    <row r="963" s="35" customFormat="1" ht="30" customHeight="1" outlineLevel="1" spans="1:16">
      <c r="A963" s="93"/>
      <c r="B963" s="94"/>
      <c r="C963" s="95"/>
      <c r="D963" s="95"/>
      <c r="E963" s="94"/>
      <c r="F963" s="158" t="s">
        <v>1532</v>
      </c>
      <c r="G963" s="43" t="s">
        <v>1533</v>
      </c>
      <c r="H963" s="153" t="s">
        <v>3351</v>
      </c>
      <c r="I963" s="158" t="s">
        <v>282</v>
      </c>
      <c r="J963" s="213" t="str">
        <f>INDEX(数据元说明!A:F,MATCH(I963,数据元说明!C:C,0),2)</f>
        <v>001001</v>
      </c>
      <c r="K963" s="158" t="str">
        <f>INDEX(数据元说明!A:F,MATCH(I963,数据元说明!C:C,0),5)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63" s="213" t="str">
        <f>INDEX(数据元说明!A:F,MATCH(I963,数据元说明!C:C,0),6)</f>
        <v>C..400</v>
      </c>
      <c r="M963" s="135" t="s">
        <v>3352</v>
      </c>
      <c r="N963" s="143" t="s">
        <v>57</v>
      </c>
      <c r="O963" s="44"/>
      <c r="P963" s="99"/>
    </row>
    <row r="964" s="81" customFormat="1" ht="30" customHeight="1" outlineLevel="1" spans="1:16">
      <c r="A964" s="167"/>
      <c r="B964" s="168"/>
      <c r="C964" s="156"/>
      <c r="D964" s="156"/>
      <c r="E964" s="155"/>
      <c r="F964" s="157" t="s">
        <v>2895</v>
      </c>
      <c r="G964" s="43" t="s">
        <v>2896</v>
      </c>
      <c r="H964" s="153" t="s">
        <v>3353</v>
      </c>
      <c r="I964" s="157" t="s">
        <v>681</v>
      </c>
      <c r="J964" s="43" t="str">
        <f>INDEX(数据元说明!A:F,MATCH(I964,数据元说明!C:C,0),2)</f>
        <v>003028</v>
      </c>
      <c r="K964" s="158" t="str">
        <f>INDEX(数据元说明!A:F,MATCH(I964,数据元说明!C:C,0),5)</f>
        <v>合同号。</v>
      </c>
      <c r="L964" s="43" t="str">
        <f>INDEX(数据元说明!A:F,MATCH(I964,数据元说明!C:C,0),6)</f>
        <v>C..100</v>
      </c>
      <c r="M964" s="135" t="s">
        <v>3354</v>
      </c>
      <c r="N964" s="143" t="s">
        <v>57</v>
      </c>
      <c r="O964" s="140"/>
      <c r="P964" s="139" t="s">
        <v>1588</v>
      </c>
    </row>
    <row r="965" s="81" customFormat="1" ht="30" customHeight="1" outlineLevel="1" spans="1:16">
      <c r="A965" s="141"/>
      <c r="B965" s="142"/>
      <c r="C965" s="39"/>
      <c r="D965" s="39"/>
      <c r="E965" s="47"/>
      <c r="F965" s="135" t="s">
        <v>2752</v>
      </c>
      <c r="G965" s="136" t="s">
        <v>2753</v>
      </c>
      <c r="H965" s="153" t="s">
        <v>3355</v>
      </c>
      <c r="I965" s="135" t="s">
        <v>677</v>
      </c>
      <c r="J965" s="136" t="str">
        <f>INDEX(数据元说明!A:F,MATCH(I965,数据元说明!C:C,0),2)</f>
        <v>003027</v>
      </c>
      <c r="K965" s="138" t="str">
        <f>INDEX(数据元说明!A:F,MATCH(I965,数据元说明!C:C,0),5)</f>
        <v>借据统一编号。</v>
      </c>
      <c r="L965" s="136" t="str">
        <f>INDEX(数据元说明!A:F,MATCH(I965,数据元说明!C:C,0),6)</f>
        <v>C..100</v>
      </c>
      <c r="M965" s="135" t="s">
        <v>3356</v>
      </c>
      <c r="N965" s="143" t="s">
        <v>57</v>
      </c>
      <c r="O965" s="140"/>
      <c r="P965" s="139"/>
    </row>
    <row r="966" s="35" customFormat="1" ht="30" customHeight="1" outlineLevel="1" spans="1:16">
      <c r="A966" s="93"/>
      <c r="B966" s="94"/>
      <c r="C966" s="95"/>
      <c r="D966" s="95"/>
      <c r="E966" s="94"/>
      <c r="F966" s="158" t="s">
        <v>795</v>
      </c>
      <c r="G966" s="43" t="s">
        <v>3357</v>
      </c>
      <c r="H966" s="153" t="s">
        <v>3358</v>
      </c>
      <c r="I966" s="158" t="s">
        <v>795</v>
      </c>
      <c r="J966" s="410" t="str">
        <f>INDEX(数据元说明!A:F,MATCH(I966,数据元说明!C:C,0),2)</f>
        <v>005015</v>
      </c>
      <c r="K966" s="158" t="str">
        <f>INDEX(数据元说明!A:F,MATCH(I966,数据元说明!C:C,0),5)</f>
        <v>票据号码。</v>
      </c>
      <c r="L966" s="213" t="str">
        <f>INDEX(数据元说明!A:F,MATCH(I966,数据元说明!C:C,0),6)</f>
        <v>C..60</v>
      </c>
      <c r="M966" s="135" t="s">
        <v>1587</v>
      </c>
      <c r="N966" s="143" t="s">
        <v>57</v>
      </c>
      <c r="O966" s="44"/>
      <c r="P966" s="99"/>
    </row>
    <row r="967" s="35" customFormat="1" ht="30" customHeight="1" outlineLevel="1" spans="1:16">
      <c r="A967" s="93"/>
      <c r="B967" s="94"/>
      <c r="C967" s="95"/>
      <c r="D967" s="95"/>
      <c r="E967" s="94"/>
      <c r="F967" s="158" t="s">
        <v>803</v>
      </c>
      <c r="G967" s="43" t="s">
        <v>3359</v>
      </c>
      <c r="H967" s="153" t="s">
        <v>3360</v>
      </c>
      <c r="I967" s="158" t="s">
        <v>803</v>
      </c>
      <c r="J967" s="410" t="str">
        <f>INDEX(数据元说明!A:F,MATCH(I967,数据元说明!C:C,0),2)</f>
        <v>005017</v>
      </c>
      <c r="K967" s="158" t="str">
        <f>INDEX(数据元说明!A:F,MATCH(I967,数据元说明!C:C,0),5)</f>
        <v>银行承兑汇票，商业承兑汇票。</v>
      </c>
      <c r="L967" s="213" t="str">
        <f>INDEX(数据元说明!A:F,MATCH(I967,数据元说明!C:C,0),6)</f>
        <v>C..30</v>
      </c>
      <c r="M967" s="135"/>
      <c r="N967" s="143" t="s">
        <v>57</v>
      </c>
      <c r="O967" s="44"/>
      <c r="P967" s="99"/>
    </row>
    <row r="968" s="35" customFormat="1" ht="30" customHeight="1" outlineLevel="1" spans="1:16">
      <c r="A968" s="93"/>
      <c r="B968" s="94"/>
      <c r="C968" s="95"/>
      <c r="D968" s="95"/>
      <c r="E968" s="94"/>
      <c r="F968" s="158" t="s">
        <v>624</v>
      </c>
      <c r="G968" s="43" t="s">
        <v>1989</v>
      </c>
      <c r="H968" s="153" t="s">
        <v>3361</v>
      </c>
      <c r="I968" s="158" t="s">
        <v>624</v>
      </c>
      <c r="J968" s="213" t="str">
        <f>INDEX(数据元说明!A:F,MATCH(I968,数据元说明!C:C,0),2)</f>
        <v>003014</v>
      </c>
      <c r="K968" s="158" t="str">
        <f>INDEX(数据元说明!A:F,MATCH(I968,数据元说明!C:C,0),5)</f>
        <v>遵循《GB/T 12406 表示货币和资金的代码》的字母代码，如CNY。上述文件所列币种无法涵盖的，允许银行自定义填报。多个币种合计折算为人民币（本外币合计）的，填报为BWB。</v>
      </c>
      <c r="L968" s="213" t="str">
        <f>INDEX(数据元说明!A:F,MATCH(I968,数据元说明!C:C,0),6)</f>
        <v>C3</v>
      </c>
      <c r="M968" s="135"/>
      <c r="N968" s="143" t="s">
        <v>57</v>
      </c>
      <c r="O968" s="44"/>
      <c r="P968" s="99"/>
    </row>
    <row r="969" s="35" customFormat="1" ht="30" customHeight="1" outlineLevel="1" spans="1:16">
      <c r="A969" s="93"/>
      <c r="B969" s="94"/>
      <c r="C969" s="95"/>
      <c r="D969" s="95"/>
      <c r="E969" s="94"/>
      <c r="F969" s="158" t="s">
        <v>3362</v>
      </c>
      <c r="G969" s="43" t="s">
        <v>3363</v>
      </c>
      <c r="H969" s="153" t="s">
        <v>3364</v>
      </c>
      <c r="I969" s="158" t="s">
        <v>609</v>
      </c>
      <c r="J969" s="213" t="str">
        <f>INDEX(数据元说明!A:F,MATCH(I969,数据元说明!C:C,0),2)</f>
        <v>003010</v>
      </c>
      <c r="K969" s="158" t="str">
        <f>INDEX(数据元说明!A:F,MATCH(I969,数据元说明!C:C,0),5)</f>
        <v>与币种相对应金额。</v>
      </c>
      <c r="L969" s="213" t="str">
        <f>INDEX(数据元说明!A:F,MATCH(I969,数据元说明!C:C,0),6)</f>
        <v>D20.2</v>
      </c>
      <c r="M969" s="135"/>
      <c r="N969" s="143" t="s">
        <v>57</v>
      </c>
      <c r="O969" s="44"/>
      <c r="P969" s="99"/>
    </row>
    <row r="970" s="35" customFormat="1" ht="30" customHeight="1" outlineLevel="1" spans="1:16">
      <c r="A970" s="93"/>
      <c r="B970" s="94"/>
      <c r="C970" s="95"/>
      <c r="D970" s="95"/>
      <c r="E970" s="94"/>
      <c r="F970" s="158" t="s">
        <v>3365</v>
      </c>
      <c r="G970" s="43" t="s">
        <v>3366</v>
      </c>
      <c r="H970" s="153" t="s">
        <v>3367</v>
      </c>
      <c r="I970" s="158" t="s">
        <v>302</v>
      </c>
      <c r="J970" s="213" t="str">
        <f>INDEX(数据元说明!A:F,MATCH(I970,数据元说明!C:C,0),2)</f>
        <v>001005</v>
      </c>
      <c r="K970" s="158" t="str">
        <f>INDEX(数据元说明!A:F,MATCH(I970,数据元说明!C:C,0),5)</f>
        <v>YYYYMMDD，默认值99991231。</v>
      </c>
      <c r="L970" s="213" t="str">
        <f>INDEX(数据元说明!A:F,MATCH(I970,数据元说明!C:C,0),6)</f>
        <v>C8</v>
      </c>
      <c r="M970" s="135"/>
      <c r="N970" s="143" t="s">
        <v>57</v>
      </c>
      <c r="O970" s="44"/>
      <c r="P970" s="99"/>
    </row>
    <row r="971" s="35" customFormat="1" ht="30" customHeight="1" outlineLevel="1" spans="1:16">
      <c r="A971" s="93"/>
      <c r="B971" s="94"/>
      <c r="C971" s="95"/>
      <c r="D971" s="95"/>
      <c r="E971" s="94"/>
      <c r="F971" s="158" t="s">
        <v>3368</v>
      </c>
      <c r="G971" s="43" t="s">
        <v>3369</v>
      </c>
      <c r="H971" s="153" t="s">
        <v>3370</v>
      </c>
      <c r="I971" s="158" t="s">
        <v>302</v>
      </c>
      <c r="J971" s="213" t="str">
        <f>INDEX(数据元说明!A:F,MATCH(I971,数据元说明!C:C,0),2)</f>
        <v>001005</v>
      </c>
      <c r="K971" s="158" t="str">
        <f>INDEX(数据元说明!A:F,MATCH(I971,数据元说明!C:C,0),5)</f>
        <v>YYYYMMDD，默认值99991231。</v>
      </c>
      <c r="L971" s="213" t="str">
        <f>INDEX(数据元说明!A:F,MATCH(I971,数据元说明!C:C,0),6)</f>
        <v>C8</v>
      </c>
      <c r="M971" s="135"/>
      <c r="N971" s="143" t="s">
        <v>57</v>
      </c>
      <c r="O971" s="44"/>
      <c r="P971" s="99"/>
    </row>
    <row r="972" s="35" customFormat="1" ht="30" customHeight="1" outlineLevel="1" spans="1:16">
      <c r="A972" s="93"/>
      <c r="B972" s="94"/>
      <c r="C972" s="95"/>
      <c r="D972" s="95"/>
      <c r="E972" s="94"/>
      <c r="F972" s="158" t="s">
        <v>3371</v>
      </c>
      <c r="G972" s="43" t="s">
        <v>3372</v>
      </c>
      <c r="H972" s="153" t="s">
        <v>3373</v>
      </c>
      <c r="I972" s="158" t="s">
        <v>282</v>
      </c>
      <c r="J972" s="213" t="str">
        <f>INDEX(数据元说明!A:F,MATCH(I972,数据元说明!C:C,0),2)</f>
        <v>001001</v>
      </c>
      <c r="K972" s="158" t="str">
        <f>INDEX(数据元说明!A:F,MATCH(I972,数据元说明!C:C,0),5)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72" s="213" t="str">
        <f>INDEX(数据元说明!A:F,MATCH(I972,数据元说明!C:C,0),6)</f>
        <v>C..400</v>
      </c>
      <c r="M972" s="135" t="s">
        <v>3374</v>
      </c>
      <c r="N972" s="143" t="s">
        <v>57</v>
      </c>
      <c r="O972" s="44"/>
      <c r="P972" s="99"/>
    </row>
    <row r="973" s="35" customFormat="1" ht="30" customHeight="1" outlineLevel="1" spans="1:16">
      <c r="A973" s="93"/>
      <c r="B973" s="94"/>
      <c r="C973" s="95"/>
      <c r="D973" s="95"/>
      <c r="E973" s="94"/>
      <c r="F973" s="158" t="s">
        <v>3375</v>
      </c>
      <c r="G973" s="43" t="s">
        <v>3376</v>
      </c>
      <c r="H973" s="153" t="s">
        <v>3377</v>
      </c>
      <c r="I973" s="158" t="s">
        <v>282</v>
      </c>
      <c r="J973" s="213" t="str">
        <f>INDEX(数据元说明!A:F,MATCH(I973,数据元说明!C:C,0),2)</f>
        <v>001001</v>
      </c>
      <c r="K973" s="158" t="str">
        <f>INDEX(数据元说明!A:F,MATCH(I973,数据元说明!C:C,0),5)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73" s="213" t="str">
        <f>INDEX(数据元说明!A:F,MATCH(I973,数据元说明!C:C,0),6)</f>
        <v>C..400</v>
      </c>
      <c r="M973" s="135" t="s">
        <v>3378</v>
      </c>
      <c r="N973" s="143" t="s">
        <v>57</v>
      </c>
      <c r="O973" s="44"/>
      <c r="P973" s="99"/>
    </row>
    <row r="974" s="35" customFormat="1" ht="30" customHeight="1" outlineLevel="1" spans="1:16">
      <c r="A974" s="93"/>
      <c r="B974" s="94"/>
      <c r="C974" s="95"/>
      <c r="D974" s="95"/>
      <c r="E974" s="94"/>
      <c r="F974" s="158" t="s">
        <v>3379</v>
      </c>
      <c r="G974" s="43" t="s">
        <v>3380</v>
      </c>
      <c r="H974" s="153" t="s">
        <v>3381</v>
      </c>
      <c r="I974" s="158" t="s">
        <v>282</v>
      </c>
      <c r="J974" s="213" t="str">
        <f>INDEX(数据元说明!A:F,MATCH(I974,数据元说明!C:C,0),2)</f>
        <v>001001</v>
      </c>
      <c r="K974" s="158" t="str">
        <f>INDEX(数据元说明!A:F,MATCH(I974,数据元说明!C:C,0),5)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74" s="213" t="str">
        <f>INDEX(数据元说明!A:F,MATCH(I974,数据元说明!C:C,0),6)</f>
        <v>C..400</v>
      </c>
      <c r="M974" s="135" t="s">
        <v>3382</v>
      </c>
      <c r="N974" s="143" t="s">
        <v>57</v>
      </c>
      <c r="O974" s="44"/>
      <c r="P974" s="99"/>
    </row>
    <row r="975" s="35" customFormat="1" ht="30" customHeight="1" outlineLevel="1" spans="1:16">
      <c r="A975" s="93"/>
      <c r="B975" s="94"/>
      <c r="C975" s="95"/>
      <c r="D975" s="95"/>
      <c r="E975" s="94"/>
      <c r="F975" s="158" t="s">
        <v>3383</v>
      </c>
      <c r="G975" s="43" t="s">
        <v>3384</v>
      </c>
      <c r="H975" s="153" t="s">
        <v>3385</v>
      </c>
      <c r="I975" s="158" t="s">
        <v>453</v>
      </c>
      <c r="J975" s="213" t="str">
        <f>INDEX(数据元说明!A:F,MATCH(I975,数据元说明!C:C,0),2)</f>
        <v>002001</v>
      </c>
      <c r="K975" s="158" t="str">
        <f>INDEX(数据元说明!A:F,MATCH(I975,数据元说明!C:C,0),5)</f>
        <v>银行自定义的唯一识别客户的标识。供应链融资的填写供应链融资编码。</v>
      </c>
      <c r="L975" s="213" t="str">
        <f>INDEX(数据元说明!A:F,MATCH(I975,数据元说明!C:C,0),6)</f>
        <v>C..60</v>
      </c>
      <c r="M975" s="135"/>
      <c r="N975" s="143" t="s">
        <v>57</v>
      </c>
      <c r="O975" s="44"/>
      <c r="P975" s="99"/>
    </row>
    <row r="976" s="35" customFormat="1" ht="30" customHeight="1" outlineLevel="1" spans="1:16">
      <c r="A976" s="93"/>
      <c r="B976" s="94"/>
      <c r="C976" s="95"/>
      <c r="D976" s="95"/>
      <c r="E976" s="94"/>
      <c r="F976" s="158" t="s">
        <v>3386</v>
      </c>
      <c r="G976" s="43" t="s">
        <v>3387</v>
      </c>
      <c r="H976" s="153" t="s">
        <v>3388</v>
      </c>
      <c r="I976" s="157" t="s">
        <v>697</v>
      </c>
      <c r="J976" s="213" t="str">
        <f>INDEX(数据元说明!A:F,MATCH(I976,数据元说明!C:C,0),2)</f>
        <v>003032</v>
      </c>
      <c r="K976" s="158" t="str">
        <f>INDEX(数据元说明!A:F,MATCH(I976,数据元说明!C:C,0),5)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976" s="213" t="str">
        <f>INDEX(数据元说明!A:F,MATCH(I976,数据元说明!C:C,0),6)</f>
        <v>C..60</v>
      </c>
      <c r="M976" s="135" t="s">
        <v>3389</v>
      </c>
      <c r="N976" s="143" t="s">
        <v>57</v>
      </c>
      <c r="O976" s="44"/>
      <c r="P976" s="99"/>
    </row>
    <row r="977" s="35" customFormat="1" ht="30" customHeight="1" outlineLevel="1" spans="1:16">
      <c r="A977" s="93"/>
      <c r="B977" s="94"/>
      <c r="C977" s="95"/>
      <c r="D977" s="95"/>
      <c r="E977" s="94"/>
      <c r="F977" s="158" t="s">
        <v>3390</v>
      </c>
      <c r="G977" s="43" t="s">
        <v>3391</v>
      </c>
      <c r="H977" s="153" t="s">
        <v>3392</v>
      </c>
      <c r="I977" s="158" t="s">
        <v>282</v>
      </c>
      <c r="J977" s="213" t="str">
        <f>INDEX(数据元说明!A:F,MATCH(I977,数据元说明!C:C,0),2)</f>
        <v>001001</v>
      </c>
      <c r="K977" s="158" t="str">
        <f>INDEX(数据元说明!A:F,MATCH(I977,数据元说明!C:C,0),5)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77" s="213" t="str">
        <f>INDEX(数据元说明!A:F,MATCH(I977,数据元说明!C:C,0),6)</f>
        <v>C..400</v>
      </c>
      <c r="M977" s="135" t="s">
        <v>3393</v>
      </c>
      <c r="N977" s="143" t="s">
        <v>57</v>
      </c>
      <c r="O977" s="44"/>
      <c r="P977" s="99"/>
    </row>
    <row r="978" s="35" customFormat="1" ht="30" customHeight="1" outlineLevel="1" spans="1:16">
      <c r="A978" s="93"/>
      <c r="B978" s="94"/>
      <c r="C978" s="95"/>
      <c r="D978" s="95"/>
      <c r="E978" s="94"/>
      <c r="F978" s="158" t="s">
        <v>3394</v>
      </c>
      <c r="G978" s="43" t="s">
        <v>3395</v>
      </c>
      <c r="H978" s="153" t="s">
        <v>3396</v>
      </c>
      <c r="I978" s="158" t="s">
        <v>609</v>
      </c>
      <c r="J978" s="213" t="str">
        <f>INDEX(数据元说明!A:F,MATCH(I978,数据元说明!C:C,0),2)</f>
        <v>003010</v>
      </c>
      <c r="K978" s="158" t="str">
        <f>INDEX(数据元说明!A:F,MATCH(I978,数据元说明!C:C,0),5)</f>
        <v>与币种相对应金额。</v>
      </c>
      <c r="L978" s="213" t="str">
        <f>INDEX(数据元说明!A:F,MATCH(I978,数据元说明!C:C,0),6)</f>
        <v>D20.2</v>
      </c>
      <c r="M978" s="135" t="s">
        <v>3397</v>
      </c>
      <c r="N978" s="143" t="s">
        <v>57</v>
      </c>
      <c r="O978" s="44"/>
      <c r="P978" s="99"/>
    </row>
    <row r="979" s="35" customFormat="1" ht="30" customHeight="1" outlineLevel="1" spans="1:16">
      <c r="A979" s="93"/>
      <c r="B979" s="94"/>
      <c r="C979" s="95"/>
      <c r="D979" s="95"/>
      <c r="E979" s="94"/>
      <c r="F979" s="158" t="s">
        <v>3398</v>
      </c>
      <c r="G979" s="43" t="s">
        <v>3399</v>
      </c>
      <c r="H979" s="153" t="s">
        <v>3400</v>
      </c>
      <c r="I979" s="158" t="s">
        <v>302</v>
      </c>
      <c r="J979" s="213" t="str">
        <f>INDEX(数据元说明!A:F,MATCH(I979,数据元说明!C:C,0),2)</f>
        <v>001005</v>
      </c>
      <c r="K979" s="158" t="str">
        <f>INDEX(数据元说明!A:F,MATCH(I979,数据元说明!C:C,0),5)</f>
        <v>YYYYMMDD，默认值99991231。</v>
      </c>
      <c r="L979" s="213" t="str">
        <f>INDEX(数据元说明!A:F,MATCH(I979,数据元说明!C:C,0),6)</f>
        <v>C8</v>
      </c>
      <c r="M979" s="135"/>
      <c r="N979" s="143" t="s">
        <v>57</v>
      </c>
      <c r="O979" s="44"/>
      <c r="P979" s="99"/>
    </row>
    <row r="980" s="35" customFormat="1" ht="30" customHeight="1" outlineLevel="1" spans="1:16">
      <c r="A980" s="93"/>
      <c r="B980" s="94"/>
      <c r="C980" s="95"/>
      <c r="D980" s="95"/>
      <c r="E980" s="94"/>
      <c r="F980" s="158" t="s">
        <v>3401</v>
      </c>
      <c r="G980" s="43" t="s">
        <v>3402</v>
      </c>
      <c r="H980" s="153" t="s">
        <v>3403</v>
      </c>
      <c r="I980" s="158" t="s">
        <v>1253</v>
      </c>
      <c r="J980" s="410" t="str">
        <f>INDEX(数据元说明!A:F,MATCH(I980,数据元说明!C:C,0),2)</f>
        <v>010040</v>
      </c>
      <c r="K980" s="158" t="str">
        <f>INDEX(数据元说明!A:F,MATCH(I980,数据元说明!C:C,0),5)</f>
        <v>以天为单位计的时间长度。</v>
      </c>
      <c r="L980" s="213" t="str">
        <f>INDEX(数据元说明!A:F,MATCH(I980,数据元说明!C:C,0),6)</f>
        <v>I..8</v>
      </c>
      <c r="M980" s="135"/>
      <c r="N980" s="143" t="s">
        <v>57</v>
      </c>
      <c r="O980" s="44"/>
      <c r="P980" s="99"/>
    </row>
    <row r="981" s="35" customFormat="1" ht="30" customHeight="1" outlineLevel="1" spans="1:16">
      <c r="A981" s="93"/>
      <c r="B981" s="94"/>
      <c r="C981" s="95"/>
      <c r="D981" s="95"/>
      <c r="E981" s="94"/>
      <c r="F981" s="158" t="s">
        <v>3404</v>
      </c>
      <c r="G981" s="43" t="s">
        <v>3405</v>
      </c>
      <c r="H981" s="153" t="s">
        <v>3406</v>
      </c>
      <c r="I981" s="158" t="s">
        <v>660</v>
      </c>
      <c r="J981" s="213" t="str">
        <f>INDEX(数据元说明!A:F,MATCH(I981,数据元说明!C:C,0),2)</f>
        <v>003023</v>
      </c>
      <c r="K981" s="158" t="str">
        <f>INDEX(数据元说明!A:F,MATCH(I981,数据元说明!C:C,0),5)</f>
        <v>百分比为单位，即%，如4.5%填报为4.5。</v>
      </c>
      <c r="L981" s="213" t="str">
        <f>INDEX(数据元说明!A:F,MATCH(I981,数据元说明!C:C,0),6)</f>
        <v>D10.4</v>
      </c>
      <c r="M981" s="135"/>
      <c r="N981" s="143" t="s">
        <v>57</v>
      </c>
      <c r="O981" s="44"/>
      <c r="P981" s="99"/>
    </row>
    <row r="982" s="35" customFormat="1" ht="30" customHeight="1" outlineLevel="1" spans="1:16">
      <c r="A982" s="93"/>
      <c r="B982" s="94"/>
      <c r="C982" s="95"/>
      <c r="D982" s="95"/>
      <c r="E982" s="94"/>
      <c r="F982" s="158" t="s">
        <v>3407</v>
      </c>
      <c r="G982" s="43" t="s">
        <v>3408</v>
      </c>
      <c r="H982" s="153" t="s">
        <v>3409</v>
      </c>
      <c r="I982" s="158" t="s">
        <v>656</v>
      </c>
      <c r="J982" s="213" t="str">
        <f>INDEX(数据元说明!A:F,MATCH(I982,数据元说明!C:C,0),2)</f>
        <v>003022</v>
      </c>
      <c r="K982" s="158" t="str">
        <f>INDEX(数据元说明!A:F,MATCH(I982,数据元说明!C:C,0),5)</f>
        <v>元。</v>
      </c>
      <c r="L982" s="213" t="str">
        <f>INDEX(数据元说明!A:F,MATCH(I982,数据元说明!C:C,0),6)</f>
        <v>D20.2</v>
      </c>
      <c r="M982" s="135"/>
      <c r="N982" s="143" t="s">
        <v>57</v>
      </c>
      <c r="O982" s="44"/>
      <c r="P982" s="99"/>
    </row>
    <row r="983" s="35" customFormat="1" ht="30" customHeight="1" outlineLevel="1" spans="1:16">
      <c r="A983" s="93"/>
      <c r="B983" s="94"/>
      <c r="C983" s="95"/>
      <c r="D983" s="95"/>
      <c r="E983" s="94"/>
      <c r="F983" s="158" t="s">
        <v>918</v>
      </c>
      <c r="G983" s="43" t="s">
        <v>3410</v>
      </c>
      <c r="H983" s="153" t="s">
        <v>3411</v>
      </c>
      <c r="I983" s="158" t="s">
        <v>918</v>
      </c>
      <c r="J983" s="410" t="str">
        <f>INDEX(数据元说明!A:F,MATCH(I983,数据元说明!C:C,0),2)</f>
        <v>005046</v>
      </c>
      <c r="K983" s="158" t="str">
        <f>INDEX(数据元说明!A:F,MATCH(I983,数据元说明!C:C,0),5)</f>
        <v>正常，卖断，解付，垫款，核销，其他-银行自定义。无法以枚举类型填报的，以“其他-XX”填报，其中“XX”为银行自定义状态。</v>
      </c>
      <c r="L983" s="213" t="str">
        <f>INDEX(数据元说明!A:F,MATCH(I983,数据元说明!C:C,0),6)</f>
        <v>C..20</v>
      </c>
      <c r="M983" s="135" t="s">
        <v>3412</v>
      </c>
      <c r="N983" s="143" t="s">
        <v>57</v>
      </c>
      <c r="O983" s="44"/>
      <c r="P983" s="99"/>
    </row>
    <row r="984" s="81" customFormat="1" ht="30" customHeight="1" outlineLevel="1" spans="1:16">
      <c r="A984" s="134"/>
      <c r="B984" s="47"/>
      <c r="C984" s="39"/>
      <c r="D984" s="39"/>
      <c r="E984" s="47"/>
      <c r="F984" s="169" t="s">
        <v>449</v>
      </c>
      <c r="G984" s="148" t="s">
        <v>1571</v>
      </c>
      <c r="H984" s="148" t="s">
        <v>3413</v>
      </c>
      <c r="I984" s="169" t="s">
        <v>449</v>
      </c>
      <c r="J984" s="170" t="str">
        <f>INDEX(数据元说明!A:F,MATCH(I984,数据元说明!C:C,0),2)</f>
        <v>001040</v>
      </c>
      <c r="K984" s="171" t="str">
        <f>INDEX(数据元说明!A:F,MATCH(I984,数据元说明!C:C,0),5)</f>
        <v>银行自定义。</v>
      </c>
      <c r="L984" s="170" t="str">
        <f>INDEX(数据元说明!A:F,MATCH(I984,数据元说明!C:C,0),6)</f>
        <v>C..600</v>
      </c>
      <c r="M984" s="149" t="s">
        <v>1573</v>
      </c>
      <c r="N984" s="143" t="s">
        <v>57</v>
      </c>
      <c r="O984" s="173"/>
      <c r="P984" s="173"/>
    </row>
    <row r="985" s="35" customFormat="1" ht="30" customHeight="1" outlineLevel="1" spans="1:16">
      <c r="A985" s="93"/>
      <c r="B985" s="94"/>
      <c r="C985" s="95"/>
      <c r="D985" s="95"/>
      <c r="E985" s="94"/>
      <c r="F985" s="158" t="s">
        <v>1574</v>
      </c>
      <c r="G985" s="43" t="s">
        <v>1575</v>
      </c>
      <c r="H985" s="153" t="s">
        <v>3414</v>
      </c>
      <c r="I985" s="158" t="s">
        <v>302</v>
      </c>
      <c r="J985" s="213" t="str">
        <f>INDEX(数据元说明!A:F,MATCH(I985,数据元说明!C:C,0),2)</f>
        <v>001005</v>
      </c>
      <c r="K985" s="158" t="str">
        <f>INDEX(数据元说明!A:F,MATCH(I985,数据元说明!C:C,0),5)</f>
        <v>YYYYMMDD，默认值99991231。</v>
      </c>
      <c r="L985" s="213" t="str">
        <f>INDEX(数据元说明!A:F,MATCH(I985,数据元说明!C:C,0),6)</f>
        <v>C8</v>
      </c>
      <c r="M985" s="135" t="s">
        <v>1577</v>
      </c>
      <c r="N985" s="143" t="s">
        <v>57</v>
      </c>
      <c r="O985" s="44"/>
      <c r="P985" s="99"/>
    </row>
    <row r="986" s="83" customFormat="1" ht="30" customHeight="1" spans="1:16">
      <c r="A986" s="210"/>
      <c r="B986" s="211"/>
      <c r="C986" s="190" t="s">
        <v>150</v>
      </c>
      <c r="D986" s="191" t="s">
        <v>151</v>
      </c>
      <c r="E986" s="192" t="s">
        <v>3415</v>
      </c>
      <c r="F986" s="193"/>
      <c r="G986" s="194"/>
      <c r="H986" s="192"/>
      <c r="I986" s="193"/>
      <c r="J986" s="194"/>
      <c r="K986" s="195"/>
      <c r="L986" s="194"/>
      <c r="M986" s="195" t="str">
        <f>INDEX(表结构总览!E:H,MATCH(D986,表结构总览!E:E,0),4)</f>
        <v>报送本行发生的转贴现买断、转贴现卖断、质押式回购正回购、质押式回购逆回购、买断式回购正回购、买断式回购逆回购、再贴现等业务的明细信息。票据状态为“卖断”、“解付”或“核销”的数据，在报送票据最后状态的次月可不再报送。</v>
      </c>
      <c r="N986" s="143" t="s">
        <v>57</v>
      </c>
      <c r="O986" s="164"/>
      <c r="P986" s="164"/>
    </row>
    <row r="987" s="35" customFormat="1" ht="30" customHeight="1" outlineLevel="1" spans="1:16">
      <c r="A987" s="93"/>
      <c r="B987" s="94"/>
      <c r="C987" s="95"/>
      <c r="D987" s="95"/>
      <c r="E987" s="94"/>
      <c r="F987" s="158" t="s">
        <v>325</v>
      </c>
      <c r="G987" s="43" t="s">
        <v>1520</v>
      </c>
      <c r="H987" s="153" t="s">
        <v>3416</v>
      </c>
      <c r="I987" s="158" t="s">
        <v>325</v>
      </c>
      <c r="J987" s="213" t="str">
        <f>INDEX(数据元说明!A:F,MATCH(I987,数据元说明!C:C,0),2)</f>
        <v>001010</v>
      </c>
      <c r="K987" s="158" t="str">
        <f>INDEX(数据元说明!A:F,MATCH(I987,数据元说明!C:C,0),5)</f>
        <v>12位人行支付行号或SWIFT行号。</v>
      </c>
      <c r="L987" s="213" t="str">
        <f>INDEX(数据元说明!A:F,MATCH(I987,数据元说明!C:C,0),6)</f>
        <v>C..30</v>
      </c>
      <c r="M987" s="138" t="s">
        <v>3417</v>
      </c>
      <c r="N987" s="143" t="s">
        <v>57</v>
      </c>
      <c r="O987" s="44"/>
      <c r="P987" s="99"/>
    </row>
    <row r="988" s="81" customFormat="1" ht="30" customHeight="1" outlineLevel="1" spans="1:16">
      <c r="A988" s="134"/>
      <c r="B988" s="47"/>
      <c r="C988" s="39"/>
      <c r="D988" s="39"/>
      <c r="E988" s="47"/>
      <c r="F988" s="135" t="s">
        <v>329</v>
      </c>
      <c r="G988" s="136" t="s">
        <v>1526</v>
      </c>
      <c r="H988" s="153" t="s">
        <v>3418</v>
      </c>
      <c r="I988" s="135" t="s">
        <v>329</v>
      </c>
      <c r="J988" s="136" t="str">
        <f>INDEX(数据元说明!A:F,MATCH(I988,数据元说明!C:C,0),2)</f>
        <v>001011</v>
      </c>
      <c r="K988" s="138" t="str">
        <f>INDEX(数据元说明!A:F,MATCH(I988,数据元说明!C:C,0),5)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988" s="136" t="str">
        <f>INDEX(数据元说明!A:F,MATCH(I988,数据元说明!C:C,0),6)</f>
        <v>C..30</v>
      </c>
      <c r="M988" s="138" t="s">
        <v>3204</v>
      </c>
      <c r="N988" s="143" t="s">
        <v>57</v>
      </c>
      <c r="O988" s="140"/>
      <c r="P988" s="140"/>
    </row>
    <row r="989" s="35" customFormat="1" ht="30" customHeight="1" outlineLevel="1" spans="1:16">
      <c r="A989" s="93"/>
      <c r="B989" s="94"/>
      <c r="C989" s="95"/>
      <c r="D989" s="95"/>
      <c r="E989" s="94"/>
      <c r="F989" s="158" t="s">
        <v>333</v>
      </c>
      <c r="G989" s="43" t="s">
        <v>1523</v>
      </c>
      <c r="H989" s="153" t="s">
        <v>3419</v>
      </c>
      <c r="I989" s="158" t="s">
        <v>333</v>
      </c>
      <c r="J989" s="213" t="str">
        <f>INDEX(数据元说明!A:F,MATCH(I989,数据元说明!C:C,0),2)</f>
        <v>001012</v>
      </c>
      <c r="K989" s="158" t="str">
        <f>INDEX(数据元说明!A:F,MATCH(I989,数据元说明!C:C,0),5)</f>
        <v>银行内部机构号。应具有标识机构的唯一性。</v>
      </c>
      <c r="L989" s="213" t="str">
        <f>INDEX(数据元说明!A:F,MATCH(I989,数据元说明!C:C,0),6)</f>
        <v>C..30</v>
      </c>
      <c r="M989" s="138" t="s">
        <v>3420</v>
      </c>
      <c r="N989" s="143" t="s">
        <v>57</v>
      </c>
      <c r="O989" s="44"/>
      <c r="P989" s="99"/>
    </row>
    <row r="990" s="35" customFormat="1" ht="30" customHeight="1" outlineLevel="1" spans="1:16">
      <c r="A990" s="93"/>
      <c r="B990" s="94"/>
      <c r="C990" s="95"/>
      <c r="D990" s="95"/>
      <c r="E990" s="94"/>
      <c r="F990" s="158" t="s">
        <v>1532</v>
      </c>
      <c r="G990" s="43" t="s">
        <v>1533</v>
      </c>
      <c r="H990" s="153" t="s">
        <v>3421</v>
      </c>
      <c r="I990" s="158" t="s">
        <v>282</v>
      </c>
      <c r="J990" s="213" t="str">
        <f>INDEX(数据元说明!A:F,MATCH(I990,数据元说明!C:C,0),2)</f>
        <v>001001</v>
      </c>
      <c r="K990" s="158" t="str">
        <f>INDEX(数据元说明!A:F,MATCH(I990,数据元说明!C:C,0),5)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90" s="213" t="str">
        <f>INDEX(数据元说明!A:F,MATCH(I990,数据元说明!C:C,0),6)</f>
        <v>C..400</v>
      </c>
      <c r="M990" s="138" t="s">
        <v>3422</v>
      </c>
      <c r="N990" s="143" t="s">
        <v>57</v>
      </c>
      <c r="O990" s="44"/>
      <c r="P990" s="99"/>
    </row>
    <row r="991" s="81" customFormat="1" ht="30" customHeight="1" outlineLevel="1" spans="1:16">
      <c r="A991" s="167"/>
      <c r="B991" s="168"/>
      <c r="C991" s="156"/>
      <c r="D991" s="156"/>
      <c r="E991" s="155"/>
      <c r="F991" s="157" t="s">
        <v>2895</v>
      </c>
      <c r="G991" s="43" t="s">
        <v>2896</v>
      </c>
      <c r="H991" s="153" t="s">
        <v>3423</v>
      </c>
      <c r="I991" s="157" t="s">
        <v>681</v>
      </c>
      <c r="J991" s="43" t="str">
        <f>INDEX(数据元说明!A:F,MATCH(I991,数据元说明!C:C,0),2)</f>
        <v>003028</v>
      </c>
      <c r="K991" s="158" t="str">
        <f>INDEX(数据元说明!A:F,MATCH(I991,数据元说明!C:C,0),5)</f>
        <v>合同号。</v>
      </c>
      <c r="L991" s="43" t="str">
        <f>INDEX(数据元说明!A:F,MATCH(I991,数据元说明!C:C,0),6)</f>
        <v>C..100</v>
      </c>
      <c r="M991" s="158" t="s">
        <v>3424</v>
      </c>
      <c r="N991" s="143" t="s">
        <v>57</v>
      </c>
      <c r="O991" s="140"/>
      <c r="P991" s="139" t="s">
        <v>1588</v>
      </c>
    </row>
    <row r="992" s="81" customFormat="1" ht="30" customHeight="1" outlineLevel="1" spans="1:16">
      <c r="A992" s="141"/>
      <c r="B992" s="142"/>
      <c r="C992" s="39"/>
      <c r="D992" s="39"/>
      <c r="E992" s="47"/>
      <c r="F992" s="135" t="s">
        <v>2752</v>
      </c>
      <c r="G992" s="136" t="s">
        <v>2753</v>
      </c>
      <c r="H992" s="153" t="s">
        <v>3425</v>
      </c>
      <c r="I992" s="135" t="s">
        <v>677</v>
      </c>
      <c r="J992" s="136" t="str">
        <f>INDEX(数据元说明!A:F,MATCH(I992,数据元说明!C:C,0),2)</f>
        <v>003027</v>
      </c>
      <c r="K992" s="138" t="str">
        <f>INDEX(数据元说明!A:F,MATCH(I992,数据元说明!C:C,0),5)</f>
        <v>借据统一编号。</v>
      </c>
      <c r="L992" s="136" t="str">
        <f>INDEX(数据元说明!A:F,MATCH(I992,数据元说明!C:C,0),6)</f>
        <v>C..100</v>
      </c>
      <c r="M992" s="138" t="s">
        <v>3426</v>
      </c>
      <c r="N992" s="143" t="s">
        <v>57</v>
      </c>
      <c r="O992" s="140"/>
      <c r="P992" s="139"/>
    </row>
    <row r="993" s="35" customFormat="1" ht="30" customHeight="1" outlineLevel="1" spans="1:16">
      <c r="A993" s="93"/>
      <c r="B993" s="94"/>
      <c r="C993" s="95"/>
      <c r="D993" s="95"/>
      <c r="E993" s="94"/>
      <c r="F993" s="158" t="s">
        <v>795</v>
      </c>
      <c r="G993" s="43" t="s">
        <v>3357</v>
      </c>
      <c r="H993" s="153" t="s">
        <v>3427</v>
      </c>
      <c r="I993" s="158" t="s">
        <v>795</v>
      </c>
      <c r="J993" s="410" t="str">
        <f>INDEX(数据元说明!A:F,MATCH(I993,数据元说明!C:C,0),2)</f>
        <v>005015</v>
      </c>
      <c r="K993" s="158" t="str">
        <f>INDEX(数据元说明!A:F,MATCH(I993,数据元说明!C:C,0),5)</f>
        <v>票据号码。</v>
      </c>
      <c r="L993" s="213" t="str">
        <f>INDEX(数据元说明!A:F,MATCH(I993,数据元说明!C:C,0),6)</f>
        <v>C..60</v>
      </c>
      <c r="M993" s="138" t="s">
        <v>1587</v>
      </c>
      <c r="N993" s="143" t="s">
        <v>57</v>
      </c>
      <c r="O993" s="44"/>
      <c r="P993" s="99"/>
    </row>
    <row r="994" s="35" customFormat="1" ht="30" customHeight="1" outlineLevel="1" spans="1:16">
      <c r="A994" s="93"/>
      <c r="B994" s="94"/>
      <c r="C994" s="95"/>
      <c r="D994" s="95"/>
      <c r="E994" s="94"/>
      <c r="F994" s="158" t="s">
        <v>803</v>
      </c>
      <c r="G994" s="43" t="s">
        <v>3359</v>
      </c>
      <c r="H994" s="153" t="s">
        <v>3428</v>
      </c>
      <c r="I994" s="158" t="s">
        <v>803</v>
      </c>
      <c r="J994" s="410" t="str">
        <f>INDEX(数据元说明!A:F,MATCH(I994,数据元说明!C:C,0),2)</f>
        <v>005017</v>
      </c>
      <c r="K994" s="158" t="str">
        <f>INDEX(数据元说明!A:F,MATCH(I994,数据元说明!C:C,0),5)</f>
        <v>银行承兑汇票，商业承兑汇票。</v>
      </c>
      <c r="L994" s="213" t="str">
        <f>INDEX(数据元说明!A:F,MATCH(I994,数据元说明!C:C,0),6)</f>
        <v>C..30</v>
      </c>
      <c r="M994" s="138"/>
      <c r="N994" s="143" t="s">
        <v>57</v>
      </c>
      <c r="O994" s="44"/>
      <c r="P994" s="99"/>
    </row>
    <row r="995" s="35" customFormat="1" ht="30" customHeight="1" outlineLevel="1" spans="1:16">
      <c r="A995" s="93"/>
      <c r="B995" s="94"/>
      <c r="C995" s="95"/>
      <c r="D995" s="95"/>
      <c r="E995" s="94"/>
      <c r="F995" s="158" t="s">
        <v>624</v>
      </c>
      <c r="G995" s="43" t="s">
        <v>1989</v>
      </c>
      <c r="H995" s="153" t="s">
        <v>3429</v>
      </c>
      <c r="I995" s="158" t="s">
        <v>624</v>
      </c>
      <c r="J995" s="213" t="str">
        <f>INDEX(数据元说明!A:F,MATCH(I995,数据元说明!C:C,0),2)</f>
        <v>003014</v>
      </c>
      <c r="K995" s="158" t="str">
        <f>INDEX(数据元说明!A:F,MATCH(I995,数据元说明!C:C,0),5)</f>
        <v>遵循《GB/T 12406 表示货币和资金的代码》的字母代码，如CNY。上述文件所列币种无法涵盖的，允许银行自定义填报。多个币种合计折算为人民币（本外币合计）的，填报为BWB。</v>
      </c>
      <c r="L995" s="213" t="str">
        <f>INDEX(数据元说明!A:F,MATCH(I995,数据元说明!C:C,0),6)</f>
        <v>C3</v>
      </c>
      <c r="M995" s="138"/>
      <c r="N995" s="143" t="s">
        <v>57</v>
      </c>
      <c r="O995" s="44"/>
      <c r="P995" s="99"/>
    </row>
    <row r="996" s="35" customFormat="1" ht="30" customHeight="1" outlineLevel="1" spans="1:16">
      <c r="A996" s="93"/>
      <c r="B996" s="94"/>
      <c r="C996" s="95"/>
      <c r="D996" s="95"/>
      <c r="E996" s="94"/>
      <c r="F996" s="158" t="s">
        <v>3362</v>
      </c>
      <c r="G996" s="43" t="s">
        <v>3363</v>
      </c>
      <c r="H996" s="153" t="s">
        <v>3430</v>
      </c>
      <c r="I996" s="158" t="s">
        <v>609</v>
      </c>
      <c r="J996" s="213" t="str">
        <f>INDEX(数据元说明!A:F,MATCH(I996,数据元说明!C:C,0),2)</f>
        <v>003010</v>
      </c>
      <c r="K996" s="158" t="str">
        <f>INDEX(数据元说明!A:F,MATCH(I996,数据元说明!C:C,0),5)</f>
        <v>与币种相对应金额。</v>
      </c>
      <c r="L996" s="213" t="str">
        <f>INDEX(数据元说明!A:F,MATCH(I996,数据元说明!C:C,0),6)</f>
        <v>D20.2</v>
      </c>
      <c r="M996" s="138"/>
      <c r="N996" s="143" t="s">
        <v>57</v>
      </c>
      <c r="O996" s="44"/>
      <c r="P996" s="99"/>
    </row>
    <row r="997" s="35" customFormat="1" ht="30" customHeight="1" outlineLevel="1" spans="1:16">
      <c r="A997" s="93"/>
      <c r="B997" s="94"/>
      <c r="C997" s="95"/>
      <c r="D997" s="95"/>
      <c r="E997" s="94"/>
      <c r="F997" s="158" t="s">
        <v>3365</v>
      </c>
      <c r="G997" s="43" t="s">
        <v>3366</v>
      </c>
      <c r="H997" s="153" t="s">
        <v>3431</v>
      </c>
      <c r="I997" s="158" t="s">
        <v>302</v>
      </c>
      <c r="J997" s="213" t="str">
        <f>INDEX(数据元说明!A:F,MATCH(I997,数据元说明!C:C,0),2)</f>
        <v>001005</v>
      </c>
      <c r="K997" s="158" t="str">
        <f>INDEX(数据元说明!A:F,MATCH(I997,数据元说明!C:C,0),5)</f>
        <v>YYYYMMDD，默认值99991231。</v>
      </c>
      <c r="L997" s="213" t="str">
        <f>INDEX(数据元说明!A:F,MATCH(I997,数据元说明!C:C,0),6)</f>
        <v>C8</v>
      </c>
      <c r="M997" s="138"/>
      <c r="N997" s="143" t="s">
        <v>57</v>
      </c>
      <c r="O997" s="44"/>
      <c r="P997" s="99"/>
    </row>
    <row r="998" s="35" customFormat="1" ht="30" customHeight="1" outlineLevel="1" spans="1:16">
      <c r="A998" s="93"/>
      <c r="B998" s="94"/>
      <c r="C998" s="95"/>
      <c r="D998" s="95"/>
      <c r="E998" s="94"/>
      <c r="F998" s="158" t="s">
        <v>3368</v>
      </c>
      <c r="G998" s="43" t="s">
        <v>3369</v>
      </c>
      <c r="H998" s="153" t="s">
        <v>3432</v>
      </c>
      <c r="I998" s="158" t="s">
        <v>302</v>
      </c>
      <c r="J998" s="213" t="str">
        <f>INDEX(数据元说明!A:F,MATCH(I998,数据元说明!C:C,0),2)</f>
        <v>001005</v>
      </c>
      <c r="K998" s="158" t="str">
        <f>INDEX(数据元说明!A:F,MATCH(I998,数据元说明!C:C,0),5)</f>
        <v>YYYYMMDD，默认值99991231。</v>
      </c>
      <c r="L998" s="213" t="str">
        <f>INDEX(数据元说明!A:F,MATCH(I998,数据元说明!C:C,0),6)</f>
        <v>C8</v>
      </c>
      <c r="M998" s="138"/>
      <c r="N998" s="143" t="s">
        <v>57</v>
      </c>
      <c r="O998" s="44"/>
      <c r="P998" s="99"/>
    </row>
    <row r="999" s="35" customFormat="1" ht="30" customHeight="1" outlineLevel="1" spans="1:16">
      <c r="A999" s="93"/>
      <c r="B999" s="94"/>
      <c r="C999" s="95"/>
      <c r="D999" s="95"/>
      <c r="E999" s="94"/>
      <c r="F999" s="158" t="s">
        <v>3371</v>
      </c>
      <c r="G999" s="43" t="s">
        <v>3372</v>
      </c>
      <c r="H999" s="153" t="s">
        <v>3433</v>
      </c>
      <c r="I999" s="158" t="s">
        <v>282</v>
      </c>
      <c r="J999" s="213" t="str">
        <f>INDEX(数据元说明!A:F,MATCH(I999,数据元说明!C:C,0),2)</f>
        <v>001001</v>
      </c>
      <c r="K999" s="158" t="str">
        <f>INDEX(数据元说明!A:F,MATCH(I999,数据元说明!C:C,0),5)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999" s="213" t="str">
        <f>INDEX(数据元说明!A:F,MATCH(I999,数据元说明!C:C,0),6)</f>
        <v>C..400</v>
      </c>
      <c r="M999" s="138"/>
      <c r="N999" s="143" t="s">
        <v>57</v>
      </c>
      <c r="O999" s="44"/>
      <c r="P999" s="99"/>
    </row>
    <row r="1000" s="35" customFormat="1" ht="30" customHeight="1" outlineLevel="1" spans="1:16">
      <c r="A1000" s="93"/>
      <c r="B1000" s="94"/>
      <c r="C1000" s="95"/>
      <c r="D1000" s="95"/>
      <c r="E1000" s="94"/>
      <c r="F1000" s="158" t="s">
        <v>3375</v>
      </c>
      <c r="G1000" s="43" t="s">
        <v>3376</v>
      </c>
      <c r="H1000" s="153" t="s">
        <v>3434</v>
      </c>
      <c r="I1000" s="158" t="s">
        <v>282</v>
      </c>
      <c r="J1000" s="213" t="str">
        <f>INDEX(数据元说明!A:F,MATCH(I1000,数据元说明!C:C,0),2)</f>
        <v>001001</v>
      </c>
      <c r="K1000" s="158" t="str">
        <f>INDEX(数据元说明!A:F,MATCH(I1000,数据元说明!C:C,0),5)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00" s="213" t="str">
        <f>INDEX(数据元说明!A:F,MATCH(I1000,数据元说明!C:C,0),6)</f>
        <v>C..400</v>
      </c>
      <c r="M1000" s="138"/>
      <c r="N1000" s="143" t="s">
        <v>57</v>
      </c>
      <c r="O1000" s="44"/>
      <c r="P1000" s="99"/>
    </row>
    <row r="1001" s="35" customFormat="1" ht="30" customHeight="1" outlineLevel="1" spans="1:16">
      <c r="A1001" s="93"/>
      <c r="B1001" s="94"/>
      <c r="C1001" s="95"/>
      <c r="D1001" s="95"/>
      <c r="E1001" s="94"/>
      <c r="F1001" s="158" t="s">
        <v>3379</v>
      </c>
      <c r="G1001" s="43" t="s">
        <v>3380</v>
      </c>
      <c r="H1001" s="153" t="s">
        <v>3435</v>
      </c>
      <c r="I1001" s="158" t="s">
        <v>282</v>
      </c>
      <c r="J1001" s="213" t="str">
        <f>INDEX(数据元说明!A:F,MATCH(I1001,数据元说明!C:C,0),2)</f>
        <v>001001</v>
      </c>
      <c r="K1001" s="158" t="str">
        <f>INDEX(数据元说明!A:F,MATCH(I1001,数据元说明!C:C,0),5)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01" s="213" t="str">
        <f>INDEX(数据元说明!A:F,MATCH(I1001,数据元说明!C:C,0),6)</f>
        <v>C..400</v>
      </c>
      <c r="M1001" s="138"/>
      <c r="N1001" s="143" t="s">
        <v>57</v>
      </c>
      <c r="O1001" s="44"/>
      <c r="P1001" s="99"/>
    </row>
    <row r="1002" s="35" customFormat="1" ht="30" customHeight="1" outlineLevel="1" spans="1:16">
      <c r="A1002" s="93"/>
      <c r="B1002" s="94"/>
      <c r="C1002" s="95"/>
      <c r="D1002" s="95"/>
      <c r="E1002" s="94"/>
      <c r="F1002" s="158" t="s">
        <v>3398</v>
      </c>
      <c r="G1002" s="43" t="s">
        <v>3399</v>
      </c>
      <c r="H1002" s="153" t="s">
        <v>3436</v>
      </c>
      <c r="I1002" s="158" t="s">
        <v>302</v>
      </c>
      <c r="J1002" s="213" t="str">
        <f>INDEX(数据元说明!A:F,MATCH(I1002,数据元说明!C:C,0),2)</f>
        <v>001005</v>
      </c>
      <c r="K1002" s="158" t="str">
        <f>INDEX(数据元说明!A:F,MATCH(I1002,数据元说明!C:C,0),5)</f>
        <v>YYYYMMDD，默认值99991231。</v>
      </c>
      <c r="L1002" s="213" t="str">
        <f>INDEX(数据元说明!A:F,MATCH(I1002,数据元说明!C:C,0),6)</f>
        <v>C8</v>
      </c>
      <c r="M1002" s="138"/>
      <c r="N1002" s="143" t="s">
        <v>57</v>
      </c>
      <c r="O1002" s="44"/>
      <c r="P1002" s="99"/>
    </row>
    <row r="1003" s="35" customFormat="1" ht="30" customHeight="1" outlineLevel="1" spans="1:16">
      <c r="A1003" s="93"/>
      <c r="B1003" s="94"/>
      <c r="C1003" s="95"/>
      <c r="D1003" s="95"/>
      <c r="E1003" s="94"/>
      <c r="F1003" s="158" t="s">
        <v>3437</v>
      </c>
      <c r="G1003" s="43" t="s">
        <v>3438</v>
      </c>
      <c r="H1003" s="153" t="s">
        <v>3439</v>
      </c>
      <c r="I1003" s="158" t="s">
        <v>1129</v>
      </c>
      <c r="J1003" s="410" t="str">
        <f>INDEX(数据元说明!A:F,MATCH(I1003,数据元说明!C:C,0),2)</f>
        <v>010009</v>
      </c>
      <c r="K1003" s="158" t="str">
        <f>INDEX(数据元说明!A:F,MATCH(I1003,数据元说明!C:C,0),5)</f>
        <v>买入，卖出。</v>
      </c>
      <c r="L1003" s="213" t="str">
        <f>INDEX(数据元说明!A:F,MATCH(I1003,数据元说明!C:C,0),6)</f>
        <v>C6</v>
      </c>
      <c r="M1003" s="138"/>
      <c r="N1003" s="143" t="s">
        <v>57</v>
      </c>
      <c r="O1003" s="44"/>
      <c r="P1003" s="99"/>
    </row>
    <row r="1004" s="35" customFormat="1" ht="30" customHeight="1" outlineLevel="1" spans="1:16">
      <c r="A1004" s="93"/>
      <c r="B1004" s="94"/>
      <c r="C1004" s="95"/>
      <c r="D1004" s="95"/>
      <c r="E1004" s="94"/>
      <c r="F1004" s="158" t="s">
        <v>922</v>
      </c>
      <c r="G1004" s="43" t="s">
        <v>3440</v>
      </c>
      <c r="H1004" s="153" t="s">
        <v>3441</v>
      </c>
      <c r="I1004" s="158" t="s">
        <v>922</v>
      </c>
      <c r="J1004" s="410" t="str">
        <f>INDEX(数据元说明!A:F,MATCH(I1004,数据元说明!C:C,0),2)</f>
        <v>005047</v>
      </c>
      <c r="K1004" s="158" t="str">
        <f>INDEX(数据元说明!A:F,MATCH(I1004,数据元说明!C:C,0),5)</f>
        <v>转贴现买断，转贴现卖断，质押式回购正回购，质押式回购逆回购，买断式回购正回购，买断式回购逆回购，再贴现。</v>
      </c>
      <c r="L1004" s="213" t="str">
        <f>INDEX(数据元说明!A:F,MATCH(I1004,数据元说明!C:C,0),6)</f>
        <v>C..60</v>
      </c>
      <c r="M1004" s="138"/>
      <c r="N1004" s="143" t="s">
        <v>57</v>
      </c>
      <c r="O1004" s="44"/>
      <c r="P1004" s="99"/>
    </row>
    <row r="1005" s="35" customFormat="1" ht="30" customHeight="1" outlineLevel="1" spans="1:16">
      <c r="A1005" s="93"/>
      <c r="B1005" s="94"/>
      <c r="C1005" s="95"/>
      <c r="D1005" s="95"/>
      <c r="E1005" s="94"/>
      <c r="F1005" s="158" t="s">
        <v>3442</v>
      </c>
      <c r="G1005" s="43" t="s">
        <v>3443</v>
      </c>
      <c r="H1005" s="153" t="s">
        <v>3444</v>
      </c>
      <c r="I1005" s="158" t="s">
        <v>302</v>
      </c>
      <c r="J1005" s="213" t="str">
        <f>INDEX(数据元说明!A:F,MATCH(I1005,数据元说明!C:C,0),2)</f>
        <v>001005</v>
      </c>
      <c r="K1005" s="158" t="str">
        <f>INDEX(数据元说明!A:F,MATCH(I1005,数据元说明!C:C,0),5)</f>
        <v>YYYYMMDD，默认值99991231。</v>
      </c>
      <c r="L1005" s="213" t="str">
        <f>INDEX(数据元说明!A:F,MATCH(I1005,数据元说明!C:C,0),6)</f>
        <v>C8</v>
      </c>
      <c r="M1005" s="138"/>
      <c r="N1005" s="143" t="s">
        <v>57</v>
      </c>
      <c r="O1005" s="44"/>
      <c r="P1005" s="99"/>
    </row>
    <row r="1006" s="35" customFormat="1" ht="30" customHeight="1" outlineLevel="1" spans="1:16">
      <c r="A1006" s="93"/>
      <c r="B1006" s="94"/>
      <c r="C1006" s="95"/>
      <c r="D1006" s="95"/>
      <c r="E1006" s="94"/>
      <c r="F1006" s="158" t="s">
        <v>3445</v>
      </c>
      <c r="G1006" s="43" t="s">
        <v>3446</v>
      </c>
      <c r="H1006" s="153" t="s">
        <v>3447</v>
      </c>
      <c r="I1006" s="158" t="s">
        <v>609</v>
      </c>
      <c r="J1006" s="213" t="str">
        <f>INDEX(数据元说明!A:F,MATCH(I1006,数据元说明!C:C,0),2)</f>
        <v>003010</v>
      </c>
      <c r="K1006" s="158" t="str">
        <f>INDEX(数据元说明!A:F,MATCH(I1006,数据元说明!C:C,0),5)</f>
        <v>与币种相对应金额。</v>
      </c>
      <c r="L1006" s="213" t="str">
        <f>INDEX(数据元说明!A:F,MATCH(I1006,数据元说明!C:C,0),6)</f>
        <v>D20.2</v>
      </c>
      <c r="M1006" s="138" t="s">
        <v>3448</v>
      </c>
      <c r="N1006" s="143" t="s">
        <v>57</v>
      </c>
      <c r="O1006" s="44"/>
      <c r="P1006" s="99"/>
    </row>
    <row r="1007" s="35" customFormat="1" ht="30" customHeight="1" outlineLevel="1" spans="1:16">
      <c r="A1007" s="93"/>
      <c r="B1007" s="94"/>
      <c r="C1007" s="95"/>
      <c r="D1007" s="95"/>
      <c r="E1007" s="94"/>
      <c r="F1007" s="158" t="s">
        <v>3449</v>
      </c>
      <c r="G1007" s="43" t="s">
        <v>3450</v>
      </c>
      <c r="H1007" s="153" t="s">
        <v>3451</v>
      </c>
      <c r="I1007" s="158" t="s">
        <v>1253</v>
      </c>
      <c r="J1007" s="410" t="str">
        <f>INDEX(数据元说明!A:F,MATCH(I1007,数据元说明!C:C,0),2)</f>
        <v>010040</v>
      </c>
      <c r="K1007" s="158" t="str">
        <f>INDEX(数据元说明!A:F,MATCH(I1007,数据元说明!C:C,0),5)</f>
        <v>以天为单位计的时间长度。</v>
      </c>
      <c r="L1007" s="213" t="str">
        <f>INDEX(数据元说明!A:F,MATCH(I1007,数据元说明!C:C,0),6)</f>
        <v>I..8</v>
      </c>
      <c r="M1007" s="138" t="s">
        <v>3452</v>
      </c>
      <c r="N1007" s="143" t="s">
        <v>57</v>
      </c>
      <c r="O1007" s="44"/>
      <c r="P1007" s="99"/>
    </row>
    <row r="1008" s="35" customFormat="1" ht="30" customHeight="1" outlineLevel="1" spans="1:16">
      <c r="A1008" s="93"/>
      <c r="B1008" s="94"/>
      <c r="C1008" s="95"/>
      <c r="D1008" s="95"/>
      <c r="E1008" s="94"/>
      <c r="F1008" s="158" t="s">
        <v>3453</v>
      </c>
      <c r="G1008" s="43" t="s">
        <v>3454</v>
      </c>
      <c r="H1008" s="153" t="s">
        <v>3455</v>
      </c>
      <c r="I1008" s="158" t="s">
        <v>660</v>
      </c>
      <c r="J1008" s="213" t="str">
        <f>INDEX(数据元说明!A:F,MATCH(I1008,数据元说明!C:C,0),2)</f>
        <v>003023</v>
      </c>
      <c r="K1008" s="158" t="str">
        <f>INDEX(数据元说明!A:F,MATCH(I1008,数据元说明!C:C,0),5)</f>
        <v>百分比为单位，即%，如4.5%填报为4.5。</v>
      </c>
      <c r="L1008" s="213" t="str">
        <f>INDEX(数据元说明!A:F,MATCH(I1008,数据元说明!C:C,0),6)</f>
        <v>D10.4</v>
      </c>
      <c r="M1008" s="138"/>
      <c r="N1008" s="143" t="s">
        <v>57</v>
      </c>
      <c r="O1008" s="44"/>
      <c r="P1008" s="99"/>
    </row>
    <row r="1009" s="35" customFormat="1" ht="30" customHeight="1" outlineLevel="1" spans="1:16">
      <c r="A1009" s="93"/>
      <c r="B1009" s="94"/>
      <c r="C1009" s="95"/>
      <c r="D1009" s="95"/>
      <c r="E1009" s="94"/>
      <c r="F1009" s="158" t="s">
        <v>3456</v>
      </c>
      <c r="G1009" s="43" t="s">
        <v>3457</v>
      </c>
      <c r="H1009" s="153" t="s">
        <v>3458</v>
      </c>
      <c r="I1009" s="158" t="s">
        <v>656</v>
      </c>
      <c r="J1009" s="213" t="str">
        <f>INDEX(数据元说明!A:F,MATCH(I1009,数据元说明!C:C,0),2)</f>
        <v>003022</v>
      </c>
      <c r="K1009" s="158" t="str">
        <f>INDEX(数据元说明!A:F,MATCH(I1009,数据元说明!C:C,0),5)</f>
        <v>元。</v>
      </c>
      <c r="L1009" s="213" t="str">
        <f>INDEX(数据元说明!A:F,MATCH(I1009,数据元说明!C:C,0),6)</f>
        <v>D20.2</v>
      </c>
      <c r="M1009" s="138"/>
      <c r="N1009" s="143" t="s">
        <v>57</v>
      </c>
      <c r="O1009" s="44"/>
      <c r="P1009" s="99"/>
    </row>
    <row r="1010" s="35" customFormat="1" ht="30" customHeight="1" outlineLevel="1" spans="1:16">
      <c r="A1010" s="93"/>
      <c r="B1010" s="94"/>
      <c r="C1010" s="95"/>
      <c r="D1010" s="95"/>
      <c r="E1010" s="94"/>
      <c r="F1010" s="158" t="s">
        <v>3459</v>
      </c>
      <c r="G1010" s="43" t="s">
        <v>3460</v>
      </c>
      <c r="H1010" s="153" t="s">
        <v>3461</v>
      </c>
      <c r="I1010" s="158" t="s">
        <v>302</v>
      </c>
      <c r="J1010" s="213" t="str">
        <f>INDEX(数据元说明!A:F,MATCH(I1010,数据元说明!C:C,0),2)</f>
        <v>001005</v>
      </c>
      <c r="K1010" s="158" t="str">
        <f>INDEX(数据元说明!A:F,MATCH(I1010,数据元说明!C:C,0),5)</f>
        <v>YYYYMMDD，默认值99991231。</v>
      </c>
      <c r="L1010" s="213" t="str">
        <f>INDEX(数据元说明!A:F,MATCH(I1010,数据元说明!C:C,0),6)</f>
        <v>C8</v>
      </c>
      <c r="M1010" s="138" t="s">
        <v>3462</v>
      </c>
      <c r="N1010" s="143" t="s">
        <v>57</v>
      </c>
      <c r="O1010" s="44"/>
      <c r="P1010" s="99"/>
    </row>
    <row r="1011" s="35" customFormat="1" ht="30" customHeight="1" outlineLevel="1" spans="1:16">
      <c r="A1011" s="93"/>
      <c r="B1011" s="94"/>
      <c r="C1011" s="95"/>
      <c r="D1011" s="95"/>
      <c r="E1011" s="94"/>
      <c r="F1011" s="158" t="s">
        <v>3463</v>
      </c>
      <c r="G1011" s="43" t="s">
        <v>3464</v>
      </c>
      <c r="H1011" s="153" t="s">
        <v>3465</v>
      </c>
      <c r="I1011" s="158" t="s">
        <v>609</v>
      </c>
      <c r="J1011" s="213" t="str">
        <f>INDEX(数据元说明!A:F,MATCH(I1011,数据元说明!C:C,0),2)</f>
        <v>003010</v>
      </c>
      <c r="K1011" s="158" t="str">
        <f>INDEX(数据元说明!A:F,MATCH(I1011,数据元说明!C:C,0),5)</f>
        <v>与币种相对应金额。</v>
      </c>
      <c r="L1011" s="213" t="str">
        <f>INDEX(数据元说明!A:F,MATCH(I1011,数据元说明!C:C,0),6)</f>
        <v>D20.2</v>
      </c>
      <c r="M1011" s="138" t="s">
        <v>3466</v>
      </c>
      <c r="N1011" s="143" t="s">
        <v>57</v>
      </c>
      <c r="O1011" s="44"/>
      <c r="P1011" s="99"/>
    </row>
    <row r="1012" s="35" customFormat="1" ht="30" customHeight="1" outlineLevel="1" spans="1:16">
      <c r="A1012" s="93"/>
      <c r="B1012" s="94"/>
      <c r="C1012" s="95"/>
      <c r="D1012" s="95"/>
      <c r="E1012" s="94"/>
      <c r="F1012" s="158" t="s">
        <v>3467</v>
      </c>
      <c r="G1012" s="43" t="s">
        <v>3468</v>
      </c>
      <c r="H1012" s="153" t="s">
        <v>3469</v>
      </c>
      <c r="I1012" s="158" t="s">
        <v>660</v>
      </c>
      <c r="J1012" s="213" t="str">
        <f>INDEX(数据元说明!A:F,MATCH(I1012,数据元说明!C:C,0),2)</f>
        <v>003023</v>
      </c>
      <c r="K1012" s="158" t="str">
        <f>INDEX(数据元说明!A:F,MATCH(I1012,数据元说明!C:C,0),5)</f>
        <v>百分比为单位，即%，如4.5%填报为4.5。</v>
      </c>
      <c r="L1012" s="213" t="str">
        <f>INDEX(数据元说明!A:F,MATCH(I1012,数据元说明!C:C,0),6)</f>
        <v>D10.4</v>
      </c>
      <c r="M1012" s="138" t="s">
        <v>3470</v>
      </c>
      <c r="N1012" s="143" t="s">
        <v>57</v>
      </c>
      <c r="O1012" s="44"/>
      <c r="P1012" s="99"/>
    </row>
    <row r="1013" s="35" customFormat="1" ht="30" customHeight="1" outlineLevel="1" spans="1:16">
      <c r="A1013" s="93"/>
      <c r="B1013" s="94"/>
      <c r="C1013" s="95"/>
      <c r="D1013" s="95"/>
      <c r="E1013" s="94"/>
      <c r="F1013" s="158" t="s">
        <v>3471</v>
      </c>
      <c r="G1013" s="43" t="s">
        <v>3472</v>
      </c>
      <c r="H1013" s="153" t="s">
        <v>3473</v>
      </c>
      <c r="I1013" s="158" t="s">
        <v>656</v>
      </c>
      <c r="J1013" s="213" t="str">
        <f>INDEX(数据元说明!A:F,MATCH(I1013,数据元说明!C:C,0),2)</f>
        <v>003022</v>
      </c>
      <c r="K1013" s="158" t="str">
        <f>INDEX(数据元说明!A:F,MATCH(I1013,数据元说明!C:C,0),5)</f>
        <v>元。</v>
      </c>
      <c r="L1013" s="213" t="str">
        <f>INDEX(数据元说明!A:F,MATCH(I1013,数据元说明!C:C,0),6)</f>
        <v>D20.2</v>
      </c>
      <c r="M1013" s="138" t="s">
        <v>3470</v>
      </c>
      <c r="N1013" s="143" t="s">
        <v>57</v>
      </c>
      <c r="O1013" s="44"/>
      <c r="P1013" s="99"/>
    </row>
    <row r="1014" s="35" customFormat="1" ht="30" customHeight="1" outlineLevel="1" spans="1:16">
      <c r="A1014" s="93"/>
      <c r="B1014" s="94"/>
      <c r="C1014" s="95"/>
      <c r="D1014" s="95"/>
      <c r="E1014" s="94"/>
      <c r="F1014" s="158" t="s">
        <v>3474</v>
      </c>
      <c r="G1014" s="43" t="s">
        <v>3475</v>
      </c>
      <c r="H1014" s="153" t="s">
        <v>3476</v>
      </c>
      <c r="I1014" s="158" t="s">
        <v>282</v>
      </c>
      <c r="J1014" s="213" t="str">
        <f>INDEX(数据元说明!A:F,MATCH(I1014,数据元说明!C:C,0),2)</f>
        <v>001001</v>
      </c>
      <c r="K1014" s="158" t="str">
        <f>INDEX(数据元说明!A:F,MATCH(I1014,数据元说明!C:C,0),5)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14" s="213" t="str">
        <f>INDEX(数据元说明!A:F,MATCH(I1014,数据元说明!C:C,0),6)</f>
        <v>C..400</v>
      </c>
      <c r="M1014" s="138" t="s">
        <v>3477</v>
      </c>
      <c r="N1014" s="143" t="s">
        <v>57</v>
      </c>
      <c r="O1014" s="44"/>
      <c r="P1014" s="99"/>
    </row>
    <row r="1015" s="35" customFormat="1" ht="30" customHeight="1" outlineLevel="1" spans="1:16">
      <c r="A1015" s="93"/>
      <c r="B1015" s="94"/>
      <c r="C1015" s="95"/>
      <c r="D1015" s="95"/>
      <c r="E1015" s="94"/>
      <c r="F1015" s="158" t="s">
        <v>3478</v>
      </c>
      <c r="G1015" s="43" t="s">
        <v>3479</v>
      </c>
      <c r="H1015" s="153" t="s">
        <v>3480</v>
      </c>
      <c r="I1015" s="158" t="s">
        <v>325</v>
      </c>
      <c r="J1015" s="213" t="str">
        <f>INDEX(数据元说明!A:F,MATCH(I1015,数据元说明!C:C,0),2)</f>
        <v>001010</v>
      </c>
      <c r="K1015" s="158" t="str">
        <f>INDEX(数据元说明!A:F,MATCH(I1015,数据元说明!C:C,0),5)</f>
        <v>12位人行支付行号或SWIFT行号。</v>
      </c>
      <c r="L1015" s="213" t="str">
        <f>INDEX(数据元说明!A:F,MATCH(I1015,数据元说明!C:C,0),6)</f>
        <v>C..30</v>
      </c>
      <c r="M1015" s="138" t="s">
        <v>3481</v>
      </c>
      <c r="N1015" s="143" t="s">
        <v>57</v>
      </c>
      <c r="O1015" s="44"/>
      <c r="P1015" s="99"/>
    </row>
    <row r="1016" s="35" customFormat="1" ht="30" customHeight="1" outlineLevel="1" spans="1:16">
      <c r="A1016" s="93"/>
      <c r="B1016" s="94"/>
      <c r="C1016" s="95"/>
      <c r="D1016" s="95"/>
      <c r="E1016" s="94"/>
      <c r="F1016" s="158" t="s">
        <v>918</v>
      </c>
      <c r="G1016" s="43" t="s">
        <v>3410</v>
      </c>
      <c r="H1016" s="153" t="s">
        <v>3482</v>
      </c>
      <c r="I1016" s="158" t="s">
        <v>918</v>
      </c>
      <c r="J1016" s="410" t="str">
        <f>INDEX(数据元说明!A:F,MATCH(I1016,数据元说明!C:C,0),2)</f>
        <v>005046</v>
      </c>
      <c r="K1016" s="158" t="str">
        <f>INDEX(数据元说明!A:F,MATCH(I1016,数据元说明!C:C,0),5)</f>
        <v>正常，卖断，解付，垫款，核销，其他-银行自定义。无法以枚举类型填报的，以“其他-XX”填报，其中“XX”为银行自定义状态。</v>
      </c>
      <c r="L1016" s="213" t="str">
        <f>INDEX(数据元说明!A:F,MATCH(I1016,数据元说明!C:C,0),6)</f>
        <v>C..20</v>
      </c>
      <c r="M1016" s="135" t="s">
        <v>3412</v>
      </c>
      <c r="N1016" s="143" t="s">
        <v>57</v>
      </c>
      <c r="O1016" s="44"/>
      <c r="P1016" s="99"/>
    </row>
    <row r="1017" s="81" customFormat="1" ht="30" customHeight="1" outlineLevel="1" spans="1:16">
      <c r="A1017" s="134"/>
      <c r="B1017" s="47"/>
      <c r="C1017" s="39"/>
      <c r="D1017" s="39"/>
      <c r="E1017" s="47"/>
      <c r="F1017" s="169" t="s">
        <v>449</v>
      </c>
      <c r="G1017" s="148" t="s">
        <v>1571</v>
      </c>
      <c r="H1017" s="148" t="s">
        <v>3483</v>
      </c>
      <c r="I1017" s="169" t="s">
        <v>449</v>
      </c>
      <c r="J1017" s="170" t="str">
        <f>INDEX(数据元说明!A:F,MATCH(I1017,数据元说明!C:C,0),2)</f>
        <v>001040</v>
      </c>
      <c r="K1017" s="171" t="str">
        <f>INDEX(数据元说明!A:F,MATCH(I1017,数据元说明!C:C,0),5)</f>
        <v>银行自定义。</v>
      </c>
      <c r="L1017" s="170" t="str">
        <f>INDEX(数据元说明!A:F,MATCH(I1017,数据元说明!C:C,0),6)</f>
        <v>C..600</v>
      </c>
      <c r="M1017" s="149" t="s">
        <v>1573</v>
      </c>
      <c r="N1017" s="143" t="s">
        <v>57</v>
      </c>
      <c r="O1017" s="173"/>
      <c r="P1017" s="173"/>
    </row>
    <row r="1018" s="35" customFormat="1" ht="30" customHeight="1" outlineLevel="1" spans="1:16">
      <c r="A1018" s="93"/>
      <c r="B1018" s="94"/>
      <c r="C1018" s="95"/>
      <c r="D1018" s="95"/>
      <c r="E1018" s="94"/>
      <c r="F1018" s="158" t="s">
        <v>1574</v>
      </c>
      <c r="G1018" s="43" t="s">
        <v>1575</v>
      </c>
      <c r="H1018" s="153" t="s">
        <v>3484</v>
      </c>
      <c r="I1018" s="158" t="s">
        <v>302</v>
      </c>
      <c r="J1018" s="213" t="str">
        <f>INDEX(数据元说明!A:F,MATCH(I1018,数据元说明!C:C,0),2)</f>
        <v>001005</v>
      </c>
      <c r="K1018" s="158" t="str">
        <f>INDEX(数据元说明!A:F,MATCH(I1018,数据元说明!C:C,0),5)</f>
        <v>YYYYMMDD，默认值99991231。</v>
      </c>
      <c r="L1018" s="213" t="str">
        <f>INDEX(数据元说明!A:F,MATCH(I1018,数据元说明!C:C,0),6)</f>
        <v>C8</v>
      </c>
      <c r="M1018" s="138" t="s">
        <v>1577</v>
      </c>
      <c r="N1018" s="143" t="s">
        <v>57</v>
      </c>
      <c r="O1018" s="99"/>
      <c r="P1018" s="99"/>
    </row>
    <row r="1019" s="81" customFormat="1" ht="71.25" customHeight="1" spans="1:16">
      <c r="A1019" s="179"/>
      <c r="B1019" s="180"/>
      <c r="C1019" s="37" t="s">
        <v>153</v>
      </c>
      <c r="D1019" s="38" t="s">
        <v>154</v>
      </c>
      <c r="E1019" s="181" t="s">
        <v>3485</v>
      </c>
      <c r="F1019" s="182"/>
      <c r="G1019" s="183"/>
      <c r="H1019" s="181"/>
      <c r="I1019" s="182"/>
      <c r="J1019" s="183"/>
      <c r="K1019" s="128"/>
      <c r="L1019" s="183"/>
      <c r="M1019" s="128" t="str">
        <f>INDEX(表结构总览!E:H,MATCH(D1019,表结构总览!E:E,0),4)</f>
        <v>填报机构提供的各类与国际、国内贸易结算工具相关的融资或信用便利业务。报送范围：1104报表G01_Ⅲ中[1.4贸易融资]包含的业务明细。本行开出的保函及信用证在保函及信用证表中报送，不在本表中填报。贷款状态为结清、核销、转让的，于次月不再报送。</v>
      </c>
      <c r="N1019" s="129" t="s">
        <v>25</v>
      </c>
      <c r="O1019" s="129" t="s">
        <v>449</v>
      </c>
      <c r="P1019" s="139"/>
    </row>
    <row r="1020" ht="30" customHeight="1" outlineLevel="1" spans="1:16">
      <c r="A1020" s="159"/>
      <c r="B1020" s="160"/>
      <c r="C1020" s="44"/>
      <c r="D1020" s="44"/>
      <c r="E1020" s="94"/>
      <c r="F1020" s="97" t="s">
        <v>325</v>
      </c>
      <c r="G1020" s="29" t="s">
        <v>1520</v>
      </c>
      <c r="H1020" s="96" t="s">
        <v>3486</v>
      </c>
      <c r="I1020" s="97" t="s">
        <v>325</v>
      </c>
      <c r="J1020" s="29" t="str">
        <f>INDEX(数据元说明!A:F,MATCH(I1020,数据元说明!C:C,0),2)</f>
        <v>001010</v>
      </c>
      <c r="K1020" s="98" t="str">
        <f>INDEX(数据元说明!A:F,MATCH(I1020,数据元说明!C:C,0),5)</f>
        <v>12位人行支付行号或SWIFT行号。</v>
      </c>
      <c r="L1020" s="29" t="str">
        <f>INDEX(数据元说明!A:F,MATCH(I1020,数据元说明!C:C,0),6)</f>
        <v>C..30</v>
      </c>
      <c r="M1020" s="98" t="s">
        <v>2785</v>
      </c>
      <c r="P1020" s="99"/>
    </row>
    <row r="1021" s="61" customFormat="1" ht="30" customHeight="1" outlineLevel="1" spans="1:16">
      <c r="A1021" s="130"/>
      <c r="B1021" s="36"/>
      <c r="C1021" s="25"/>
      <c r="D1021" s="25"/>
      <c r="E1021" s="36"/>
      <c r="F1021" s="131" t="s">
        <v>329</v>
      </c>
      <c r="G1021" s="31" t="s">
        <v>1526</v>
      </c>
      <c r="H1021" s="96" t="s">
        <v>3487</v>
      </c>
      <c r="I1021" s="131" t="s">
        <v>329</v>
      </c>
      <c r="J1021" s="31" t="str">
        <f>INDEX(数据元说明!A:F,MATCH(I1021,数据元说明!C:C,0),2)</f>
        <v>001011</v>
      </c>
      <c r="K1021" s="133" t="str">
        <f>INDEX(数据元说明!A:F,MATCH(I1021,数据元说明!C:C,0),5)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21" s="31" t="str">
        <f>INDEX(数据元说明!A:F,MATCH(I1021,数据元说明!C:C,0),6)</f>
        <v>C..30</v>
      </c>
      <c r="M1021" s="133" t="s">
        <v>3488</v>
      </c>
      <c r="N1021" s="99"/>
      <c r="O1021" s="99"/>
      <c r="P1021" s="99"/>
    </row>
    <row r="1022" ht="30" customHeight="1" outlineLevel="1" spans="1:16">
      <c r="A1022" s="159"/>
      <c r="B1022" s="160"/>
      <c r="C1022" s="44"/>
      <c r="D1022" s="44"/>
      <c r="E1022" s="94"/>
      <c r="F1022" s="97" t="s">
        <v>333</v>
      </c>
      <c r="G1022" s="29" t="s">
        <v>1523</v>
      </c>
      <c r="H1022" s="96" t="s">
        <v>3489</v>
      </c>
      <c r="I1022" s="97" t="s">
        <v>333</v>
      </c>
      <c r="J1022" s="29" t="str">
        <f>INDEX(数据元说明!A:F,MATCH(I1022,数据元说明!C:C,0),2)</f>
        <v>001012</v>
      </c>
      <c r="K1022" s="98" t="str">
        <f>INDEX(数据元说明!A:F,MATCH(I1022,数据元说明!C:C,0),5)</f>
        <v>银行内部机构号。应具有标识机构的唯一性。</v>
      </c>
      <c r="L1022" s="29" t="str">
        <f>INDEX(数据元说明!A:F,MATCH(I1022,数据元说明!C:C,0),6)</f>
        <v>C..30</v>
      </c>
      <c r="M1022" s="98" t="s">
        <v>2789</v>
      </c>
      <c r="P1022" s="99"/>
    </row>
    <row r="1023" s="89" customFormat="1" ht="30" customHeight="1" outlineLevel="1" spans="1:16">
      <c r="A1023" s="154"/>
      <c r="B1023" s="155"/>
      <c r="C1023" s="156"/>
      <c r="D1023" s="156"/>
      <c r="E1023" s="155"/>
      <c r="F1023" s="158" t="s">
        <v>1532</v>
      </c>
      <c r="G1023" s="213" t="s">
        <v>1533</v>
      </c>
      <c r="H1023" s="153" t="s">
        <v>3490</v>
      </c>
      <c r="I1023" s="158" t="s">
        <v>282</v>
      </c>
      <c r="J1023" s="213" t="str">
        <f>INDEX(数据元说明!A:F,MATCH(I1023,数据元说明!C:C,0),2)</f>
        <v>001001</v>
      </c>
      <c r="K1023" s="158" t="str">
        <f>INDEX(数据元说明!A:F,MATCH(I1023,数据元说明!C:C,0),5)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23" s="213" t="str">
        <f>INDEX(数据元说明!A:F,MATCH(I1023,数据元说明!C:C,0),6)</f>
        <v>C..400</v>
      </c>
      <c r="M1023" s="138" t="s">
        <v>2792</v>
      </c>
      <c r="N1023" s="143" t="s">
        <v>57</v>
      </c>
      <c r="O1023" s="140"/>
      <c r="P1023" s="140"/>
    </row>
    <row r="1024" s="81" customFormat="1" ht="30" customHeight="1" outlineLevel="1" spans="1:16">
      <c r="A1024" s="167"/>
      <c r="B1024" s="168"/>
      <c r="C1024" s="156"/>
      <c r="D1024" s="156"/>
      <c r="E1024" s="155"/>
      <c r="F1024" s="157" t="s">
        <v>2895</v>
      </c>
      <c r="G1024" s="43" t="s">
        <v>2896</v>
      </c>
      <c r="H1024" s="153" t="s">
        <v>3491</v>
      </c>
      <c r="I1024" s="157" t="s">
        <v>681</v>
      </c>
      <c r="J1024" s="43" t="str">
        <f>INDEX(数据元说明!A:F,MATCH(I1024,数据元说明!C:C,0),2)</f>
        <v>003028</v>
      </c>
      <c r="K1024" s="158" t="str">
        <f>INDEX(数据元说明!A:F,MATCH(I1024,数据元说明!C:C,0),5)</f>
        <v>合同号。</v>
      </c>
      <c r="L1024" s="43" t="str">
        <f>INDEX(数据元说明!A:F,MATCH(I1024,数据元说明!C:C,0),6)</f>
        <v>C..100</v>
      </c>
      <c r="M1024" s="158" t="s">
        <v>3208</v>
      </c>
      <c r="N1024" s="187" t="s">
        <v>25</v>
      </c>
      <c r="O1024" s="139" t="s">
        <v>1514</v>
      </c>
      <c r="P1024" s="139" t="s">
        <v>1588</v>
      </c>
    </row>
    <row r="1025" s="81" customFormat="1" ht="30" customHeight="1" outlineLevel="1" spans="1:16">
      <c r="A1025" s="141"/>
      <c r="B1025" s="142"/>
      <c r="C1025" s="39"/>
      <c r="D1025" s="39"/>
      <c r="E1025" s="47"/>
      <c r="F1025" s="135" t="s">
        <v>2752</v>
      </c>
      <c r="G1025" s="136" t="s">
        <v>2753</v>
      </c>
      <c r="H1025" s="153" t="s">
        <v>3492</v>
      </c>
      <c r="I1025" s="135" t="s">
        <v>677</v>
      </c>
      <c r="J1025" s="136" t="str">
        <f>INDEX(数据元说明!A:F,MATCH(I1025,数据元说明!C:C,0),2)</f>
        <v>003027</v>
      </c>
      <c r="K1025" s="138" t="str">
        <f>INDEX(数据元说明!A:F,MATCH(I1025,数据元说明!C:C,0),5)</f>
        <v>借据统一编号。</v>
      </c>
      <c r="L1025" s="136" t="str">
        <f>INDEX(数据元说明!A:F,MATCH(I1025,数据元说明!C:C,0),6)</f>
        <v>C..100</v>
      </c>
      <c r="M1025" s="138" t="s">
        <v>3210</v>
      </c>
      <c r="N1025" s="187" t="s">
        <v>25</v>
      </c>
      <c r="O1025" s="139" t="s">
        <v>1514</v>
      </c>
      <c r="P1025" s="139" t="s">
        <v>1588</v>
      </c>
    </row>
    <row r="1026" s="81" customFormat="1" ht="92" customHeight="1" outlineLevel="1" spans="1:16">
      <c r="A1026" s="167"/>
      <c r="B1026" s="168"/>
      <c r="C1026" s="44"/>
      <c r="D1026" s="44"/>
      <c r="E1026" s="168"/>
      <c r="F1026" s="157" t="s">
        <v>807</v>
      </c>
      <c r="G1026" s="43" t="s">
        <v>3493</v>
      </c>
      <c r="H1026" s="153" t="s">
        <v>3494</v>
      </c>
      <c r="I1026" s="157" t="s">
        <v>807</v>
      </c>
      <c r="J1026" s="407" t="str">
        <f>INDEX(数据元说明!A:F,MATCH(I1026,数据元说明!C:C,0),2)</f>
        <v>005018</v>
      </c>
      <c r="K1026" s="158" t="str">
        <f>INDEX(数据元说明!A:F,MATCH(I1026,数据元说明!C:C,0),5)</f>
        <v>买方押汇、卖方押汇、议付、打包贷款、进口信用证押汇、出口信用证押汇、进口托收押汇、出口托收押汇、进口代付、出口代付、国内自营福费廷（不含二级市场福费廷）、国际自营福费廷（不含二级市场福费廷）、二级市场福费廷、商业发票融资、货到付款押汇、先款后货、国内保理、国际保理、订单融资、保兑仓、其他-银行自定义。以枚举类型填报，如无法以枚举类型填报，则以“其他-XX”填报，其中“XX”为银行自定义种类。</v>
      </c>
      <c r="L1026" s="43" t="str">
        <f>INDEX(数据元说明!A:F,MATCH(I1026,数据元说明!C:C,0),6)</f>
        <v>C..60 </v>
      </c>
      <c r="M1026" s="158" t="s">
        <v>3495</v>
      </c>
      <c r="N1026" s="139" t="s">
        <v>25</v>
      </c>
      <c r="O1026" s="139" t="s">
        <v>1539</v>
      </c>
      <c r="P1026" s="140"/>
    </row>
    <row r="1027" s="90" customFormat="1" ht="30" customHeight="1" outlineLevel="1" spans="1:16">
      <c r="A1027" s="130"/>
      <c r="B1027" s="36"/>
      <c r="C1027" s="25"/>
      <c r="D1027" s="25"/>
      <c r="E1027" s="36"/>
      <c r="F1027" s="138" t="s">
        <v>624</v>
      </c>
      <c r="G1027" s="136" t="s">
        <v>1989</v>
      </c>
      <c r="H1027" s="153" t="s">
        <v>3496</v>
      </c>
      <c r="I1027" s="138" t="s">
        <v>624</v>
      </c>
      <c r="J1027" s="140" t="str">
        <f>INDEX(数据元说明!A:F,MATCH(I1027,数据元说明!C:C,0),2)</f>
        <v>003014</v>
      </c>
      <c r="K1027" s="138" t="str">
        <f>INDEX(数据元说明!A:F,MATCH(I1027,数据元说明!C:C,0),5)</f>
        <v>遵循《GB/T 12406 表示货币和资金的代码》的字母代码，如CNY。上述文件所列币种无法涵盖的，允许银行自定义填报。多个币种合计折算为人民币（本外币合计）的，填报为BWB。</v>
      </c>
      <c r="L1027" s="140" t="str">
        <f>INDEX(数据元说明!A:F,MATCH(I1027,数据元说明!C:C,0),6)</f>
        <v>C3</v>
      </c>
      <c r="M1027" s="138" t="s">
        <v>3497</v>
      </c>
      <c r="N1027" s="164" t="s">
        <v>57</v>
      </c>
      <c r="O1027" s="139"/>
      <c r="P1027" s="99"/>
    </row>
    <row r="1028" s="90" customFormat="1" ht="30" customHeight="1" outlineLevel="1" spans="1:16">
      <c r="A1028" s="130"/>
      <c r="B1028" s="36"/>
      <c r="C1028" s="25"/>
      <c r="D1028" s="25"/>
      <c r="E1028" s="36"/>
      <c r="F1028" s="138" t="s">
        <v>3498</v>
      </c>
      <c r="G1028" s="136" t="s">
        <v>3499</v>
      </c>
      <c r="H1028" s="153" t="s">
        <v>3500</v>
      </c>
      <c r="I1028" s="138" t="s">
        <v>609</v>
      </c>
      <c r="J1028" s="140" t="str">
        <f>INDEX(数据元说明!A:F,MATCH(I1028,数据元说明!C:C,0),2)</f>
        <v>003010</v>
      </c>
      <c r="K1028" s="138" t="str">
        <f>INDEX(数据元说明!A:F,MATCH(I1028,数据元说明!C:C,0),5)</f>
        <v>与币种相对应金额。</v>
      </c>
      <c r="L1028" s="140" t="str">
        <f>INDEX(数据元说明!A:F,MATCH(I1028,数据元说明!C:C,0),6)</f>
        <v>D20.2</v>
      </c>
      <c r="M1028" s="138" t="s">
        <v>3501</v>
      </c>
      <c r="N1028" s="164" t="s">
        <v>57</v>
      </c>
      <c r="O1028" s="139"/>
      <c r="P1028" s="99"/>
    </row>
    <row r="1029" s="35" customFormat="1" ht="30" customHeight="1" outlineLevel="1" spans="1:16">
      <c r="A1029" s="93"/>
      <c r="B1029" s="94"/>
      <c r="C1029" s="95"/>
      <c r="D1029" s="95"/>
      <c r="E1029" s="94"/>
      <c r="F1029" s="158" t="s">
        <v>3502</v>
      </c>
      <c r="G1029" s="43" t="s">
        <v>3503</v>
      </c>
      <c r="H1029" s="153" t="s">
        <v>3504</v>
      </c>
      <c r="I1029" s="158" t="s">
        <v>302</v>
      </c>
      <c r="J1029" s="213" t="str">
        <f>INDEX(数据元说明!A:F,MATCH(I1029,数据元说明!C:C,0),2)</f>
        <v>001005</v>
      </c>
      <c r="K1029" s="158" t="str">
        <f>INDEX(数据元说明!A:F,MATCH(I1029,数据元说明!C:C,0),5)</f>
        <v>YYYYMMDD，默认值99991231。</v>
      </c>
      <c r="L1029" s="213" t="str">
        <f>INDEX(数据元说明!A:F,MATCH(I1029,数据元说明!C:C,0),6)</f>
        <v>C8</v>
      </c>
      <c r="M1029" s="138" t="s">
        <v>3505</v>
      </c>
      <c r="N1029" s="164" t="s">
        <v>57</v>
      </c>
      <c r="O1029" s="44"/>
      <c r="P1029" s="99"/>
    </row>
    <row r="1030" s="35" customFormat="1" ht="30" customHeight="1" outlineLevel="1" spans="1:16">
      <c r="A1030" s="93"/>
      <c r="B1030" s="94"/>
      <c r="C1030" s="95"/>
      <c r="D1030" s="95"/>
      <c r="E1030" s="94"/>
      <c r="F1030" s="158" t="s">
        <v>3506</v>
      </c>
      <c r="G1030" s="43" t="s">
        <v>3507</v>
      </c>
      <c r="H1030" s="153" t="s">
        <v>3508</v>
      </c>
      <c r="I1030" s="158" t="s">
        <v>302</v>
      </c>
      <c r="J1030" s="213" t="str">
        <f>INDEX(数据元说明!A:F,MATCH(I1030,数据元说明!C:C,0),2)</f>
        <v>001005</v>
      </c>
      <c r="K1030" s="158" t="str">
        <f>INDEX(数据元说明!A:F,MATCH(I1030,数据元说明!C:C,0),5)</f>
        <v>YYYYMMDD，默认值99991231。</v>
      </c>
      <c r="L1030" s="213" t="str">
        <f>INDEX(数据元说明!A:F,MATCH(I1030,数据元说明!C:C,0),6)</f>
        <v>C8</v>
      </c>
      <c r="M1030" s="138" t="s">
        <v>3509</v>
      </c>
      <c r="N1030" s="164" t="s">
        <v>57</v>
      </c>
      <c r="O1030" s="44"/>
      <c r="P1030" s="99"/>
    </row>
    <row r="1031" s="35" customFormat="1" ht="30" customHeight="1" outlineLevel="1" spans="1:16">
      <c r="A1031" s="93"/>
      <c r="B1031" s="94"/>
      <c r="C1031" s="95"/>
      <c r="D1031" s="95"/>
      <c r="E1031" s="94"/>
      <c r="F1031" s="158" t="s">
        <v>3510</v>
      </c>
      <c r="G1031" s="43" t="s">
        <v>3511</v>
      </c>
      <c r="H1031" s="153" t="s">
        <v>3512</v>
      </c>
      <c r="I1031" s="158" t="s">
        <v>282</v>
      </c>
      <c r="J1031" s="213" t="str">
        <f>INDEX(数据元说明!A:F,MATCH(I1031,数据元说明!C:C,0),2)</f>
        <v>001001</v>
      </c>
      <c r="K1031" s="158" t="str">
        <f>INDEX(数据元说明!A:F,MATCH(I1031,数据元说明!C:C,0),5)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31" s="213" t="str">
        <f>INDEX(数据元说明!A:F,MATCH(I1031,数据元说明!C:C,0),6)</f>
        <v>C..400</v>
      </c>
      <c r="M1031" s="138" t="s">
        <v>3513</v>
      </c>
      <c r="N1031" s="164" t="s">
        <v>57</v>
      </c>
      <c r="O1031" s="44"/>
      <c r="P1031" s="99"/>
    </row>
    <row r="1032" s="35" customFormat="1" ht="30" customHeight="1" outlineLevel="1" spans="1:16">
      <c r="A1032" s="93"/>
      <c r="B1032" s="94"/>
      <c r="C1032" s="95"/>
      <c r="D1032" s="95"/>
      <c r="E1032" s="94"/>
      <c r="F1032" s="158" t="s">
        <v>3514</v>
      </c>
      <c r="G1032" s="43" t="s">
        <v>3515</v>
      </c>
      <c r="H1032" s="153" t="s">
        <v>3516</v>
      </c>
      <c r="I1032" s="158" t="s">
        <v>282</v>
      </c>
      <c r="J1032" s="213" t="str">
        <f>INDEX(数据元说明!A:F,MATCH(I1032,数据元说明!C:C,0),2)</f>
        <v>001001</v>
      </c>
      <c r="K1032" s="158" t="str">
        <f>INDEX(数据元说明!A:F,MATCH(I1032,数据元说明!C:C,0),5)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32" s="213" t="str">
        <f>INDEX(数据元说明!A:F,MATCH(I1032,数据元说明!C:C,0),6)</f>
        <v>C..400</v>
      </c>
      <c r="M1032" s="138" t="s">
        <v>3517</v>
      </c>
      <c r="N1032" s="164" t="s">
        <v>57</v>
      </c>
      <c r="O1032" s="44"/>
      <c r="P1032" s="99"/>
    </row>
    <row r="1033" s="35" customFormat="1" ht="30" customHeight="1" outlineLevel="1" spans="1:16">
      <c r="A1033" s="93"/>
      <c r="B1033" s="94"/>
      <c r="C1033" s="95"/>
      <c r="D1033" s="95"/>
      <c r="E1033" s="94"/>
      <c r="F1033" s="158" t="s">
        <v>3518</v>
      </c>
      <c r="G1033" s="43" t="s">
        <v>3519</v>
      </c>
      <c r="H1033" s="153" t="s">
        <v>3520</v>
      </c>
      <c r="I1033" s="158" t="s">
        <v>282</v>
      </c>
      <c r="J1033" s="213" t="str">
        <f>INDEX(数据元说明!A:F,MATCH(I1033,数据元说明!C:C,0),2)</f>
        <v>001001</v>
      </c>
      <c r="K1033" s="158" t="str">
        <f>INDEX(数据元说明!A:F,MATCH(I1033,数据元说明!C:C,0),5)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33" s="213" t="str">
        <f>INDEX(数据元说明!A:F,MATCH(I1033,数据元说明!C:C,0),6)</f>
        <v>C..400</v>
      </c>
      <c r="M1033" s="138" t="s">
        <v>3521</v>
      </c>
      <c r="N1033" s="164" t="s">
        <v>57</v>
      </c>
      <c r="O1033" s="44"/>
      <c r="P1033" s="99"/>
    </row>
    <row r="1034" s="35" customFormat="1" ht="30" customHeight="1" outlineLevel="1" spans="1:16">
      <c r="A1034" s="93"/>
      <c r="B1034" s="94"/>
      <c r="C1034" s="95"/>
      <c r="D1034" s="95"/>
      <c r="E1034" s="94"/>
      <c r="F1034" s="158" t="s">
        <v>3522</v>
      </c>
      <c r="G1034" s="43" t="s">
        <v>3523</v>
      </c>
      <c r="H1034" s="153" t="s">
        <v>3524</v>
      </c>
      <c r="I1034" s="158" t="s">
        <v>943</v>
      </c>
      <c r="J1034" s="410" t="str">
        <f>INDEX(数据元说明!A:F,MATCH(I1034,数据元说明!C:C,0),2)</f>
        <v>005052</v>
      </c>
      <c r="K1034" s="158" t="str">
        <f>INDEX(数据元说明!A:F,MATCH(I1034,数据元说明!C:C,0),5)</f>
        <v>贸易交易内容、货品或服务的简述信息，银行自定义。</v>
      </c>
      <c r="L1034" s="213" t="str">
        <f>INDEX(数据元说明!A:F,MATCH(I1034,数据元说明!C:C,0),6)</f>
        <v>C..600</v>
      </c>
      <c r="M1034" s="138" t="s">
        <v>3525</v>
      </c>
      <c r="N1034" s="164" t="s">
        <v>57</v>
      </c>
      <c r="O1034" s="44"/>
      <c r="P1034" s="99"/>
    </row>
    <row r="1035" s="35" customFormat="1" ht="30" customHeight="1" outlineLevel="1" spans="1:16">
      <c r="A1035" s="93"/>
      <c r="B1035" s="94"/>
      <c r="C1035" s="95"/>
      <c r="D1035" s="95"/>
      <c r="E1035" s="94"/>
      <c r="F1035" s="158" t="s">
        <v>3526</v>
      </c>
      <c r="G1035" s="43" t="s">
        <v>3527</v>
      </c>
      <c r="H1035" s="153" t="s">
        <v>3528</v>
      </c>
      <c r="I1035" s="158" t="s">
        <v>282</v>
      </c>
      <c r="J1035" s="213" t="str">
        <f>INDEX(数据元说明!A:F,MATCH(I1035,数据元说明!C:C,0),2)</f>
        <v>001001</v>
      </c>
      <c r="K1035" s="158" t="str">
        <f>INDEX(数据元说明!A:F,MATCH(I1035,数据元说明!C:C,0),5)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35" s="213" t="str">
        <f>INDEX(数据元说明!A:F,MATCH(I1035,数据元说明!C:C,0),6)</f>
        <v>C..400</v>
      </c>
      <c r="M1035" s="138" t="s">
        <v>3529</v>
      </c>
      <c r="N1035" s="164" t="s">
        <v>57</v>
      </c>
      <c r="O1035" s="44"/>
      <c r="P1035" s="99"/>
    </row>
    <row r="1036" s="35" customFormat="1" ht="30" customHeight="1" outlineLevel="1" spans="1:16">
      <c r="A1036" s="93"/>
      <c r="B1036" s="94"/>
      <c r="C1036" s="95"/>
      <c r="D1036" s="95"/>
      <c r="E1036" s="94"/>
      <c r="F1036" s="158" t="s">
        <v>3530</v>
      </c>
      <c r="G1036" s="43" t="s">
        <v>3531</v>
      </c>
      <c r="H1036" s="153" t="s">
        <v>3532</v>
      </c>
      <c r="I1036" s="158" t="s">
        <v>282</v>
      </c>
      <c r="J1036" s="213" t="str">
        <f>INDEX(数据元说明!A:F,MATCH(I1036,数据元说明!C:C,0),2)</f>
        <v>001001</v>
      </c>
      <c r="K1036" s="158" t="str">
        <f>INDEX(数据元说明!A:F,MATCH(I1036,数据元说明!C:C,0),5)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36" s="213" t="str">
        <f>INDEX(数据元说明!A:F,MATCH(I1036,数据元说明!C:C,0),6)</f>
        <v>C..400</v>
      </c>
      <c r="M1036" s="138" t="s">
        <v>3533</v>
      </c>
      <c r="N1036" s="164" t="s">
        <v>57</v>
      </c>
      <c r="O1036" s="44"/>
      <c r="P1036" s="99"/>
    </row>
    <row r="1037" s="35" customFormat="1" ht="30" customHeight="1" outlineLevel="1" spans="1:16">
      <c r="A1037" s="93"/>
      <c r="B1037" s="94"/>
      <c r="C1037" s="95"/>
      <c r="D1037" s="95"/>
      <c r="E1037" s="94"/>
      <c r="F1037" s="158" t="s">
        <v>3534</v>
      </c>
      <c r="G1037" s="43" t="s">
        <v>3535</v>
      </c>
      <c r="H1037" s="153" t="s">
        <v>3536</v>
      </c>
      <c r="I1037" s="158" t="s">
        <v>624</v>
      </c>
      <c r="J1037" s="213" t="str">
        <f>INDEX(数据元说明!A:F,MATCH(I1037,数据元说明!C:C,0),2)</f>
        <v>003014</v>
      </c>
      <c r="K1037" s="158" t="str">
        <f>INDEX(数据元说明!A:F,MATCH(I1037,数据元说明!C:C,0),5)</f>
        <v>遵循《GB/T 12406 表示货币和资金的代码》的字母代码，如CNY。上述文件所列币种无法涵盖的，允许银行自定义填报。多个币种合计折算为人民币（本外币合计）的，填报为BWB。</v>
      </c>
      <c r="L1037" s="213" t="str">
        <f>INDEX(数据元说明!A:F,MATCH(I1037,数据元说明!C:C,0),6)</f>
        <v>C3</v>
      </c>
      <c r="M1037" s="138" t="s">
        <v>3537</v>
      </c>
      <c r="N1037" s="164"/>
      <c r="O1037" s="44"/>
      <c r="P1037" s="99"/>
    </row>
    <row r="1038" s="35" customFormat="1" ht="30" customHeight="1" outlineLevel="1" spans="1:16">
      <c r="A1038" s="93"/>
      <c r="B1038" s="94"/>
      <c r="C1038" s="95"/>
      <c r="D1038" s="95"/>
      <c r="E1038" s="94"/>
      <c r="F1038" s="157" t="s">
        <v>3538</v>
      </c>
      <c r="G1038" s="43" t="s">
        <v>3539</v>
      </c>
      <c r="H1038" s="153" t="s">
        <v>3540</v>
      </c>
      <c r="I1038" s="157" t="s">
        <v>609</v>
      </c>
      <c r="J1038" s="213" t="str">
        <f>INDEX(数据元说明!A:F,MATCH(I1038,数据元说明!C:C,0),2)</f>
        <v>003010</v>
      </c>
      <c r="K1038" s="158" t="str">
        <f>INDEX(数据元说明!A:F,MATCH(I1038,数据元说明!C:C,0),5)</f>
        <v>与币种相对应金额。</v>
      </c>
      <c r="L1038" s="213" t="str">
        <f>INDEX(数据元说明!A:F,MATCH(I1038,数据元说明!C:C,0),6)</f>
        <v>D20.2</v>
      </c>
      <c r="M1038" s="138" t="s">
        <v>3541</v>
      </c>
      <c r="N1038" s="164" t="s">
        <v>57</v>
      </c>
      <c r="O1038" s="44"/>
      <c r="P1038" s="99"/>
    </row>
    <row r="1039" s="35" customFormat="1" ht="30" customHeight="1" outlineLevel="1" spans="1:16">
      <c r="A1039" s="93"/>
      <c r="B1039" s="94"/>
      <c r="C1039" s="95"/>
      <c r="D1039" s="95"/>
      <c r="E1039" s="94"/>
      <c r="F1039" s="157" t="s">
        <v>3542</v>
      </c>
      <c r="G1039" s="43" t="s">
        <v>3543</v>
      </c>
      <c r="H1039" s="153" t="s">
        <v>3544</v>
      </c>
      <c r="I1039" s="157" t="s">
        <v>292</v>
      </c>
      <c r="J1039" s="213" t="str">
        <f>INDEX(数据元说明!A:F,MATCH(I1039,数据元说明!C:C,0),2)</f>
        <v>001003</v>
      </c>
      <c r="K1039" s="158" t="str">
        <f>INDEX(数据元说明!A:F,MATCH(I1039,数据元说明!C:C,0),5)</f>
        <v>百分比为单位，即1/100，保留两位小数。如4.5%则填报为4.50。</v>
      </c>
      <c r="L1039" s="213" t="str">
        <f>INDEX(数据元说明!A:F,MATCH(I1039,数据元说明!C:C,0),6)</f>
        <v>D20.2</v>
      </c>
      <c r="M1039" s="224" t="s">
        <v>3545</v>
      </c>
      <c r="N1039" s="164" t="s">
        <v>57</v>
      </c>
      <c r="O1039" s="99"/>
      <c r="P1039" s="99"/>
    </row>
    <row r="1040" s="35" customFormat="1" ht="30" customHeight="1" outlineLevel="1" spans="1:16">
      <c r="A1040" s="93"/>
      <c r="B1040" s="94"/>
      <c r="C1040" s="95"/>
      <c r="D1040" s="95"/>
      <c r="E1040" s="94"/>
      <c r="F1040" s="135" t="s">
        <v>3546</v>
      </c>
      <c r="G1040" s="136" t="s">
        <v>3547</v>
      </c>
      <c r="H1040" s="153" t="s">
        <v>3548</v>
      </c>
      <c r="I1040" s="135" t="s">
        <v>624</v>
      </c>
      <c r="J1040" s="213" t="str">
        <f>INDEX(数据元说明!A:F,MATCH(I1040,数据元说明!C:C,0),2)</f>
        <v>003014</v>
      </c>
      <c r="K1040" s="158" t="str">
        <f>INDEX(数据元说明!A:F,MATCH(I1040,数据元说明!C:C,0),5)</f>
        <v>遵循《GB/T 12406 表示货币和资金的代码》的字母代码，如CNY。上述文件所列币种无法涵盖的，允许银行自定义填报。多个币种合计折算为人民币（本外币合计）的，填报为BWB。</v>
      </c>
      <c r="L1040" s="213" t="str">
        <f>INDEX(数据元说明!A:F,MATCH(I1040,数据元说明!C:C,0),6)</f>
        <v>C3</v>
      </c>
      <c r="M1040" s="138" t="s">
        <v>3549</v>
      </c>
      <c r="N1040" s="164" t="s">
        <v>57</v>
      </c>
      <c r="O1040" s="99"/>
      <c r="P1040" s="99"/>
    </row>
    <row r="1041" s="35" customFormat="1" ht="30" customHeight="1" outlineLevel="1" spans="1:16">
      <c r="A1041" s="93"/>
      <c r="B1041" s="94"/>
      <c r="C1041" s="95"/>
      <c r="D1041" s="95"/>
      <c r="E1041" s="94"/>
      <c r="F1041" s="157" t="s">
        <v>3550</v>
      </c>
      <c r="G1041" s="43" t="s">
        <v>3551</v>
      </c>
      <c r="H1041" s="153" t="s">
        <v>3552</v>
      </c>
      <c r="I1041" s="157" t="s">
        <v>609</v>
      </c>
      <c r="J1041" s="213" t="str">
        <f>INDEX(数据元说明!A:F,MATCH(I1041,数据元说明!C:C,0),2)</f>
        <v>003010</v>
      </c>
      <c r="K1041" s="158" t="str">
        <f>INDEX(数据元说明!A:F,MATCH(I1041,数据元说明!C:C,0),5)</f>
        <v>与币种相对应金额。</v>
      </c>
      <c r="L1041" s="213" t="str">
        <f>INDEX(数据元说明!A:F,MATCH(I1041,数据元说明!C:C,0),6)</f>
        <v>D20.2</v>
      </c>
      <c r="M1041" s="138" t="s">
        <v>3553</v>
      </c>
      <c r="N1041" s="164" t="s">
        <v>57</v>
      </c>
      <c r="O1041" s="99"/>
      <c r="P1041" s="99"/>
    </row>
    <row r="1042" s="81" customFormat="1" ht="45" customHeight="1" outlineLevel="1" spans="1:16">
      <c r="A1042" s="167"/>
      <c r="B1042" s="168"/>
      <c r="C1042" s="156"/>
      <c r="D1042" s="156"/>
      <c r="E1042" s="155"/>
      <c r="F1042" s="157" t="s">
        <v>3554</v>
      </c>
      <c r="G1042" s="43" t="s">
        <v>3555</v>
      </c>
      <c r="H1042" s="153" t="s">
        <v>3556</v>
      </c>
      <c r="I1042" s="157" t="s">
        <v>697</v>
      </c>
      <c r="J1042" s="43" t="str">
        <f>INDEX(数据元说明!A:F,MATCH(I1042,数据元说明!C:C,0),2)</f>
        <v>003032</v>
      </c>
      <c r="K1042" s="158" t="str">
        <f>INDEX(数据元说明!A:F,MATCH(I1042,数据元说明!C:C,0),5)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042" s="43" t="str">
        <f>INDEX(数据元说明!A:F,MATCH(I1042,数据元说明!C:C,0),6)</f>
        <v>C..60</v>
      </c>
      <c r="M1042" s="224" t="s">
        <v>3557</v>
      </c>
      <c r="N1042" s="140" t="s">
        <v>25</v>
      </c>
      <c r="O1042" s="140" t="s">
        <v>449</v>
      </c>
      <c r="P1042" s="140"/>
    </row>
    <row r="1043" s="81" customFormat="1" ht="30" customHeight="1" outlineLevel="1" spans="1:16">
      <c r="A1043" s="154"/>
      <c r="B1043" s="155"/>
      <c r="C1043" s="156"/>
      <c r="D1043" s="156"/>
      <c r="E1043" s="155"/>
      <c r="F1043" s="157" t="s">
        <v>839</v>
      </c>
      <c r="G1043" s="43" t="s">
        <v>2777</v>
      </c>
      <c r="H1043" s="153" t="s">
        <v>3558</v>
      </c>
      <c r="I1043" s="157" t="s">
        <v>839</v>
      </c>
      <c r="J1043" s="407" t="str">
        <f>INDEX(数据元说明!A:F,MATCH(I1043,数据元说明!C:C,0),2)</f>
        <v>005026</v>
      </c>
      <c r="K1043" s="158" t="str">
        <f>INDEX(数据元说明!A:F,MATCH(I1043,数据元说明!C:C,0),5)</f>
        <v>正常、结清、逾期、核销、转让，其他-银行自定义。以枚举类型填报，如无法以枚举类型填报，则以“其他-XX”填报，其中“XX”为银行自定义状态。</v>
      </c>
      <c r="L1043" s="43" t="str">
        <f>INDEX(数据元说明!A:F,MATCH(I1043,数据元说明!C:C,0),6)</f>
        <v>C..30</v>
      </c>
      <c r="M1043" s="158"/>
      <c r="N1043" s="143" t="s">
        <v>57</v>
      </c>
      <c r="O1043" s="139"/>
      <c r="P1043" s="139"/>
    </row>
    <row r="1044" s="81" customFormat="1" ht="30" customHeight="1" outlineLevel="1" spans="1:16">
      <c r="A1044" s="134"/>
      <c r="B1044" s="47"/>
      <c r="C1044" s="39"/>
      <c r="D1044" s="39"/>
      <c r="E1044" s="47"/>
      <c r="F1044" s="169" t="s">
        <v>449</v>
      </c>
      <c r="G1044" s="148" t="s">
        <v>1571</v>
      </c>
      <c r="H1044" s="148" t="s">
        <v>3559</v>
      </c>
      <c r="I1044" s="169" t="s">
        <v>449</v>
      </c>
      <c r="J1044" s="170" t="str">
        <f>INDEX(数据元说明!A:F,MATCH(I1044,数据元说明!C:C,0),2)</f>
        <v>001040</v>
      </c>
      <c r="K1044" s="171" t="str">
        <f>INDEX(数据元说明!A:F,MATCH(I1044,数据元说明!C:C,0),5)</f>
        <v>银行自定义。</v>
      </c>
      <c r="L1044" s="170" t="str">
        <f>INDEX(数据元说明!A:F,MATCH(I1044,数据元说明!C:C,0),6)</f>
        <v>C..600</v>
      </c>
      <c r="M1044" s="149" t="s">
        <v>1573</v>
      </c>
      <c r="N1044" s="143" t="s">
        <v>57</v>
      </c>
      <c r="O1044" s="173"/>
      <c r="P1044" s="173"/>
    </row>
    <row r="1045" s="35" customFormat="1" ht="30" customHeight="1" outlineLevel="1" spans="1:16">
      <c r="A1045" s="93"/>
      <c r="B1045" s="94"/>
      <c r="C1045" s="95"/>
      <c r="D1045" s="95"/>
      <c r="E1045" s="94"/>
      <c r="F1045" s="158" t="s">
        <v>1574</v>
      </c>
      <c r="G1045" s="43" t="s">
        <v>1575</v>
      </c>
      <c r="H1045" s="153" t="s">
        <v>3560</v>
      </c>
      <c r="I1045" s="158" t="s">
        <v>302</v>
      </c>
      <c r="J1045" s="213" t="str">
        <f>INDEX(数据元说明!A:F,MATCH(I1045,数据元说明!C:C,0),2)</f>
        <v>001005</v>
      </c>
      <c r="K1045" s="158" t="str">
        <f>INDEX(数据元说明!A:F,MATCH(I1045,数据元说明!C:C,0),5)</f>
        <v>YYYYMMDD，默认值99991231。</v>
      </c>
      <c r="L1045" s="213" t="str">
        <f>INDEX(数据元说明!A:F,MATCH(I1045,数据元说明!C:C,0),6)</f>
        <v>C8</v>
      </c>
      <c r="M1045" s="133" t="s">
        <v>1577</v>
      </c>
      <c r="N1045" s="99"/>
      <c r="O1045" s="44"/>
      <c r="P1045" s="99"/>
    </row>
    <row r="1046" s="83" customFormat="1" ht="71.25" customHeight="1" spans="1:16">
      <c r="A1046" s="210"/>
      <c r="B1046" s="211"/>
      <c r="C1046" s="190" t="s">
        <v>156</v>
      </c>
      <c r="D1046" s="191" t="s">
        <v>157</v>
      </c>
      <c r="E1046" s="192" t="s">
        <v>3561</v>
      </c>
      <c r="F1046" s="193"/>
      <c r="G1046" s="194"/>
      <c r="H1046" s="192"/>
      <c r="I1046" s="193"/>
      <c r="J1046" s="194"/>
      <c r="K1046" s="195"/>
      <c r="L1046" s="194"/>
      <c r="M1046" s="193" t="str">
        <f>INDEX(表结构总览!E:H,MATCH(D1046,表结构总览!E:E,0),4)</f>
        <v>报送填报机构与租赁公司合作，购买承租人指定租赁物件，与承租人签订租赁合同，待合同期满后租赁物资产所有权转移给承租人的一类业务。报送范围：参照1104报表G01_III[1.5融资租赁]填报口径。贷款状态为结清、核销、转让的，可在报送最终状态的次月不再报送。</v>
      </c>
      <c r="N1046" s="143" t="s">
        <v>57</v>
      </c>
      <c r="O1046" s="164"/>
      <c r="P1046" s="164"/>
    </row>
    <row r="1047" s="89" customFormat="1" ht="30" customHeight="1" outlineLevel="1" spans="1:16">
      <c r="A1047" s="154"/>
      <c r="B1047" s="155"/>
      <c r="C1047" s="156"/>
      <c r="D1047" s="156"/>
      <c r="E1047" s="155"/>
      <c r="F1047" s="158" t="s">
        <v>325</v>
      </c>
      <c r="G1047" s="213" t="s">
        <v>1520</v>
      </c>
      <c r="H1047" s="153" t="s">
        <v>3562</v>
      </c>
      <c r="I1047" s="158" t="s">
        <v>325</v>
      </c>
      <c r="J1047" s="213" t="str">
        <f>INDEX(数据元说明!A:F,MATCH(I1047,数据元说明!C:C,0),2)</f>
        <v>001010</v>
      </c>
      <c r="K1047" s="158" t="str">
        <f>INDEX(数据元说明!A:F,MATCH(I1047,数据元说明!C:C,0),5)</f>
        <v>12位人行支付行号或SWIFT行号。</v>
      </c>
      <c r="L1047" s="213" t="str">
        <f>INDEX(数据元说明!A:F,MATCH(I1047,数据元说明!C:C,0),6)</f>
        <v>C..30</v>
      </c>
      <c r="M1047" s="138" t="s">
        <v>2785</v>
      </c>
      <c r="N1047" s="143" t="s">
        <v>57</v>
      </c>
      <c r="O1047" s="140"/>
      <c r="P1047" s="140"/>
    </row>
    <row r="1048" s="81" customFormat="1" ht="30" customHeight="1" outlineLevel="1" spans="1:16">
      <c r="A1048" s="134"/>
      <c r="B1048" s="47"/>
      <c r="C1048" s="39"/>
      <c r="D1048" s="39"/>
      <c r="E1048" s="47"/>
      <c r="F1048" s="135" t="s">
        <v>329</v>
      </c>
      <c r="G1048" s="136" t="s">
        <v>1526</v>
      </c>
      <c r="H1048" s="153" t="s">
        <v>3563</v>
      </c>
      <c r="I1048" s="135" t="s">
        <v>329</v>
      </c>
      <c r="J1048" s="136" t="str">
        <f>INDEX(数据元说明!A:F,MATCH(I1048,数据元说明!C:C,0),2)</f>
        <v>001011</v>
      </c>
      <c r="K1048" s="138" t="str">
        <f>INDEX(数据元说明!A:F,MATCH(I1048,数据元说明!C:C,0),5)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48" s="136" t="str">
        <f>INDEX(数据元说明!A:F,MATCH(I1048,数据元说明!C:C,0),6)</f>
        <v>C..30</v>
      </c>
      <c r="M1048" s="138" t="s">
        <v>3488</v>
      </c>
      <c r="N1048" s="143" t="s">
        <v>57</v>
      </c>
      <c r="O1048" s="140"/>
      <c r="P1048" s="140"/>
    </row>
    <row r="1049" s="89" customFormat="1" ht="30" customHeight="1" outlineLevel="1" spans="1:16">
      <c r="A1049" s="154"/>
      <c r="B1049" s="155"/>
      <c r="C1049" s="156"/>
      <c r="D1049" s="156"/>
      <c r="E1049" s="155"/>
      <c r="F1049" s="158" t="s">
        <v>333</v>
      </c>
      <c r="G1049" s="213" t="s">
        <v>1523</v>
      </c>
      <c r="H1049" s="153" t="s">
        <v>3564</v>
      </c>
      <c r="I1049" s="158" t="s">
        <v>333</v>
      </c>
      <c r="J1049" s="213" t="str">
        <f>INDEX(数据元说明!A:F,MATCH(I1049,数据元说明!C:C,0),2)</f>
        <v>001012</v>
      </c>
      <c r="K1049" s="158" t="str">
        <f>INDEX(数据元说明!A:F,MATCH(I1049,数据元说明!C:C,0),5)</f>
        <v>银行内部机构号。应具有标识机构的唯一性。</v>
      </c>
      <c r="L1049" s="213" t="str">
        <f>INDEX(数据元说明!A:F,MATCH(I1049,数据元说明!C:C,0),6)</f>
        <v>C..30</v>
      </c>
      <c r="M1049" s="138" t="s">
        <v>2789</v>
      </c>
      <c r="N1049" s="143" t="s">
        <v>57</v>
      </c>
      <c r="O1049" s="140"/>
      <c r="P1049" s="140"/>
    </row>
    <row r="1050" s="89" customFormat="1" ht="30" customHeight="1" outlineLevel="1" spans="1:16">
      <c r="A1050" s="154"/>
      <c r="B1050" s="155"/>
      <c r="C1050" s="156"/>
      <c r="D1050" s="156"/>
      <c r="E1050" s="155"/>
      <c r="F1050" s="158" t="s">
        <v>1532</v>
      </c>
      <c r="G1050" s="213" t="s">
        <v>1533</v>
      </c>
      <c r="H1050" s="153" t="s">
        <v>3565</v>
      </c>
      <c r="I1050" s="158" t="s">
        <v>282</v>
      </c>
      <c r="J1050" s="213" t="str">
        <f>INDEX(数据元说明!A:F,MATCH(I1050,数据元说明!C:C,0),2)</f>
        <v>001001</v>
      </c>
      <c r="K1050" s="158" t="str">
        <f>INDEX(数据元说明!A:F,MATCH(I1050,数据元说明!C:C,0),5)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50" s="213" t="str">
        <f>INDEX(数据元说明!A:F,MATCH(I1050,数据元说明!C:C,0),6)</f>
        <v>C..400</v>
      </c>
      <c r="M1050" s="138" t="s">
        <v>2792</v>
      </c>
      <c r="N1050" s="143" t="s">
        <v>57</v>
      </c>
      <c r="O1050" s="140"/>
      <c r="P1050" s="140"/>
    </row>
    <row r="1051" s="81" customFormat="1" ht="30" customHeight="1" outlineLevel="1" spans="1:16">
      <c r="A1051" s="167"/>
      <c r="B1051" s="168"/>
      <c r="C1051" s="156"/>
      <c r="D1051" s="156"/>
      <c r="E1051" s="155"/>
      <c r="F1051" s="157" t="s">
        <v>2895</v>
      </c>
      <c r="G1051" s="43" t="s">
        <v>2896</v>
      </c>
      <c r="H1051" s="153" t="s">
        <v>3566</v>
      </c>
      <c r="I1051" s="157" t="s">
        <v>681</v>
      </c>
      <c r="J1051" s="43" t="str">
        <f>INDEX(数据元说明!A:F,MATCH(I1051,数据元说明!C:C,0),2)</f>
        <v>003028</v>
      </c>
      <c r="K1051" s="158" t="str">
        <f>INDEX(数据元说明!A:F,MATCH(I1051,数据元说明!C:C,0),5)</f>
        <v>合同号。</v>
      </c>
      <c r="L1051" s="43" t="str">
        <f>INDEX(数据元说明!A:F,MATCH(I1051,数据元说明!C:C,0),6)</f>
        <v>C..100</v>
      </c>
      <c r="M1051" s="138" t="s">
        <v>3208</v>
      </c>
      <c r="N1051" s="143" t="s">
        <v>57</v>
      </c>
      <c r="O1051" s="139"/>
      <c r="P1051" s="139"/>
    </row>
    <row r="1052" s="81" customFormat="1" ht="30" customHeight="1" outlineLevel="1" spans="1:16">
      <c r="A1052" s="141"/>
      <c r="B1052" s="142"/>
      <c r="C1052" s="39"/>
      <c r="D1052" s="39"/>
      <c r="E1052" s="47"/>
      <c r="F1052" s="135" t="s">
        <v>2752</v>
      </c>
      <c r="G1052" s="136" t="s">
        <v>2753</v>
      </c>
      <c r="H1052" s="153" t="s">
        <v>3567</v>
      </c>
      <c r="I1052" s="135" t="s">
        <v>677</v>
      </c>
      <c r="J1052" s="136" t="str">
        <f>INDEX(数据元说明!A:F,MATCH(I1052,数据元说明!C:C,0),2)</f>
        <v>003027</v>
      </c>
      <c r="K1052" s="138" t="str">
        <f>INDEX(数据元说明!A:F,MATCH(I1052,数据元说明!C:C,0),5)</f>
        <v>借据统一编号。</v>
      </c>
      <c r="L1052" s="136" t="str">
        <f>INDEX(数据元说明!A:F,MATCH(I1052,数据元说明!C:C,0),6)</f>
        <v>C..100</v>
      </c>
      <c r="M1052" s="138" t="s">
        <v>3210</v>
      </c>
      <c r="N1052" s="143" t="s">
        <v>57</v>
      </c>
      <c r="O1052" s="139"/>
      <c r="P1052" s="139"/>
    </row>
    <row r="1053" s="89" customFormat="1" ht="30" customHeight="1" outlineLevel="1" spans="1:16">
      <c r="A1053" s="154"/>
      <c r="B1053" s="155"/>
      <c r="C1053" s="156"/>
      <c r="D1053" s="156"/>
      <c r="E1053" s="155"/>
      <c r="F1053" s="158" t="s">
        <v>930</v>
      </c>
      <c r="G1053" s="213" t="s">
        <v>3568</v>
      </c>
      <c r="H1053" s="153" t="s">
        <v>3569</v>
      </c>
      <c r="I1053" s="158" t="s">
        <v>930</v>
      </c>
      <c r="J1053" s="410" t="str">
        <f>INDEX(数据元说明!A:F,MATCH(I1053,数据元说明!C:C,0),2)</f>
        <v>005049</v>
      </c>
      <c r="K1053" s="158" t="str">
        <f>INDEX(数据元说明!A:F,MATCH(I1053,数据元说明!C:C,0),5)</f>
        <v>经营性租赁，融资性租赁。</v>
      </c>
      <c r="L1053" s="213" t="str">
        <f>INDEX(数据元说明!A:F,MATCH(I1053,数据元说明!C:C,0),6)</f>
        <v>C..200</v>
      </c>
      <c r="M1053" s="138" t="s">
        <v>3570</v>
      </c>
      <c r="N1053" s="143" t="s">
        <v>57</v>
      </c>
      <c r="O1053" s="140"/>
      <c r="P1053" s="140"/>
    </row>
    <row r="1054" s="89" customFormat="1" ht="30" customHeight="1" outlineLevel="1" spans="1:16">
      <c r="A1054" s="154"/>
      <c r="B1054" s="155"/>
      <c r="C1054" s="156"/>
      <c r="D1054" s="156"/>
      <c r="E1054" s="155"/>
      <c r="F1054" s="158" t="s">
        <v>3571</v>
      </c>
      <c r="G1054" s="213" t="s">
        <v>3572</v>
      </c>
      <c r="H1054" s="153" t="s">
        <v>3573</v>
      </c>
      <c r="I1054" s="158" t="s">
        <v>449</v>
      </c>
      <c r="J1054" s="213" t="str">
        <f>INDEX(数据元说明!A:F,MATCH(I1054,数据元说明!C:C,0),2)</f>
        <v>001040</v>
      </c>
      <c r="K1054" s="158" t="str">
        <f>INDEX(数据元说明!A:F,MATCH(I1054,数据元说明!C:C,0),5)</f>
        <v>银行自定义。</v>
      </c>
      <c r="L1054" s="213" t="str">
        <f>INDEX(数据元说明!A:F,MATCH(I1054,数据元说明!C:C,0),6)</f>
        <v>C..600</v>
      </c>
      <c r="M1054" s="138" t="s">
        <v>3574</v>
      </c>
      <c r="N1054" s="143" t="s">
        <v>57</v>
      </c>
      <c r="O1054" s="140"/>
      <c r="P1054" s="140"/>
    </row>
    <row r="1055" s="35" customFormat="1" ht="30" customHeight="1" outlineLevel="1" spans="1:16">
      <c r="A1055" s="93"/>
      <c r="B1055" s="94"/>
      <c r="C1055" s="95"/>
      <c r="D1055" s="95"/>
      <c r="E1055" s="94"/>
      <c r="F1055" s="158" t="s">
        <v>624</v>
      </c>
      <c r="G1055" s="43" t="s">
        <v>3575</v>
      </c>
      <c r="H1055" s="153" t="s">
        <v>3576</v>
      </c>
      <c r="I1055" s="158" t="s">
        <v>624</v>
      </c>
      <c r="J1055" s="213" t="str">
        <f>INDEX(数据元说明!A:F,MATCH(I1055,数据元说明!C:C,0),2)</f>
        <v>003014</v>
      </c>
      <c r="K1055" s="158" t="str">
        <f>INDEX(数据元说明!A:F,MATCH(I1055,数据元说明!C:C,0),5)</f>
        <v>遵循《GB/T 12406 表示货币和资金的代码》的字母代码，如CNY。上述文件所列币种无法涵盖的，允许银行自定义填报。多个币种合计折算为人民币（本外币合计）的，填报为BWB。</v>
      </c>
      <c r="L1055" s="213" t="str">
        <f>INDEX(数据元说明!A:F,MATCH(I1055,数据元说明!C:C,0),6)</f>
        <v>C3</v>
      </c>
      <c r="M1055" s="138" t="s">
        <v>3577</v>
      </c>
      <c r="N1055" s="143" t="s">
        <v>57</v>
      </c>
      <c r="O1055" s="44"/>
      <c r="P1055" s="99"/>
    </row>
    <row r="1056" s="35" customFormat="1" ht="30" customHeight="1" outlineLevel="1" spans="1:16">
      <c r="A1056" s="93"/>
      <c r="B1056" s="94"/>
      <c r="C1056" s="95"/>
      <c r="D1056" s="95"/>
      <c r="E1056" s="94"/>
      <c r="F1056" s="158" t="s">
        <v>2910</v>
      </c>
      <c r="G1056" s="43" t="s">
        <v>3578</v>
      </c>
      <c r="H1056" s="153" t="s">
        <v>3579</v>
      </c>
      <c r="I1056" s="158" t="s">
        <v>609</v>
      </c>
      <c r="J1056" s="213" t="str">
        <f>INDEX(数据元说明!A:F,MATCH(I1056,数据元说明!C:C,0),2)</f>
        <v>003010</v>
      </c>
      <c r="K1056" s="158" t="str">
        <f>INDEX(数据元说明!A:F,MATCH(I1056,数据元说明!C:C,0),5)</f>
        <v>与币种相对应金额。</v>
      </c>
      <c r="L1056" s="213" t="str">
        <f>INDEX(数据元说明!A:F,MATCH(I1056,数据元说明!C:C,0),6)</f>
        <v>D20.2</v>
      </c>
      <c r="M1056" s="138"/>
      <c r="N1056" s="143" t="s">
        <v>57</v>
      </c>
      <c r="O1056" s="44"/>
      <c r="P1056" s="99"/>
    </row>
    <row r="1057" s="35" customFormat="1" ht="30" customHeight="1" outlineLevel="1" spans="1:16">
      <c r="A1057" s="93"/>
      <c r="B1057" s="94"/>
      <c r="C1057" s="95"/>
      <c r="D1057" s="95"/>
      <c r="E1057" s="94"/>
      <c r="F1057" s="158" t="s">
        <v>3580</v>
      </c>
      <c r="G1057" s="43" t="s">
        <v>3581</v>
      </c>
      <c r="H1057" s="153" t="s">
        <v>3582</v>
      </c>
      <c r="I1057" s="158" t="s">
        <v>609</v>
      </c>
      <c r="J1057" s="213" t="str">
        <f>INDEX(数据元说明!A:F,MATCH(I1057,数据元说明!C:C,0),2)</f>
        <v>003010</v>
      </c>
      <c r="K1057" s="158" t="str">
        <f>INDEX(数据元说明!A:F,MATCH(I1057,数据元说明!C:C,0),5)</f>
        <v>与币种相对应金额。</v>
      </c>
      <c r="L1057" s="213" t="str">
        <f>INDEX(数据元说明!A:F,MATCH(I1057,数据元说明!C:C,0),6)</f>
        <v>D20.2</v>
      </c>
      <c r="M1057" s="138" t="s">
        <v>3583</v>
      </c>
      <c r="N1057" s="143" t="s">
        <v>57</v>
      </c>
      <c r="O1057" s="44"/>
      <c r="P1057" s="99"/>
    </row>
    <row r="1058" s="81" customFormat="1" ht="30" customHeight="1" outlineLevel="1" spans="1:16">
      <c r="A1058" s="167"/>
      <c r="B1058" s="168"/>
      <c r="C1058" s="176"/>
      <c r="D1058" s="176"/>
      <c r="E1058" s="155"/>
      <c r="F1058" s="157" t="s">
        <v>2913</v>
      </c>
      <c r="G1058" s="43" t="s">
        <v>3584</v>
      </c>
      <c r="H1058" s="153" t="s">
        <v>3585</v>
      </c>
      <c r="I1058" s="157" t="s">
        <v>302</v>
      </c>
      <c r="J1058" s="43" t="str">
        <f>INDEX(数据元说明!A:F,MATCH(I1058,数据元说明!C:C,0),2)</f>
        <v>001005</v>
      </c>
      <c r="K1058" s="158" t="str">
        <f>INDEX(数据元说明!A:F,MATCH(I1058,数据元说明!C:C,0),5)</f>
        <v>YYYYMMDD，默认值99991231。</v>
      </c>
      <c r="L1058" s="43" t="str">
        <f>INDEX(数据元说明!A:F,MATCH(I1058,数据元说明!C:C,0),6)</f>
        <v>C8</v>
      </c>
      <c r="M1058" s="138" t="s">
        <v>3586</v>
      </c>
      <c r="N1058" s="143" t="s">
        <v>57</v>
      </c>
      <c r="O1058" s="139"/>
      <c r="P1058" s="139"/>
    </row>
    <row r="1059" s="81" customFormat="1" ht="30" customHeight="1" outlineLevel="1" spans="1:16">
      <c r="A1059" s="167"/>
      <c r="B1059" s="168"/>
      <c r="C1059" s="176"/>
      <c r="D1059" s="176"/>
      <c r="E1059" s="155"/>
      <c r="F1059" s="157" t="s">
        <v>2917</v>
      </c>
      <c r="G1059" s="43" t="s">
        <v>2918</v>
      </c>
      <c r="H1059" s="153" t="s">
        <v>3587</v>
      </c>
      <c r="I1059" s="157" t="s">
        <v>302</v>
      </c>
      <c r="J1059" s="43" t="str">
        <f>INDEX(数据元说明!A:F,MATCH(I1059,数据元说明!C:C,0),2)</f>
        <v>001005</v>
      </c>
      <c r="K1059" s="158" t="str">
        <f>INDEX(数据元说明!A:F,MATCH(I1059,数据元说明!C:C,0),5)</f>
        <v>YYYYMMDD，默认值99991231。</v>
      </c>
      <c r="L1059" s="43" t="str">
        <f>INDEX(数据元说明!A:F,MATCH(I1059,数据元说明!C:C,0),6)</f>
        <v>C8</v>
      </c>
      <c r="M1059" s="138" t="s">
        <v>3588</v>
      </c>
      <c r="N1059" s="143" t="s">
        <v>57</v>
      </c>
      <c r="O1059" s="140"/>
      <c r="P1059" s="140"/>
    </row>
    <row r="1060" s="89" customFormat="1" ht="30" customHeight="1" outlineLevel="1" spans="1:16">
      <c r="A1060" s="154"/>
      <c r="B1060" s="155"/>
      <c r="C1060" s="156"/>
      <c r="D1060" s="156"/>
      <c r="E1060" s="155"/>
      <c r="F1060" s="158" t="s">
        <v>3589</v>
      </c>
      <c r="G1060" s="213" t="s">
        <v>3590</v>
      </c>
      <c r="H1060" s="153" t="s">
        <v>3591</v>
      </c>
      <c r="I1060" s="158" t="s">
        <v>453</v>
      </c>
      <c r="J1060" s="213" t="str">
        <f>INDEX(数据元说明!A:F,MATCH(I1060,数据元说明!C:C,0),2)</f>
        <v>002001</v>
      </c>
      <c r="K1060" s="158" t="str">
        <f>INDEX(数据元说明!A:F,MATCH(I1060,数据元说明!C:C,0),5)</f>
        <v>银行自定义的唯一识别客户的标识。供应链融资的填写供应链融资编码。</v>
      </c>
      <c r="L1060" s="213" t="str">
        <f>INDEX(数据元说明!A:F,MATCH(I1060,数据元说明!C:C,0),6)</f>
        <v>C..60</v>
      </c>
      <c r="M1060" s="138" t="s">
        <v>3592</v>
      </c>
      <c r="N1060" s="143" t="s">
        <v>57</v>
      </c>
      <c r="O1060" s="140"/>
      <c r="P1060" s="140"/>
    </row>
    <row r="1061" s="89" customFormat="1" ht="30" customHeight="1" outlineLevel="1" spans="1:16">
      <c r="A1061" s="154"/>
      <c r="B1061" s="155"/>
      <c r="C1061" s="156"/>
      <c r="D1061" s="156"/>
      <c r="E1061" s="155"/>
      <c r="F1061" s="158" t="s">
        <v>3593</v>
      </c>
      <c r="G1061" s="213" t="s">
        <v>3594</v>
      </c>
      <c r="H1061" s="153" t="s">
        <v>3595</v>
      </c>
      <c r="I1061" s="158" t="s">
        <v>282</v>
      </c>
      <c r="J1061" s="213" t="str">
        <f>INDEX(数据元说明!A:F,MATCH(I1061,数据元说明!C:C,0),2)</f>
        <v>001001</v>
      </c>
      <c r="K1061" s="158" t="str">
        <f>INDEX(数据元说明!A:F,MATCH(I1061,数据元说明!C:C,0),5)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61" s="213" t="str">
        <f>INDEX(数据元说明!A:F,MATCH(I1061,数据元说明!C:C,0),6)</f>
        <v>C..400</v>
      </c>
      <c r="M1061" s="138" t="s">
        <v>3596</v>
      </c>
      <c r="N1061" s="143" t="s">
        <v>57</v>
      </c>
      <c r="O1061" s="140"/>
      <c r="P1061" s="140"/>
    </row>
    <row r="1062" s="35" customFormat="1" ht="30" customHeight="1" outlineLevel="1" spans="1:16">
      <c r="A1062" s="93"/>
      <c r="B1062" s="94"/>
      <c r="C1062" s="95"/>
      <c r="D1062" s="95"/>
      <c r="E1062" s="94"/>
      <c r="F1062" s="158" t="s">
        <v>3597</v>
      </c>
      <c r="G1062" s="43" t="s">
        <v>3598</v>
      </c>
      <c r="H1062" s="153" t="s">
        <v>3599</v>
      </c>
      <c r="I1062" s="157" t="s">
        <v>697</v>
      </c>
      <c r="J1062" s="213" t="str">
        <f>INDEX(数据元说明!A:F,MATCH(I1062,数据元说明!C:C,0),2)</f>
        <v>003032</v>
      </c>
      <c r="K1062" s="158" t="str">
        <f>INDEX(数据元说明!A:F,MATCH(I1062,数据元说明!C:C,0),5)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062" s="213" t="str">
        <f>INDEX(数据元说明!A:F,MATCH(I1062,数据元说明!C:C,0),6)</f>
        <v>C..60</v>
      </c>
      <c r="M1062" s="138"/>
      <c r="N1062" s="143" t="s">
        <v>57</v>
      </c>
      <c r="O1062" s="44"/>
      <c r="P1062" s="99"/>
    </row>
    <row r="1063" s="35" customFormat="1" ht="30" customHeight="1" outlineLevel="1" spans="1:16">
      <c r="A1063" s="93"/>
      <c r="B1063" s="94"/>
      <c r="C1063" s="95"/>
      <c r="D1063" s="95"/>
      <c r="E1063" s="94"/>
      <c r="F1063" s="158" t="s">
        <v>3600</v>
      </c>
      <c r="G1063" s="43" t="s">
        <v>3601</v>
      </c>
      <c r="H1063" s="153" t="s">
        <v>3602</v>
      </c>
      <c r="I1063" s="158" t="s">
        <v>282</v>
      </c>
      <c r="J1063" s="213" t="str">
        <f>INDEX(数据元说明!A:F,MATCH(I1063,数据元说明!C:C,0),2)</f>
        <v>001001</v>
      </c>
      <c r="K1063" s="158" t="str">
        <f>INDEX(数据元说明!A:F,MATCH(I1063,数据元说明!C:C,0),5)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63" s="213" t="str">
        <f>INDEX(数据元说明!A:F,MATCH(I1063,数据元说明!C:C,0),6)</f>
        <v>C..400</v>
      </c>
      <c r="M1063" s="138"/>
      <c r="N1063" s="143" t="s">
        <v>57</v>
      </c>
      <c r="O1063" s="44"/>
      <c r="P1063" s="99"/>
    </row>
    <row r="1064" s="89" customFormat="1" ht="30" customHeight="1" outlineLevel="1" spans="1:16">
      <c r="A1064" s="154"/>
      <c r="B1064" s="155"/>
      <c r="C1064" s="156"/>
      <c r="D1064" s="156"/>
      <c r="E1064" s="155"/>
      <c r="F1064" s="158" t="s">
        <v>3603</v>
      </c>
      <c r="G1064" s="213" t="s">
        <v>3604</v>
      </c>
      <c r="H1064" s="153" t="s">
        <v>3605</v>
      </c>
      <c r="I1064" s="158" t="s">
        <v>282</v>
      </c>
      <c r="J1064" s="213" t="str">
        <f>INDEX(数据元说明!A:F,MATCH(I1064,数据元说明!C:C,0),2)</f>
        <v>001001</v>
      </c>
      <c r="K1064" s="158" t="str">
        <f>INDEX(数据元说明!A:F,MATCH(I1064,数据元说明!C:C,0),5)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64" s="213" t="str">
        <f>INDEX(数据元说明!A:F,MATCH(I1064,数据元说明!C:C,0),6)</f>
        <v>C..400</v>
      </c>
      <c r="M1064" s="138" t="s">
        <v>3606</v>
      </c>
      <c r="N1064" s="143" t="s">
        <v>57</v>
      </c>
      <c r="O1064" s="140"/>
      <c r="P1064" s="140"/>
    </row>
    <row r="1065" s="89" customFormat="1" ht="30" customHeight="1" outlineLevel="1" spans="1:16">
      <c r="A1065" s="154"/>
      <c r="B1065" s="155"/>
      <c r="C1065" s="156"/>
      <c r="D1065" s="156"/>
      <c r="E1065" s="155"/>
      <c r="F1065" s="158" t="s">
        <v>3607</v>
      </c>
      <c r="G1065" s="213" t="s">
        <v>3608</v>
      </c>
      <c r="H1065" s="153" t="s">
        <v>3609</v>
      </c>
      <c r="I1065" s="158" t="s">
        <v>457</v>
      </c>
      <c r="J1065" s="213" t="str">
        <f>INDEX(数据元说明!A:F,MATCH(I1065,数据元说明!C:C,0),2)</f>
        <v>002002</v>
      </c>
      <c r="K1065" s="158" t="str">
        <f>INDEX(数据元说明!A:F,MATCH(I1065,数据元说明!C:C,0),5)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065" s="213" t="str">
        <f>INDEX(数据元说明!A:F,MATCH(I1065,数据元说明!C:C,0),6)</f>
        <v>C..60</v>
      </c>
      <c r="M1065" s="138"/>
      <c r="N1065" s="143" t="s">
        <v>57</v>
      </c>
      <c r="O1065" s="140"/>
      <c r="P1065" s="140"/>
    </row>
    <row r="1066" s="89" customFormat="1" ht="30" customHeight="1" outlineLevel="1" spans="1:16">
      <c r="A1066" s="154"/>
      <c r="B1066" s="155"/>
      <c r="C1066" s="156"/>
      <c r="D1066" s="156"/>
      <c r="E1066" s="155"/>
      <c r="F1066" s="158" t="s">
        <v>3610</v>
      </c>
      <c r="G1066" s="213" t="s">
        <v>3611</v>
      </c>
      <c r="H1066" s="153" t="s">
        <v>3612</v>
      </c>
      <c r="I1066" s="158" t="s">
        <v>461</v>
      </c>
      <c r="J1066" s="213" t="str">
        <f>INDEX(数据元说明!A:F,MATCH(I1066,数据元说明!C:C,0),2)</f>
        <v>002003</v>
      </c>
      <c r="K1066" s="158" t="str">
        <f>INDEX(数据元说明!A:F,MATCH(I1066,数据元说明!C:C,0),5)</f>
        <v>与证件类别对应的证件号码。涉及个人身份证件时需按照本规范给定规则进行脱敏处理。</v>
      </c>
      <c r="L1066" s="213" t="str">
        <f>INDEX(数据元说明!A:F,MATCH(I1066,数据元说明!C:C,0),6)</f>
        <v>C..70</v>
      </c>
      <c r="M1066" s="138"/>
      <c r="N1066" s="143" t="s">
        <v>57</v>
      </c>
      <c r="O1066" s="140"/>
      <c r="P1066" s="140"/>
    </row>
    <row r="1067" s="89" customFormat="1" ht="30" customHeight="1" outlineLevel="1" spans="1:16">
      <c r="A1067" s="154"/>
      <c r="B1067" s="155"/>
      <c r="C1067" s="156"/>
      <c r="D1067" s="156"/>
      <c r="E1067" s="155"/>
      <c r="F1067" s="158" t="s">
        <v>3534</v>
      </c>
      <c r="G1067" s="213" t="s">
        <v>3535</v>
      </c>
      <c r="H1067" s="153" t="s">
        <v>3613</v>
      </c>
      <c r="I1067" s="158" t="s">
        <v>624</v>
      </c>
      <c r="J1067" s="213" t="str">
        <f>INDEX(数据元说明!A:F,MATCH(I1067,数据元说明!C:C,0),2)</f>
        <v>003014</v>
      </c>
      <c r="K1067" s="158" t="str">
        <f>INDEX(数据元说明!A:F,MATCH(I1067,数据元说明!C:C,0),5)</f>
        <v>遵循《GB/T 12406 表示货币和资金的代码》的字母代码，如CNY。上述文件所列币种无法涵盖的，允许银行自定义填报。多个币种合计折算为人民币（本外币合计）的，填报为BWB。</v>
      </c>
      <c r="L1067" s="213" t="str">
        <f>INDEX(数据元说明!A:F,MATCH(I1067,数据元说明!C:C,0),6)</f>
        <v>C3</v>
      </c>
      <c r="M1067" s="138" t="s">
        <v>3614</v>
      </c>
      <c r="N1067" s="143" t="s">
        <v>57</v>
      </c>
      <c r="O1067" s="140"/>
      <c r="P1067" s="140"/>
    </row>
    <row r="1068" s="35" customFormat="1" ht="30" customHeight="1" outlineLevel="1" spans="1:16">
      <c r="A1068" s="93"/>
      <c r="B1068" s="94"/>
      <c r="C1068" s="95"/>
      <c r="D1068" s="95"/>
      <c r="E1068" s="94"/>
      <c r="F1068" s="157" t="s">
        <v>3538</v>
      </c>
      <c r="G1068" s="43" t="s">
        <v>3539</v>
      </c>
      <c r="H1068" s="153" t="s">
        <v>3615</v>
      </c>
      <c r="I1068" s="157" t="s">
        <v>609</v>
      </c>
      <c r="J1068" s="213" t="str">
        <f>INDEX(数据元说明!A:F,MATCH(I1068,数据元说明!C:C,0),2)</f>
        <v>003010</v>
      </c>
      <c r="K1068" s="158" t="str">
        <f>INDEX(数据元说明!A:F,MATCH(I1068,数据元说明!C:C,0),5)</f>
        <v>与币种相对应金额。</v>
      </c>
      <c r="L1068" s="213" t="str">
        <f>INDEX(数据元说明!A:F,MATCH(I1068,数据元说明!C:C,0),6)</f>
        <v>D20.2</v>
      </c>
      <c r="M1068" s="138" t="s">
        <v>3541</v>
      </c>
      <c r="N1068" s="143" t="s">
        <v>57</v>
      </c>
      <c r="O1068" s="44"/>
      <c r="P1068" s="99"/>
    </row>
    <row r="1069" s="35" customFormat="1" ht="30" customHeight="1" outlineLevel="1" spans="1:16">
      <c r="A1069" s="93"/>
      <c r="B1069" s="94"/>
      <c r="C1069" s="95"/>
      <c r="D1069" s="95"/>
      <c r="E1069" s="94"/>
      <c r="F1069" s="158" t="s">
        <v>3542</v>
      </c>
      <c r="G1069" s="213" t="s">
        <v>3543</v>
      </c>
      <c r="H1069" s="153" t="s">
        <v>3616</v>
      </c>
      <c r="I1069" s="158" t="s">
        <v>292</v>
      </c>
      <c r="J1069" s="213" t="str">
        <f>INDEX(数据元说明!A:F,MATCH(I1069,数据元说明!C:C,0),2)</f>
        <v>001003</v>
      </c>
      <c r="K1069" s="158" t="str">
        <f>INDEX(数据元说明!A:F,MATCH(I1069,数据元说明!C:C,0),5)</f>
        <v>百分比为单位，即1/100，保留两位小数。如4.5%则填报为4.50。</v>
      </c>
      <c r="L1069" s="213" t="str">
        <f>INDEX(数据元说明!A:F,MATCH(I1069,数据元说明!C:C,0),6)</f>
        <v>D20.2</v>
      </c>
      <c r="M1069" s="138" t="s">
        <v>3617</v>
      </c>
      <c r="N1069" s="143" t="s">
        <v>57</v>
      </c>
      <c r="O1069" s="99"/>
      <c r="P1069" s="99"/>
    </row>
    <row r="1070" s="35" customFormat="1" ht="30" customHeight="1" outlineLevel="1" spans="1:16">
      <c r="A1070" s="93"/>
      <c r="B1070" s="94"/>
      <c r="C1070" s="95"/>
      <c r="D1070" s="95"/>
      <c r="E1070" s="94"/>
      <c r="F1070" s="138" t="s">
        <v>3546</v>
      </c>
      <c r="G1070" s="140" t="s">
        <v>3547</v>
      </c>
      <c r="H1070" s="153" t="s">
        <v>3618</v>
      </c>
      <c r="I1070" s="138" t="s">
        <v>624</v>
      </c>
      <c r="J1070" s="213" t="str">
        <f>INDEX(数据元说明!A:F,MATCH(I1070,数据元说明!C:C,0),2)</f>
        <v>003014</v>
      </c>
      <c r="K1070" s="158" t="str">
        <f>INDEX(数据元说明!A:F,MATCH(I1070,数据元说明!C:C,0),5)</f>
        <v>遵循《GB/T 12406 表示货币和资金的代码》的字母代码，如CNY。上述文件所列币种无法涵盖的，允许银行自定义填报。多个币种合计折算为人民币（本外币合计）的，填报为BWB。</v>
      </c>
      <c r="L1070" s="213" t="str">
        <f>INDEX(数据元说明!A:F,MATCH(I1070,数据元说明!C:C,0),6)</f>
        <v>C3</v>
      </c>
      <c r="M1070" s="138" t="s">
        <v>3619</v>
      </c>
      <c r="N1070" s="143" t="s">
        <v>57</v>
      </c>
      <c r="O1070" s="99"/>
      <c r="P1070" s="99"/>
    </row>
    <row r="1071" s="35" customFormat="1" ht="30" customHeight="1" outlineLevel="1" spans="1:16">
      <c r="A1071" s="93"/>
      <c r="B1071" s="94"/>
      <c r="C1071" s="95"/>
      <c r="D1071" s="95"/>
      <c r="E1071" s="94"/>
      <c r="F1071" s="158" t="s">
        <v>3550</v>
      </c>
      <c r="G1071" s="213" t="s">
        <v>3551</v>
      </c>
      <c r="H1071" s="153" t="s">
        <v>3620</v>
      </c>
      <c r="I1071" s="158" t="s">
        <v>609</v>
      </c>
      <c r="J1071" s="213" t="str">
        <f>INDEX(数据元说明!A:F,MATCH(I1071,数据元说明!C:C,0),2)</f>
        <v>003010</v>
      </c>
      <c r="K1071" s="158" t="str">
        <f>INDEX(数据元说明!A:F,MATCH(I1071,数据元说明!C:C,0),5)</f>
        <v>与币种相对应金额。</v>
      </c>
      <c r="L1071" s="213" t="str">
        <f>INDEX(数据元说明!A:F,MATCH(I1071,数据元说明!C:C,0),6)</f>
        <v>D20.2</v>
      </c>
      <c r="M1071" s="138" t="s">
        <v>3621</v>
      </c>
      <c r="N1071" s="143" t="s">
        <v>57</v>
      </c>
      <c r="O1071" s="99"/>
      <c r="P1071" s="99"/>
    </row>
    <row r="1072" s="81" customFormat="1" ht="45" customHeight="1" outlineLevel="1" spans="1:16">
      <c r="A1072" s="167"/>
      <c r="B1072" s="168"/>
      <c r="C1072" s="156"/>
      <c r="D1072" s="156"/>
      <c r="E1072" s="155"/>
      <c r="F1072" s="157" t="s">
        <v>3554</v>
      </c>
      <c r="G1072" s="43" t="s">
        <v>3555</v>
      </c>
      <c r="H1072" s="153" t="s">
        <v>3622</v>
      </c>
      <c r="I1072" s="157" t="s">
        <v>697</v>
      </c>
      <c r="J1072" s="43" t="str">
        <f>INDEX(数据元说明!A:F,MATCH(I1072,数据元说明!C:C,0),2)</f>
        <v>003032</v>
      </c>
      <c r="K1072" s="158" t="str">
        <f>INDEX(数据元说明!A:F,MATCH(I1072,数据元说明!C:C,0),5)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072" s="43" t="str">
        <f>INDEX(数据元说明!A:F,MATCH(I1072,数据元说明!C:C,0),6)</f>
        <v>C..60</v>
      </c>
      <c r="M1072" s="138" t="s">
        <v>3623</v>
      </c>
      <c r="N1072" s="143" t="s">
        <v>57</v>
      </c>
      <c r="O1072" s="140"/>
      <c r="P1072" s="140"/>
    </row>
    <row r="1073" s="81" customFormat="1" ht="30" customHeight="1" outlineLevel="1" spans="1:16">
      <c r="A1073" s="154"/>
      <c r="B1073" s="155"/>
      <c r="C1073" s="156"/>
      <c r="D1073" s="156"/>
      <c r="E1073" s="155"/>
      <c r="F1073" s="157" t="s">
        <v>839</v>
      </c>
      <c r="G1073" s="43" t="s">
        <v>2777</v>
      </c>
      <c r="H1073" s="153" t="s">
        <v>3624</v>
      </c>
      <c r="I1073" s="157" t="s">
        <v>839</v>
      </c>
      <c r="J1073" s="407" t="str">
        <f>INDEX(数据元说明!A:F,MATCH(I1073,数据元说明!C:C,0),2)</f>
        <v>005026</v>
      </c>
      <c r="K1073" s="158" t="str">
        <f>INDEX(数据元说明!A:F,MATCH(I1073,数据元说明!C:C,0),5)</f>
        <v>正常、结清、逾期、核销、转让，其他-银行自定义。以枚举类型填报，如无法以枚举类型填报，则以“其他-XX”填报，其中“XX”为银行自定义状态。</v>
      </c>
      <c r="L1073" s="43" t="str">
        <f>INDEX(数据元说明!A:F,MATCH(I1073,数据元说明!C:C,0),6)</f>
        <v>C..30</v>
      </c>
      <c r="M1073" s="138"/>
      <c r="N1073" s="143" t="s">
        <v>57</v>
      </c>
      <c r="O1073" s="139"/>
      <c r="P1073" s="139"/>
    </row>
    <row r="1074" s="81" customFormat="1" ht="30" customHeight="1" outlineLevel="1" spans="1:16">
      <c r="A1074" s="134"/>
      <c r="B1074" s="47"/>
      <c r="C1074" s="39"/>
      <c r="D1074" s="39"/>
      <c r="E1074" s="47"/>
      <c r="F1074" s="169" t="s">
        <v>449</v>
      </c>
      <c r="G1074" s="148" t="s">
        <v>1571</v>
      </c>
      <c r="H1074" s="148" t="s">
        <v>3625</v>
      </c>
      <c r="I1074" s="169" t="s">
        <v>449</v>
      </c>
      <c r="J1074" s="170" t="str">
        <f>INDEX(数据元说明!A:F,MATCH(I1074,数据元说明!C:C,0),2)</f>
        <v>001040</v>
      </c>
      <c r="K1074" s="171" t="str">
        <f>INDEX(数据元说明!A:F,MATCH(I1074,数据元说明!C:C,0),5)</f>
        <v>银行自定义。</v>
      </c>
      <c r="L1074" s="170" t="str">
        <f>INDEX(数据元说明!A:F,MATCH(I1074,数据元说明!C:C,0),6)</f>
        <v>C..600</v>
      </c>
      <c r="M1074" s="149" t="s">
        <v>1573</v>
      </c>
      <c r="N1074" s="143" t="s">
        <v>57</v>
      </c>
      <c r="O1074" s="173"/>
      <c r="P1074" s="173"/>
    </row>
    <row r="1075" s="89" customFormat="1" ht="30" customHeight="1" outlineLevel="1" spans="1:16">
      <c r="A1075" s="154"/>
      <c r="B1075" s="155"/>
      <c r="C1075" s="156"/>
      <c r="D1075" s="156"/>
      <c r="E1075" s="155"/>
      <c r="F1075" s="158" t="s">
        <v>1574</v>
      </c>
      <c r="G1075" s="213" t="s">
        <v>1575</v>
      </c>
      <c r="H1075" s="153" t="s">
        <v>3626</v>
      </c>
      <c r="I1075" s="158" t="s">
        <v>302</v>
      </c>
      <c r="J1075" s="213" t="str">
        <f>INDEX(数据元说明!A:F,MATCH(I1075,数据元说明!C:C,0),2)</f>
        <v>001005</v>
      </c>
      <c r="K1075" s="158" t="str">
        <f>INDEX(数据元说明!A:F,MATCH(I1075,数据元说明!C:C,0),5)</f>
        <v>YYYYMMDD，默认值99991231。</v>
      </c>
      <c r="L1075" s="213" t="str">
        <f>INDEX(数据元说明!A:F,MATCH(I1075,数据元说明!C:C,0),6)</f>
        <v>C8</v>
      </c>
      <c r="M1075" s="133" t="s">
        <v>1577</v>
      </c>
      <c r="N1075" s="143" t="s">
        <v>57</v>
      </c>
      <c r="O1075" s="140"/>
      <c r="P1075" s="140"/>
    </row>
    <row r="1076" s="83" customFormat="1" ht="30" customHeight="1" spans="1:16">
      <c r="A1076" s="188"/>
      <c r="B1076" s="189"/>
      <c r="C1076" s="190" t="s">
        <v>159</v>
      </c>
      <c r="D1076" s="191" t="s">
        <v>160</v>
      </c>
      <c r="E1076" s="192" t="s">
        <v>3627</v>
      </c>
      <c r="F1076" s="193"/>
      <c r="G1076" s="194"/>
      <c r="H1076" s="192"/>
      <c r="I1076" s="193"/>
      <c r="J1076" s="194"/>
      <c r="K1076" s="195"/>
      <c r="L1076" s="194"/>
      <c r="M1076" s="195" t="str">
        <f>INDEX(表结构总览!E:H,MATCH(D1076,表结构总览!E:E,0),4)</f>
        <v>填报信用证、承兑汇票、保函、贵金属租赁等业务产生的各项垫款信息。报送范围：与1104报表G01_Ⅵ《各项垫款情况表》报送口径一致。垫款状态为“结清”、“转让”、“核销”的，在报送最后状态的次月可不再报送。</v>
      </c>
      <c r="N1076" s="143" t="s">
        <v>57</v>
      </c>
      <c r="O1076" s="143"/>
      <c r="P1076" s="212"/>
    </row>
    <row r="1077" s="61" customFormat="1" ht="30" customHeight="1" outlineLevel="1" spans="1:16">
      <c r="A1077" s="130"/>
      <c r="B1077" s="36"/>
      <c r="C1077" s="25"/>
      <c r="D1077" s="25"/>
      <c r="E1077" s="36"/>
      <c r="F1077" s="135" t="s">
        <v>325</v>
      </c>
      <c r="G1077" s="136" t="s">
        <v>1520</v>
      </c>
      <c r="H1077" s="137" t="s">
        <v>3628</v>
      </c>
      <c r="I1077" s="135" t="s">
        <v>325</v>
      </c>
      <c r="J1077" s="136" t="str">
        <f>INDEX(数据元说明!A:F,MATCH(I1077,数据元说明!C:C,0),2)</f>
        <v>001010</v>
      </c>
      <c r="K1077" s="138" t="str">
        <f>INDEX(数据元说明!A:F,MATCH(I1077,数据元说明!C:C,0),5)</f>
        <v>12位人行支付行号或SWIFT行号。</v>
      </c>
      <c r="L1077" s="136" t="str">
        <f>INDEX(数据元说明!A:F,MATCH(I1077,数据元说明!C:C,0),6)</f>
        <v>C..30</v>
      </c>
      <c r="M1077" s="138" t="s">
        <v>3629</v>
      </c>
      <c r="N1077" s="143" t="s">
        <v>57</v>
      </c>
      <c r="O1077" s="99"/>
      <c r="P1077" s="41"/>
    </row>
    <row r="1078" s="81" customFormat="1" ht="30" customHeight="1" outlineLevel="1" spans="1:16">
      <c r="A1078" s="134"/>
      <c r="B1078" s="47"/>
      <c r="C1078" s="39"/>
      <c r="D1078" s="39"/>
      <c r="E1078" s="47"/>
      <c r="F1078" s="135" t="s">
        <v>329</v>
      </c>
      <c r="G1078" s="136" t="s">
        <v>1526</v>
      </c>
      <c r="H1078" s="137" t="s">
        <v>3630</v>
      </c>
      <c r="I1078" s="135" t="s">
        <v>329</v>
      </c>
      <c r="J1078" s="136" t="str">
        <f>INDEX(数据元说明!A:F,MATCH(I1078,数据元说明!C:C,0),2)</f>
        <v>001011</v>
      </c>
      <c r="K1078" s="138" t="str">
        <f>INDEX(数据元说明!A:F,MATCH(I1078,数据元说明!C:C,0),5)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78" s="136" t="str">
        <f>INDEX(数据元说明!A:F,MATCH(I1078,数据元说明!C:C,0),6)</f>
        <v>C..30</v>
      </c>
      <c r="M1078" s="138" t="s">
        <v>3204</v>
      </c>
      <c r="N1078" s="143" t="s">
        <v>57</v>
      </c>
      <c r="O1078" s="140"/>
      <c r="P1078" s="140"/>
    </row>
    <row r="1079" s="61" customFormat="1" ht="30" customHeight="1" outlineLevel="1" spans="1:16">
      <c r="A1079" s="130"/>
      <c r="B1079" s="36"/>
      <c r="C1079" s="25"/>
      <c r="D1079" s="25"/>
      <c r="E1079" s="36"/>
      <c r="F1079" s="135" t="s">
        <v>333</v>
      </c>
      <c r="G1079" s="136" t="s">
        <v>1523</v>
      </c>
      <c r="H1079" s="137" t="s">
        <v>3631</v>
      </c>
      <c r="I1079" s="135" t="s">
        <v>333</v>
      </c>
      <c r="J1079" s="136" t="str">
        <f>INDEX(数据元说明!A:F,MATCH(I1079,数据元说明!C:C,0),2)</f>
        <v>001012</v>
      </c>
      <c r="K1079" s="138" t="str">
        <f>INDEX(数据元说明!A:F,MATCH(I1079,数据元说明!C:C,0),5)</f>
        <v>银行内部机构号。应具有标识机构的唯一性。</v>
      </c>
      <c r="L1079" s="136" t="str">
        <f>INDEX(数据元说明!A:F,MATCH(I1079,数据元说明!C:C,0),6)</f>
        <v>C..30</v>
      </c>
      <c r="M1079" s="138" t="s">
        <v>3632</v>
      </c>
      <c r="N1079" s="143" t="s">
        <v>57</v>
      </c>
      <c r="O1079" s="99"/>
      <c r="P1079" s="41"/>
    </row>
    <row r="1080" s="61" customFormat="1" ht="30" customHeight="1" outlineLevel="1" spans="1:16">
      <c r="A1080" s="130"/>
      <c r="B1080" s="36"/>
      <c r="C1080" s="25"/>
      <c r="D1080" s="25"/>
      <c r="E1080" s="36"/>
      <c r="F1080" s="135" t="s">
        <v>1532</v>
      </c>
      <c r="G1080" s="136" t="s">
        <v>1533</v>
      </c>
      <c r="H1080" s="137" t="s">
        <v>3633</v>
      </c>
      <c r="I1080" s="135" t="s">
        <v>282</v>
      </c>
      <c r="J1080" s="136" t="str">
        <f>INDEX(数据元说明!A:F,MATCH(I1080,数据元说明!C:C,0),2)</f>
        <v>001001</v>
      </c>
      <c r="K1080" s="138" t="str">
        <f>INDEX(数据元说明!A:F,MATCH(I1080,数据元说明!C:C,0),5)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080" s="136" t="str">
        <f>INDEX(数据元说明!A:F,MATCH(I1080,数据元说明!C:C,0),6)</f>
        <v>C..400</v>
      </c>
      <c r="M1080" s="138" t="s">
        <v>3634</v>
      </c>
      <c r="N1080" s="143" t="s">
        <v>57</v>
      </c>
      <c r="O1080" s="99"/>
      <c r="P1080" s="41"/>
    </row>
    <row r="1081" s="81" customFormat="1" ht="30" customHeight="1" outlineLevel="1" spans="1:16">
      <c r="A1081" s="167"/>
      <c r="B1081" s="168"/>
      <c r="C1081" s="156"/>
      <c r="D1081" s="156"/>
      <c r="E1081" s="155"/>
      <c r="F1081" s="157" t="s">
        <v>2895</v>
      </c>
      <c r="G1081" s="43" t="s">
        <v>2896</v>
      </c>
      <c r="H1081" s="137" t="s">
        <v>3635</v>
      </c>
      <c r="I1081" s="157" t="s">
        <v>681</v>
      </c>
      <c r="J1081" s="43" t="str">
        <f>INDEX(数据元说明!A:F,MATCH(I1081,数据元说明!C:C,0),2)</f>
        <v>003028</v>
      </c>
      <c r="K1081" s="158" t="str">
        <f>INDEX(数据元说明!A:F,MATCH(I1081,数据元说明!C:C,0),5)</f>
        <v>合同号。</v>
      </c>
      <c r="L1081" s="43" t="str">
        <f>INDEX(数据元说明!A:F,MATCH(I1081,数据元说明!C:C,0),6)</f>
        <v>C..100</v>
      </c>
      <c r="M1081" s="158" t="s">
        <v>3208</v>
      </c>
      <c r="N1081" s="143" t="s">
        <v>57</v>
      </c>
      <c r="O1081" s="139"/>
      <c r="P1081" s="139"/>
    </row>
    <row r="1082" s="81" customFormat="1" ht="30" customHeight="1" outlineLevel="1" spans="1:16">
      <c r="A1082" s="141"/>
      <c r="B1082" s="142"/>
      <c r="C1082" s="39"/>
      <c r="D1082" s="39"/>
      <c r="E1082" s="47"/>
      <c r="F1082" s="135" t="s">
        <v>2752</v>
      </c>
      <c r="G1082" s="136" t="s">
        <v>2753</v>
      </c>
      <c r="H1082" s="137" t="s">
        <v>3636</v>
      </c>
      <c r="I1082" s="135" t="s">
        <v>677</v>
      </c>
      <c r="J1082" s="136" t="str">
        <f>INDEX(数据元说明!A:F,MATCH(I1082,数据元说明!C:C,0),2)</f>
        <v>003027</v>
      </c>
      <c r="K1082" s="138" t="str">
        <f>INDEX(数据元说明!A:F,MATCH(I1082,数据元说明!C:C,0),5)</f>
        <v>借据统一编号。</v>
      </c>
      <c r="L1082" s="136" t="str">
        <f>INDEX(数据元说明!A:F,MATCH(I1082,数据元说明!C:C,0),6)</f>
        <v>C..100</v>
      </c>
      <c r="M1082" s="138" t="s">
        <v>3210</v>
      </c>
      <c r="N1082" s="143" t="s">
        <v>57</v>
      </c>
      <c r="O1082" s="139"/>
      <c r="P1082" s="139"/>
    </row>
    <row r="1083" s="61" customFormat="1" ht="41" customHeight="1" outlineLevel="1" spans="1:16">
      <c r="A1083" s="130"/>
      <c r="B1083" s="36"/>
      <c r="C1083" s="25"/>
      <c r="D1083" s="25"/>
      <c r="E1083" s="36"/>
      <c r="F1083" s="135" t="s">
        <v>1064</v>
      </c>
      <c r="G1083" s="136" t="s">
        <v>3637</v>
      </c>
      <c r="H1083" s="137" t="s">
        <v>3638</v>
      </c>
      <c r="I1083" s="135" t="s">
        <v>1064</v>
      </c>
      <c r="J1083" s="136" t="str">
        <f>INDEX(数据元说明!A:F,MATCH(I1083,数据元说明!C:C,0),2)</f>
        <v>007014</v>
      </c>
      <c r="K1083" s="138" t="str">
        <f>INDEX(数据元说明!A:F,MATCH(I1083,数据元说明!C:C,0),5)</f>
        <v>与1104报表G01_Ⅵ《各项垫款情况表》一致。即分为（按序号+名称填报）：1.1承兑汇票，1.2融资性保函，1.3其他等同于贷款的授信业务， 2.1非融资性保函， 2.2其他与交易相关的或有项目，3.1跟单信用证，3.2其他与贸易相关的或有项目。</v>
      </c>
      <c r="L1083" s="136" t="str">
        <f>INDEX(数据元说明!A:F,MATCH(I1083,数据元说明!C:C,0),6)</f>
        <v>C..60</v>
      </c>
      <c r="M1083" s="138" t="s">
        <v>3639</v>
      </c>
      <c r="N1083" s="143" t="s">
        <v>57</v>
      </c>
      <c r="O1083" s="99"/>
      <c r="P1083" s="41"/>
    </row>
    <row r="1084" s="61" customFormat="1" ht="30" customHeight="1" outlineLevel="1" spans="1:16">
      <c r="A1084" s="130"/>
      <c r="B1084" s="36"/>
      <c r="C1084" s="25"/>
      <c r="D1084" s="25"/>
      <c r="E1084" s="36"/>
      <c r="F1084" s="135" t="s">
        <v>3640</v>
      </c>
      <c r="G1084" s="136" t="s">
        <v>3641</v>
      </c>
      <c r="H1084" s="137" t="s">
        <v>3642</v>
      </c>
      <c r="I1084" s="135" t="s">
        <v>681</v>
      </c>
      <c r="J1084" s="136" t="str">
        <f>INDEX(数据元说明!A:F,MATCH(I1084,数据元说明!C:C,0),2)</f>
        <v>003028</v>
      </c>
      <c r="K1084" s="138" t="str">
        <f>INDEX(数据元说明!A:F,MATCH(I1084,数据元说明!C:C,0),5)</f>
        <v>合同号。</v>
      </c>
      <c r="L1084" s="136" t="str">
        <f>INDEX(数据元说明!A:F,MATCH(I1084,数据元说明!C:C,0),6)</f>
        <v>C..100</v>
      </c>
      <c r="M1084" s="138" t="s">
        <v>3643</v>
      </c>
      <c r="N1084" s="143" t="s">
        <v>57</v>
      </c>
      <c r="O1084" s="99"/>
      <c r="P1084" s="41"/>
    </row>
    <row r="1085" s="61" customFormat="1" ht="30" customHeight="1" outlineLevel="1" spans="1:16">
      <c r="A1085" s="130"/>
      <c r="B1085" s="36"/>
      <c r="C1085" s="25"/>
      <c r="D1085" s="25"/>
      <c r="E1085" s="36"/>
      <c r="F1085" s="135" t="s">
        <v>624</v>
      </c>
      <c r="G1085" s="136" t="s">
        <v>1989</v>
      </c>
      <c r="H1085" s="137" t="s">
        <v>3644</v>
      </c>
      <c r="I1085" s="135" t="s">
        <v>624</v>
      </c>
      <c r="J1085" s="136" t="str">
        <f>INDEX(数据元说明!A:F,MATCH(I1085,数据元说明!C:C,0),2)</f>
        <v>003014</v>
      </c>
      <c r="K1085" s="138" t="str">
        <f>INDEX(数据元说明!A:F,MATCH(I1085,数据元说明!C:C,0),5)</f>
        <v>遵循《GB/T 12406 表示货币和资金的代码》的字母代码，如CNY。上述文件所列币种无法涵盖的，允许银行自定义填报。多个币种合计折算为人民币（本外币合计）的，填报为BWB。</v>
      </c>
      <c r="L1085" s="136" t="str">
        <f>INDEX(数据元说明!A:F,MATCH(I1085,数据元说明!C:C,0),6)</f>
        <v>C3</v>
      </c>
      <c r="M1085" s="138" t="s">
        <v>3645</v>
      </c>
      <c r="N1085" s="143" t="s">
        <v>57</v>
      </c>
      <c r="O1085" s="99"/>
      <c r="P1085" s="41"/>
    </row>
    <row r="1086" s="61" customFormat="1" ht="30" customHeight="1" outlineLevel="1" spans="1:16">
      <c r="A1086" s="130"/>
      <c r="B1086" s="36"/>
      <c r="C1086" s="25"/>
      <c r="D1086" s="25"/>
      <c r="E1086" s="36"/>
      <c r="F1086" s="135" t="s">
        <v>3646</v>
      </c>
      <c r="G1086" s="136" t="s">
        <v>2762</v>
      </c>
      <c r="H1086" s="137" t="s">
        <v>3647</v>
      </c>
      <c r="I1086" s="135" t="s">
        <v>609</v>
      </c>
      <c r="J1086" s="136" t="str">
        <f>INDEX(数据元说明!A:F,MATCH(I1086,数据元说明!C:C,0),2)</f>
        <v>003010</v>
      </c>
      <c r="K1086" s="138" t="str">
        <f>INDEX(数据元说明!A:F,MATCH(I1086,数据元说明!C:C,0),5)</f>
        <v>与币种相对应金额。</v>
      </c>
      <c r="L1086" s="136" t="str">
        <f>INDEX(数据元说明!A:F,MATCH(I1086,数据元说明!C:C,0),6)</f>
        <v>D20.2</v>
      </c>
      <c r="M1086" s="138" t="s">
        <v>3648</v>
      </c>
      <c r="N1086" s="143" t="s">
        <v>57</v>
      </c>
      <c r="O1086" s="99"/>
      <c r="P1086" s="41"/>
    </row>
    <row r="1087" s="61" customFormat="1" ht="30" customHeight="1" outlineLevel="1" spans="1:16">
      <c r="A1087" s="130"/>
      <c r="B1087" s="36"/>
      <c r="C1087" s="25"/>
      <c r="D1087" s="25"/>
      <c r="E1087" s="36"/>
      <c r="F1087" s="135" t="s">
        <v>3649</v>
      </c>
      <c r="G1087" s="136" t="s">
        <v>2766</v>
      </c>
      <c r="H1087" s="137" t="s">
        <v>3650</v>
      </c>
      <c r="I1087" s="135" t="s">
        <v>613</v>
      </c>
      <c r="J1087" s="136" t="str">
        <f>INDEX(数据元说明!A:F,MATCH(I1087,数据元说明!C:C,0),2)</f>
        <v>003011</v>
      </c>
      <c r="K1087" s="138" t="str">
        <f>INDEX(数据元说明!A:F,MATCH(I1087,数据元说明!C:C,0),5)</f>
        <v>与币种相对应金额。</v>
      </c>
      <c r="L1087" s="136" t="str">
        <f>INDEX(数据元说明!A:F,MATCH(I1087,数据元说明!C:C,0),6)</f>
        <v>D20.2</v>
      </c>
      <c r="M1087" s="138" t="s">
        <v>3651</v>
      </c>
      <c r="N1087" s="143" t="s">
        <v>57</v>
      </c>
      <c r="O1087" s="99"/>
      <c r="P1087" s="41"/>
    </row>
    <row r="1088" s="61" customFormat="1" ht="30" customHeight="1" outlineLevel="1" spans="1:16">
      <c r="A1088" s="130"/>
      <c r="B1088" s="36"/>
      <c r="C1088" s="25"/>
      <c r="D1088" s="25"/>
      <c r="E1088" s="36"/>
      <c r="F1088" s="135" t="s">
        <v>453</v>
      </c>
      <c r="G1088" s="136" t="s">
        <v>1680</v>
      </c>
      <c r="H1088" s="137" t="s">
        <v>3652</v>
      </c>
      <c r="I1088" s="135" t="s">
        <v>453</v>
      </c>
      <c r="J1088" s="136" t="str">
        <f>INDEX(数据元说明!A:F,MATCH(I1088,数据元说明!C:C,0),2)</f>
        <v>002001</v>
      </c>
      <c r="K1088" s="138" t="str">
        <f>INDEX(数据元说明!A:F,MATCH(I1088,数据元说明!C:C,0),5)</f>
        <v>银行自定义的唯一识别客户的标识。供应链融资的填写供应链融资编码。</v>
      </c>
      <c r="L1088" s="136" t="str">
        <f>INDEX(数据元说明!A:F,MATCH(I1088,数据元说明!C:C,0),6)</f>
        <v>C..60</v>
      </c>
      <c r="M1088" s="138" t="s">
        <v>1587</v>
      </c>
      <c r="N1088" s="143" t="s">
        <v>57</v>
      </c>
      <c r="O1088" s="99"/>
      <c r="P1088" s="41"/>
    </row>
    <row r="1089" s="61" customFormat="1" ht="30" customHeight="1" outlineLevel="1" spans="1:16">
      <c r="A1089" s="130"/>
      <c r="B1089" s="36"/>
      <c r="C1089" s="25"/>
      <c r="D1089" s="25"/>
      <c r="E1089" s="36"/>
      <c r="F1089" s="135" t="s">
        <v>1864</v>
      </c>
      <c r="G1089" s="136" t="s">
        <v>1865</v>
      </c>
      <c r="H1089" s="137" t="s">
        <v>3653</v>
      </c>
      <c r="I1089" s="135" t="s">
        <v>628</v>
      </c>
      <c r="J1089" s="136" t="str">
        <f>INDEX(数据元说明!A:F,MATCH(I1089,数据元说明!C:C,0),2)</f>
        <v>003015</v>
      </c>
      <c r="K1089" s="138" t="str">
        <f>INDEX(数据元说明!A:F,MATCH(I1089,数据元说明!C:C,0),5)</f>
        <v>账户归属者的名称。如果客户为个人，则为隐私，银行机构变形，变形规则见《采集技术接口说明》。客户是境内涉密机构的，账户名称填报为“*********”。其他情况，则为非隐私，不做变形。</v>
      </c>
      <c r="L1089" s="136" t="str">
        <f>INDEX(数据元说明!A:F,MATCH(I1089,数据元说明!C:C,0),6)</f>
        <v>C..400</v>
      </c>
      <c r="M1089" s="138" t="s">
        <v>3654</v>
      </c>
      <c r="N1089" s="143" t="s">
        <v>57</v>
      </c>
      <c r="O1089" s="99"/>
      <c r="P1089" s="41"/>
    </row>
    <row r="1090" s="61" customFormat="1" ht="30" customHeight="1" outlineLevel="1" spans="1:16">
      <c r="A1090" s="130"/>
      <c r="B1090" s="36"/>
      <c r="C1090" s="25"/>
      <c r="D1090" s="25"/>
      <c r="E1090" s="36"/>
      <c r="F1090" s="135" t="s">
        <v>3655</v>
      </c>
      <c r="G1090" s="136" t="s">
        <v>3656</v>
      </c>
      <c r="H1090" s="137" t="s">
        <v>3657</v>
      </c>
      <c r="I1090" s="135" t="s">
        <v>302</v>
      </c>
      <c r="J1090" s="136" t="str">
        <f>INDEX(数据元说明!A:F,MATCH(I1090,数据元说明!C:C,0),2)</f>
        <v>001005</v>
      </c>
      <c r="K1090" s="138" t="str">
        <f>INDEX(数据元说明!A:F,MATCH(I1090,数据元说明!C:C,0),5)</f>
        <v>YYYYMMDD，默认值99991231。</v>
      </c>
      <c r="L1090" s="136" t="str">
        <f>INDEX(数据元说明!A:F,MATCH(I1090,数据元说明!C:C,0),6)</f>
        <v>C8</v>
      </c>
      <c r="M1090" s="138"/>
      <c r="N1090" s="143" t="s">
        <v>57</v>
      </c>
      <c r="O1090" s="99"/>
      <c r="P1090" s="41"/>
    </row>
    <row r="1091" s="61" customFormat="1" ht="30" customHeight="1" outlineLevel="1" spans="1:16">
      <c r="A1091" s="130"/>
      <c r="B1091" s="36"/>
      <c r="C1091" s="25"/>
      <c r="D1091" s="25"/>
      <c r="E1091" s="36"/>
      <c r="F1091" s="135" t="s">
        <v>1068</v>
      </c>
      <c r="G1091" s="136" t="s">
        <v>2777</v>
      </c>
      <c r="H1091" s="137" t="s">
        <v>3658</v>
      </c>
      <c r="I1091" s="135" t="s">
        <v>1068</v>
      </c>
      <c r="J1091" s="136" t="str">
        <f>INDEX(数据元说明!A:F,MATCH(I1091,数据元说明!C:C,0),2)</f>
        <v>007015</v>
      </c>
      <c r="K1091" s="138" t="str">
        <f>INDEX(数据元说明!A:F,MATCH(I1091,数据元说明!C:C,0),5)</f>
        <v>未结清，已结清，转让，核销。无法以枚举类型填报的，以“其他-XX”填报，其中“XX”为银行自定义垫款状态。</v>
      </c>
      <c r="L1091" s="136" t="str">
        <f>INDEX(数据元说明!A:F,MATCH(I1091,数据元说明!C:C,0),6)</f>
        <v>C..20</v>
      </c>
      <c r="M1091" s="138"/>
      <c r="N1091" s="143" t="s">
        <v>57</v>
      </c>
      <c r="O1091" s="99"/>
      <c r="P1091" s="41"/>
    </row>
    <row r="1092" s="81" customFormat="1" ht="30" customHeight="1" outlineLevel="1" spans="1:16">
      <c r="A1092" s="134"/>
      <c r="B1092" s="47"/>
      <c r="C1092" s="39"/>
      <c r="D1092" s="39"/>
      <c r="E1092" s="47"/>
      <c r="F1092" s="169" t="s">
        <v>449</v>
      </c>
      <c r="G1092" s="148" t="s">
        <v>1571</v>
      </c>
      <c r="H1092" s="148" t="s">
        <v>3659</v>
      </c>
      <c r="I1092" s="169" t="s">
        <v>449</v>
      </c>
      <c r="J1092" s="170" t="str">
        <f>INDEX(数据元说明!A:F,MATCH(I1092,数据元说明!C:C,0),2)</f>
        <v>001040</v>
      </c>
      <c r="K1092" s="171" t="str">
        <f>INDEX(数据元说明!A:F,MATCH(I1092,数据元说明!C:C,0),5)</f>
        <v>银行自定义。</v>
      </c>
      <c r="L1092" s="170" t="str">
        <f>INDEX(数据元说明!A:F,MATCH(I1092,数据元说明!C:C,0),6)</f>
        <v>C..600</v>
      </c>
      <c r="M1092" s="149" t="s">
        <v>1573</v>
      </c>
      <c r="N1092" s="143" t="s">
        <v>57</v>
      </c>
      <c r="O1092" s="173"/>
      <c r="P1092" s="173"/>
    </row>
    <row r="1093" s="61" customFormat="1" ht="30" customHeight="1" outlineLevel="1" spans="1:16">
      <c r="A1093" s="130"/>
      <c r="B1093" s="36"/>
      <c r="C1093" s="25"/>
      <c r="D1093" s="25"/>
      <c r="E1093" s="36"/>
      <c r="F1093" s="135" t="s">
        <v>1574</v>
      </c>
      <c r="G1093" s="136" t="s">
        <v>1575</v>
      </c>
      <c r="H1093" s="137" t="s">
        <v>3660</v>
      </c>
      <c r="I1093" s="135" t="s">
        <v>302</v>
      </c>
      <c r="J1093" s="136" t="str">
        <f>INDEX(数据元说明!A:F,MATCH(I1093,数据元说明!C:C,0),2)</f>
        <v>001005</v>
      </c>
      <c r="K1093" s="138" t="str">
        <f>INDEX(数据元说明!A:F,MATCH(I1093,数据元说明!C:C,0),5)</f>
        <v>YYYYMMDD，默认值99991231。</v>
      </c>
      <c r="L1093" s="136" t="str">
        <f>INDEX(数据元说明!A:F,MATCH(I1093,数据元说明!C:C,0),6)</f>
        <v>C8</v>
      </c>
      <c r="M1093" s="138" t="s">
        <v>1577</v>
      </c>
      <c r="N1093" s="143" t="s">
        <v>57</v>
      </c>
      <c r="O1093" s="99"/>
      <c r="P1093" s="41"/>
    </row>
    <row r="1094" s="61" customFormat="1" ht="30" customHeight="1" spans="1:16">
      <c r="A1094" s="119" t="s">
        <v>162</v>
      </c>
      <c r="B1094" s="120" t="s">
        <v>163</v>
      </c>
      <c r="C1094" s="202"/>
      <c r="D1094" s="202"/>
      <c r="E1094" s="202"/>
      <c r="F1094" s="122"/>
      <c r="G1094" s="123"/>
      <c r="H1094" s="203"/>
      <c r="I1094" s="122"/>
      <c r="J1094" s="123"/>
      <c r="K1094" s="124"/>
      <c r="L1094" s="123"/>
      <c r="M1094" s="175"/>
      <c r="N1094" s="99"/>
      <c r="O1094" s="99"/>
      <c r="P1094" s="99"/>
    </row>
    <row r="1095" s="81" customFormat="1" ht="30" customHeight="1" spans="1:16">
      <c r="A1095" s="179"/>
      <c r="B1095" s="180"/>
      <c r="C1095" s="37" t="s">
        <v>164</v>
      </c>
      <c r="D1095" s="38" t="s">
        <v>165</v>
      </c>
      <c r="E1095" s="181" t="s">
        <v>166</v>
      </c>
      <c r="F1095" s="182"/>
      <c r="G1095" s="183"/>
      <c r="H1095" s="181"/>
      <c r="I1095" s="182"/>
      <c r="J1095" s="183"/>
      <c r="K1095" s="128"/>
      <c r="L1095" s="183"/>
      <c r="M1095" s="128" t="str">
        <f>INDEX(表结构总览!E:H,MATCH(D1095,表结构总览!E:E,0),4)</f>
        <v>各项表内贷款及表外业务中所签订的各类担保合同信息，至少包括普通担保和最高额担保合同。以保证金形式的担保无需在本表填报，但以存单质押形式的担保需要填报。本表反映被担保合同和担保合同之间的关系，为多对多关系表，一个担保合同担保多个业务合同的，需按多笔填报，多个担保合同担保一个合同的，也需按多笔填报。失效的担保合同于次月不再报送。</v>
      </c>
      <c r="N1095" s="140" t="s">
        <v>25</v>
      </c>
      <c r="O1095" s="140"/>
      <c r="P1095" s="205"/>
    </row>
    <row r="1096" ht="30" customHeight="1" outlineLevel="1" spans="1:16">
      <c r="A1096" s="159"/>
      <c r="B1096" s="160"/>
      <c r="E1096" s="94"/>
      <c r="F1096" s="97" t="s">
        <v>325</v>
      </c>
      <c r="G1096" s="29" t="s">
        <v>1520</v>
      </c>
      <c r="H1096" s="96" t="s">
        <v>3661</v>
      </c>
      <c r="I1096" s="97" t="s">
        <v>325</v>
      </c>
      <c r="J1096" s="29" t="str">
        <f>INDEX(数据元说明!A:F,MATCH(I1096,数据元说明!C:C,0),2)</f>
        <v>001010</v>
      </c>
      <c r="K1096" s="98" t="str">
        <f>INDEX(数据元说明!A:F,MATCH(I1096,数据元说明!C:C,0),5)</f>
        <v>12位人行支付行号或SWIFT行号。</v>
      </c>
      <c r="L1096" s="29" t="str">
        <f>INDEX(数据元说明!A:F,MATCH(I1096,数据元说明!C:C,0),6)</f>
        <v>C..30</v>
      </c>
      <c r="M1096" s="98" t="s">
        <v>1579</v>
      </c>
    </row>
    <row r="1097" s="61" customFormat="1" ht="30" customHeight="1" outlineLevel="1" spans="1:16">
      <c r="A1097" s="130"/>
      <c r="B1097" s="36"/>
      <c r="C1097" s="25"/>
      <c r="D1097" s="25"/>
      <c r="E1097" s="36"/>
      <c r="F1097" s="131" t="s">
        <v>329</v>
      </c>
      <c r="G1097" s="31" t="s">
        <v>1526</v>
      </c>
      <c r="H1097" s="96" t="s">
        <v>3662</v>
      </c>
      <c r="I1097" s="131" t="s">
        <v>329</v>
      </c>
      <c r="J1097" s="31" t="str">
        <f>INDEX(数据元说明!A:F,MATCH(I1097,数据元说明!C:C,0),2)</f>
        <v>001011</v>
      </c>
      <c r="K1097" s="133" t="str">
        <f>INDEX(数据元说明!A:F,MATCH(I1097,数据元说明!C:C,0),5)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097" s="31" t="str">
        <f>INDEX(数据元说明!A:F,MATCH(I1097,数据元说明!C:C,0),6)</f>
        <v>C..30</v>
      </c>
      <c r="M1097" s="133" t="s">
        <v>3204</v>
      </c>
      <c r="N1097" s="99"/>
      <c r="O1097" s="99"/>
      <c r="P1097" s="99"/>
    </row>
    <row r="1098" ht="30" customHeight="1" outlineLevel="1" spans="1:16">
      <c r="A1098" s="159"/>
      <c r="B1098" s="160"/>
      <c r="E1098" s="94"/>
      <c r="F1098" s="97" t="s">
        <v>333</v>
      </c>
      <c r="G1098" s="29" t="s">
        <v>1523</v>
      </c>
      <c r="H1098" s="96" t="s">
        <v>3663</v>
      </c>
      <c r="I1098" s="97" t="s">
        <v>333</v>
      </c>
      <c r="J1098" s="29" t="str">
        <f>INDEX(数据元说明!A:F,MATCH(I1098,数据元说明!C:C,0),2)</f>
        <v>001012</v>
      </c>
      <c r="K1098" s="98" t="str">
        <f>INDEX(数据元说明!A:F,MATCH(I1098,数据元说明!C:C,0),5)</f>
        <v>银行内部机构号。应具有标识机构的唯一性。</v>
      </c>
      <c r="L1098" s="29" t="str">
        <f>INDEX(数据元说明!A:F,MATCH(I1098,数据元说明!C:C,0),6)</f>
        <v>C..30</v>
      </c>
      <c r="M1098" s="98" t="s">
        <v>1834</v>
      </c>
    </row>
    <row r="1099" s="81" customFormat="1" ht="30" customHeight="1" outlineLevel="1" spans="1:16">
      <c r="A1099" s="167"/>
      <c r="B1099" s="168"/>
      <c r="C1099" s="156"/>
      <c r="D1099" s="156"/>
      <c r="E1099" s="155"/>
      <c r="F1099" s="157" t="s">
        <v>3664</v>
      </c>
      <c r="G1099" s="43" t="s">
        <v>3665</v>
      </c>
      <c r="H1099" s="153" t="s">
        <v>3666</v>
      </c>
      <c r="I1099" s="157" t="s">
        <v>681</v>
      </c>
      <c r="J1099" s="43" t="str">
        <f>INDEX(数据元说明!A:F,MATCH(I1099,数据元说明!C:C,0),2)</f>
        <v>003028</v>
      </c>
      <c r="K1099" s="158" t="str">
        <f>INDEX(数据元说明!A:F,MATCH(I1099,数据元说明!C:C,0),5)</f>
        <v>合同号。</v>
      </c>
      <c r="L1099" s="43" t="str">
        <f>INDEX(数据元说明!A:F,MATCH(I1099,数据元说明!C:C,0),6)</f>
        <v>C..100</v>
      </c>
      <c r="M1099" s="158" t="s">
        <v>3667</v>
      </c>
      <c r="N1099" s="129" t="s">
        <v>25</v>
      </c>
      <c r="O1099" s="139" t="s">
        <v>449</v>
      </c>
      <c r="P1099" s="206" t="s">
        <v>1588</v>
      </c>
    </row>
    <row r="1100" s="81" customFormat="1" ht="30" customHeight="1" outlineLevel="1" spans="1:16">
      <c r="A1100" s="141"/>
      <c r="B1100" s="142"/>
      <c r="C1100" s="39"/>
      <c r="D1100" s="39"/>
      <c r="E1100" s="47"/>
      <c r="F1100" s="135" t="s">
        <v>847</v>
      </c>
      <c r="G1100" s="136" t="s">
        <v>3668</v>
      </c>
      <c r="H1100" s="153" t="s">
        <v>3669</v>
      </c>
      <c r="I1100" s="135" t="s">
        <v>847</v>
      </c>
      <c r="J1100" s="407" t="str">
        <f>INDEX(数据元说明!A:F,MATCH(I1100,数据元说明!C:C,0),2)</f>
        <v>005028</v>
      </c>
      <c r="K1100" s="158" t="str">
        <f>INDEX(数据元说明!A:F,MATCH(I1100,数据元说明!C:C,0),5)</f>
        <v>表内信贷，承兑汇票，保函，信用证，贷款承诺，委托贷款，其他-银行自定义。若无法以枚举类型填写，则以“其他-XX”填报，其中“XX”为银行自定义类型。</v>
      </c>
      <c r="L1100" s="43" t="str">
        <f>INDEX(数据元说明!A:F,MATCH(I1100,数据元说明!C:C,0),6)</f>
        <v>C..30</v>
      </c>
      <c r="M1100" s="138"/>
      <c r="N1100" s="143" t="s">
        <v>57</v>
      </c>
      <c r="O1100" s="139"/>
      <c r="P1100" s="206"/>
    </row>
    <row r="1101" s="81" customFormat="1" ht="30" customHeight="1" outlineLevel="1" spans="1:16">
      <c r="A1101" s="167"/>
      <c r="B1101" s="168"/>
      <c r="C1101" s="156"/>
      <c r="D1101" s="156"/>
      <c r="E1101" s="155"/>
      <c r="F1101" s="157" t="s">
        <v>3670</v>
      </c>
      <c r="G1101" s="43" t="s">
        <v>3671</v>
      </c>
      <c r="H1101" s="153" t="s">
        <v>3672</v>
      </c>
      <c r="I1101" s="157" t="s">
        <v>681</v>
      </c>
      <c r="J1101" s="43" t="str">
        <f>INDEX(数据元说明!A:F,MATCH(I1101,数据元说明!C:C,0),2)</f>
        <v>003028</v>
      </c>
      <c r="K1101" s="158" t="str">
        <f>INDEX(数据元说明!A:F,MATCH(I1101,数据元说明!C:C,0),5)</f>
        <v>合同号。</v>
      </c>
      <c r="L1101" s="43" t="str">
        <f>INDEX(数据元说明!A:F,MATCH(I1101,数据元说明!C:C,0),6)</f>
        <v>C..100</v>
      </c>
      <c r="M1101" s="158" t="s">
        <v>3673</v>
      </c>
      <c r="N1101" s="129" t="s">
        <v>25</v>
      </c>
      <c r="O1101" s="139" t="s">
        <v>449</v>
      </c>
      <c r="P1101" s="206" t="s">
        <v>1588</v>
      </c>
    </row>
    <row r="1102" s="61" customFormat="1" ht="30" customHeight="1" outlineLevel="1" spans="1:16">
      <c r="A1102" s="130"/>
      <c r="B1102" s="36"/>
      <c r="C1102" s="25"/>
      <c r="D1102" s="25"/>
      <c r="E1102" s="36"/>
      <c r="F1102" s="131" t="s">
        <v>855</v>
      </c>
      <c r="G1102" s="31" t="s">
        <v>3674</v>
      </c>
      <c r="H1102" s="96" t="s">
        <v>3675</v>
      </c>
      <c r="I1102" s="131" t="s">
        <v>855</v>
      </c>
      <c r="J1102" s="409" t="str">
        <f>INDEX(数据元说明!A:F,MATCH(I1102,数据元说明!C:C,0),2)</f>
        <v>005030</v>
      </c>
      <c r="K1102" s="133" t="str">
        <f>INDEX(数据元说明!A:F,MATCH(I1102,数据元说明!C:C,0),5)</f>
        <v>一般担保合同，最高额担保合同。</v>
      </c>
      <c r="L1102" s="31" t="str">
        <f>INDEX(数据元说明!A:F,MATCH(I1102,数据元说明!C:C,0),6)</f>
        <v>C..30</v>
      </c>
      <c r="M1102" s="133"/>
      <c r="N1102" s="99"/>
      <c r="O1102" s="99"/>
      <c r="P1102" s="41"/>
    </row>
    <row r="1103" ht="30" customHeight="1" outlineLevel="1" spans="1:16">
      <c r="A1103" s="159"/>
      <c r="B1103" s="160"/>
      <c r="E1103" s="94"/>
      <c r="F1103" s="97" t="s">
        <v>851</v>
      </c>
      <c r="G1103" s="29" t="s">
        <v>3676</v>
      </c>
      <c r="H1103" s="96" t="s">
        <v>3677</v>
      </c>
      <c r="I1103" s="97" t="s">
        <v>851</v>
      </c>
      <c r="J1103" s="408" t="str">
        <f>INDEX(数据元说明!A:F,MATCH(I1103,数据元说明!C:C,0),2)</f>
        <v>005029</v>
      </c>
      <c r="K1103" s="98" t="str">
        <f>INDEX(数据元说明!A:F,MATCH(I1103,数据元说明!C:C,0),5)</f>
        <v>抵押，质押，单人保证，多人保证，多人联保，多人分保，混合。其中：
单人保证是指（一个或多个）保证人分别签订一份保证合同为借款人作担保，每份保证合同确定每个人应承担的实际担保金额。借款人被担保的金额为上述保证合同金额的合计数。
多人保证指多个保证人分别为一个借款人签订独立的保证合同，每个保证人都承担相同的保证合同中签订的总担保金额。
多人联保是指多人共同签订一份保证合同为借款人作担保，并且规定每个保证人都承担相同的保证合同中签订的总担保金额。
多人分保是指多人共同签订一份保证合同为借款人作担保，并且在保证合同中规定每个人应承担的实际担保金额。</v>
      </c>
      <c r="L1103" s="29" t="str">
        <f>INDEX(数据元说明!A:F,MATCH(I1103,数据元说明!C:C,0),6)</f>
        <v>C..30</v>
      </c>
    </row>
    <row r="1104" s="81" customFormat="1" ht="30" customHeight="1" outlineLevel="1" spans="1:16">
      <c r="A1104" s="154"/>
      <c r="B1104" s="155"/>
      <c r="C1104" s="156"/>
      <c r="D1104" s="156"/>
      <c r="E1104" s="155"/>
      <c r="F1104" s="157" t="s">
        <v>3678</v>
      </c>
      <c r="G1104" s="43" t="s">
        <v>3679</v>
      </c>
      <c r="H1104" s="153" t="s">
        <v>3680</v>
      </c>
      <c r="I1104" s="157" t="s">
        <v>624</v>
      </c>
      <c r="J1104" s="43" t="str">
        <f>INDEX(数据元说明!A:F,MATCH(I1104,数据元说明!C:C,0),2)</f>
        <v>003014</v>
      </c>
      <c r="K1104" s="158" t="str">
        <f>INDEX(数据元说明!A:F,MATCH(I1104,数据元说明!C:C,0),5)</f>
        <v>遵循《GB/T 12406 表示货币和资金的代码》的字母代码，如CNY。上述文件所列币种无法涵盖的，允许银行自定义填报。多个币种合计折算为人民币（本外币合计）的，填报为BWB。</v>
      </c>
      <c r="L1104" s="43" t="str">
        <f>INDEX(数据元说明!A:F,MATCH(I1104,数据元说明!C:C,0),6)</f>
        <v>C3</v>
      </c>
      <c r="M1104" s="158" t="s">
        <v>3681</v>
      </c>
      <c r="N1104" s="140" t="s">
        <v>57</v>
      </c>
      <c r="O1104" s="140"/>
      <c r="P1104" s="205"/>
    </row>
    <row r="1105" s="81" customFormat="1" ht="30" customHeight="1" outlineLevel="1" spans="1:16">
      <c r="A1105" s="167"/>
      <c r="B1105" s="168"/>
      <c r="C1105" s="156"/>
      <c r="D1105" s="156"/>
      <c r="E1105" s="155"/>
      <c r="F1105" s="157" t="s">
        <v>3682</v>
      </c>
      <c r="G1105" s="43" t="s">
        <v>3683</v>
      </c>
      <c r="H1105" s="153" t="s">
        <v>3684</v>
      </c>
      <c r="I1105" s="157" t="s">
        <v>609</v>
      </c>
      <c r="J1105" s="43" t="str">
        <f>INDEX(数据元说明!A:F,MATCH(I1105,数据元说明!C:C,0),2)</f>
        <v>003010</v>
      </c>
      <c r="K1105" s="158" t="str">
        <f>INDEX(数据元说明!A:F,MATCH(I1105,数据元说明!C:C,0),5)</f>
        <v>与币种相对应金额。</v>
      </c>
      <c r="L1105" s="43" t="str">
        <f>INDEX(数据元说明!A:F,MATCH(I1105,数据元说明!C:C,0),6)</f>
        <v>D20.2</v>
      </c>
      <c r="M1105" s="158" t="s">
        <v>3685</v>
      </c>
      <c r="N1105" s="140" t="s">
        <v>25</v>
      </c>
      <c r="O1105" s="139" t="s">
        <v>449</v>
      </c>
      <c r="P1105" s="205"/>
    </row>
    <row r="1106" ht="30" customHeight="1" outlineLevel="1" spans="1:16">
      <c r="A1106" s="159"/>
      <c r="B1106" s="160"/>
      <c r="E1106" s="94"/>
      <c r="F1106" s="97" t="s">
        <v>3686</v>
      </c>
      <c r="G1106" s="29" t="s">
        <v>3687</v>
      </c>
      <c r="H1106" s="96" t="s">
        <v>3688</v>
      </c>
      <c r="I1106" s="97" t="s">
        <v>302</v>
      </c>
      <c r="J1106" s="29" t="str">
        <f>INDEX(数据元说明!A:F,MATCH(I1106,数据元说明!C:C,0),2)</f>
        <v>001005</v>
      </c>
      <c r="K1106" s="98" t="str">
        <f>INDEX(数据元说明!A:F,MATCH(I1106,数据元说明!C:C,0),5)</f>
        <v>YYYYMMDD，默认值99991231。</v>
      </c>
      <c r="L1106" s="29" t="str">
        <f>INDEX(数据元说明!A:F,MATCH(I1106,数据元说明!C:C,0),6)</f>
        <v>C8</v>
      </c>
      <c r="M1106" s="98" t="s">
        <v>3689</v>
      </c>
      <c r="N1106" s="33"/>
      <c r="O1106" s="33"/>
      <c r="P1106" s="204"/>
    </row>
    <row r="1107" ht="30" customHeight="1" outlineLevel="1" spans="1:16">
      <c r="A1107" s="159"/>
      <c r="B1107" s="160"/>
      <c r="E1107" s="94"/>
      <c r="F1107" s="97" t="s">
        <v>3690</v>
      </c>
      <c r="G1107" s="29" t="s">
        <v>3691</v>
      </c>
      <c r="H1107" s="96" t="s">
        <v>3692</v>
      </c>
      <c r="I1107" s="97" t="s">
        <v>302</v>
      </c>
      <c r="J1107" s="29" t="str">
        <f>INDEX(数据元说明!A:F,MATCH(I1107,数据元说明!C:C,0),2)</f>
        <v>001005</v>
      </c>
      <c r="K1107" s="98" t="str">
        <f>INDEX(数据元说明!A:F,MATCH(I1107,数据元说明!C:C,0),5)</f>
        <v>YYYYMMDD，默认值99991231。</v>
      </c>
      <c r="L1107" s="29" t="str">
        <f>INDEX(数据元说明!A:F,MATCH(I1107,数据元说明!C:C,0),6)</f>
        <v>C8</v>
      </c>
      <c r="M1107" s="98" t="s">
        <v>3693</v>
      </c>
      <c r="N1107" s="33"/>
      <c r="O1107" s="33"/>
      <c r="P1107" s="204"/>
    </row>
    <row r="1108" s="81" customFormat="1" ht="30" customHeight="1" outlineLevel="1" spans="1:16">
      <c r="A1108" s="167"/>
      <c r="B1108" s="168"/>
      <c r="C1108" s="156"/>
      <c r="D1108" s="156"/>
      <c r="E1108" s="155"/>
      <c r="F1108" s="157" t="s">
        <v>3694</v>
      </c>
      <c r="G1108" s="43" t="s">
        <v>3695</v>
      </c>
      <c r="H1108" s="153" t="s">
        <v>3696</v>
      </c>
      <c r="I1108" s="157" t="s">
        <v>349</v>
      </c>
      <c r="J1108" s="43" t="str">
        <f>INDEX(数据元说明!A:F,MATCH(I1108,数据元说明!C:C,0),2)</f>
        <v>001016</v>
      </c>
      <c r="K1108" s="158" t="str">
        <f>INDEX(数据元说明!A:F,MATCH(I1108,数据元说明!C:C,0),5)</f>
        <v>工号，银行自定义。</v>
      </c>
      <c r="L1108" s="43" t="str">
        <f>INDEX(数据元说明!A:F,MATCH(I1108,数据元说明!C:C,0),6)</f>
        <v>C..30</v>
      </c>
      <c r="M1108" s="158" t="s">
        <v>3697</v>
      </c>
      <c r="N1108" s="129" t="s">
        <v>25</v>
      </c>
      <c r="O1108" s="139" t="s">
        <v>2290</v>
      </c>
      <c r="P1108" s="205"/>
    </row>
    <row r="1109" s="81" customFormat="1" ht="30" customHeight="1" outlineLevel="1" spans="1:16">
      <c r="A1109" s="154"/>
      <c r="B1109" s="155"/>
      <c r="C1109" s="156"/>
      <c r="D1109" s="156"/>
      <c r="E1109" s="155"/>
      <c r="F1109" s="157" t="s">
        <v>862</v>
      </c>
      <c r="G1109" s="43" t="s">
        <v>3698</v>
      </c>
      <c r="H1109" s="153" t="s">
        <v>3699</v>
      </c>
      <c r="I1109" s="157" t="s">
        <v>862</v>
      </c>
      <c r="J1109" s="407" t="str">
        <f>INDEX(数据元说明!A:F,MATCH(I1109,数据元说明!C:C,0),2)</f>
        <v>005032</v>
      </c>
      <c r="K1109" s="158" t="str">
        <f>INDEX(数据元说明!A:F,MATCH(I1109,数据元说明!C:C,0),5)</f>
        <v>有效，失效。</v>
      </c>
      <c r="L1109" s="43" t="str">
        <f>INDEX(数据元说明!A:F,MATCH(I1109,数据元说明!C:C,0),6)</f>
        <v>C6</v>
      </c>
      <c r="M1109" s="162"/>
      <c r="N1109" s="230" t="s">
        <v>25</v>
      </c>
      <c r="O1109" s="230" t="s">
        <v>3700</v>
      </c>
      <c r="P1109" s="205"/>
    </row>
    <row r="1110" s="81" customFormat="1" ht="30" customHeight="1" outlineLevel="1" spans="1:16">
      <c r="A1110" s="134"/>
      <c r="B1110" s="47"/>
      <c r="C1110" s="39"/>
      <c r="D1110" s="39"/>
      <c r="E1110" s="47"/>
      <c r="F1110" s="169" t="s">
        <v>449</v>
      </c>
      <c r="G1110" s="148" t="s">
        <v>1571</v>
      </c>
      <c r="H1110" s="148" t="s">
        <v>3701</v>
      </c>
      <c r="I1110" s="169" t="s">
        <v>449</v>
      </c>
      <c r="J1110" s="170" t="str">
        <f>INDEX(数据元说明!A:F,MATCH(I1110,数据元说明!C:C,0),2)</f>
        <v>001040</v>
      </c>
      <c r="K1110" s="171" t="str">
        <f>INDEX(数据元说明!A:F,MATCH(I1110,数据元说明!C:C,0),5)</f>
        <v>银行自定义。</v>
      </c>
      <c r="L1110" s="170" t="str">
        <f>INDEX(数据元说明!A:F,MATCH(I1110,数据元说明!C:C,0),6)</f>
        <v>C..600</v>
      </c>
      <c r="M1110" s="149" t="s">
        <v>1573</v>
      </c>
      <c r="N1110" s="143" t="s">
        <v>57</v>
      </c>
      <c r="O1110" s="173"/>
      <c r="P1110" s="173"/>
    </row>
    <row r="1111" ht="30" customHeight="1" outlineLevel="1" spans="1:16">
      <c r="E1111" s="94"/>
      <c r="F1111" s="97" t="s">
        <v>1574</v>
      </c>
      <c r="G1111" s="29" t="s">
        <v>1575</v>
      </c>
      <c r="H1111" s="96" t="s">
        <v>3702</v>
      </c>
      <c r="I1111" s="97" t="s">
        <v>302</v>
      </c>
      <c r="J1111" s="29" t="str">
        <f>INDEX(数据元说明!A:F,MATCH(I1111,数据元说明!C:C,0),2)</f>
        <v>001005</v>
      </c>
      <c r="K1111" s="98" t="str">
        <f>INDEX(数据元说明!A:F,MATCH(I1111,数据元说明!C:C,0),5)</f>
        <v>YYYYMMDD，默认值99991231。</v>
      </c>
      <c r="L1111" s="29" t="str">
        <f>INDEX(数据元说明!A:F,MATCH(I1111,数据元说明!C:C,0),6)</f>
        <v>C8</v>
      </c>
      <c r="M1111" s="98" t="s">
        <v>1577</v>
      </c>
    </row>
    <row r="1112" s="81" customFormat="1" ht="30" customHeight="1" spans="1:16">
      <c r="A1112" s="179"/>
      <c r="B1112" s="180"/>
      <c r="C1112" s="37" t="s">
        <v>168</v>
      </c>
      <c r="D1112" s="38" t="s">
        <v>169</v>
      </c>
      <c r="E1112" s="181" t="s">
        <v>170</v>
      </c>
      <c r="F1112" s="182"/>
      <c r="G1112" s="183"/>
      <c r="H1112" s="181"/>
      <c r="I1112" s="182"/>
      <c r="J1112" s="183"/>
      <c r="K1112" s="128"/>
      <c r="L1112" s="183"/>
      <c r="M1112" s="128" t="str">
        <f>INDEX(表结构总览!E:H,MATCH(D1112,表结构总览!E:E,0),4)</f>
        <v>担保合同中约定的担保人信息。担保类型为抵押和质押的，担保人应填写抵质押物所有权人；担保类型为保证的，担保人应填写保证人。同一份担保合同有多个担保人的，每个担保人填写一条记录。失效担保合同的担保人于次月不再报送。</v>
      </c>
      <c r="N1112" s="230" t="s">
        <v>25</v>
      </c>
      <c r="O1112" s="230" t="s">
        <v>20</v>
      </c>
      <c r="P1112" s="139"/>
    </row>
    <row r="1113" ht="30" customHeight="1" outlineLevel="1" spans="1:16">
      <c r="A1113" s="159"/>
      <c r="B1113" s="160"/>
      <c r="E1113" s="94"/>
      <c r="F1113" s="97" t="s">
        <v>325</v>
      </c>
      <c r="G1113" s="29" t="s">
        <v>1520</v>
      </c>
      <c r="H1113" s="96" t="s">
        <v>3703</v>
      </c>
      <c r="I1113" s="97" t="s">
        <v>325</v>
      </c>
      <c r="J1113" s="29" t="str">
        <f>INDEX(数据元说明!A:F,MATCH(I1113,数据元说明!C:C,0),2)</f>
        <v>001010</v>
      </c>
      <c r="K1113" s="98" t="str">
        <f>INDEX(数据元说明!A:F,MATCH(I1113,数据元说明!C:C,0),5)</f>
        <v>12位人行支付行号或SWIFT行号。</v>
      </c>
      <c r="L1113" s="29" t="str">
        <f>INDEX(数据元说明!A:F,MATCH(I1113,数据元说明!C:C,0),6)</f>
        <v>C..30</v>
      </c>
      <c r="M1113" s="98" t="s">
        <v>1579</v>
      </c>
    </row>
    <row r="1114" s="61" customFormat="1" ht="30" customHeight="1" outlineLevel="1" spans="1:16">
      <c r="A1114" s="130"/>
      <c r="B1114" s="36"/>
      <c r="C1114" s="25"/>
      <c r="D1114" s="25"/>
      <c r="E1114" s="36"/>
      <c r="F1114" s="131" t="s">
        <v>329</v>
      </c>
      <c r="G1114" s="31" t="s">
        <v>1526</v>
      </c>
      <c r="H1114" s="96" t="s">
        <v>3704</v>
      </c>
      <c r="I1114" s="131" t="s">
        <v>329</v>
      </c>
      <c r="J1114" s="31" t="str">
        <f>INDEX(数据元说明!A:F,MATCH(I1114,数据元说明!C:C,0),2)</f>
        <v>001011</v>
      </c>
      <c r="K1114" s="133" t="str">
        <f>INDEX(数据元说明!A:F,MATCH(I1114,数据元说明!C:C,0),5)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14" s="31" t="str">
        <f>INDEX(数据元说明!A:F,MATCH(I1114,数据元说明!C:C,0),6)</f>
        <v>C..30</v>
      </c>
      <c r="M1114" s="133" t="s">
        <v>3204</v>
      </c>
      <c r="N1114" s="99"/>
      <c r="O1114" s="99"/>
      <c r="P1114" s="99"/>
    </row>
    <row r="1115" ht="30" customHeight="1" outlineLevel="1" spans="1:16">
      <c r="A1115" s="159"/>
      <c r="B1115" s="160"/>
      <c r="E1115" s="94"/>
      <c r="F1115" s="97" t="s">
        <v>333</v>
      </c>
      <c r="G1115" s="29" t="s">
        <v>1523</v>
      </c>
      <c r="H1115" s="96" t="s">
        <v>3705</v>
      </c>
      <c r="I1115" s="97" t="s">
        <v>333</v>
      </c>
      <c r="J1115" s="29" t="str">
        <f>INDEX(数据元说明!A:F,MATCH(I1115,数据元说明!C:C,0),2)</f>
        <v>001012</v>
      </c>
      <c r="K1115" s="98" t="str">
        <f>INDEX(数据元说明!A:F,MATCH(I1115,数据元说明!C:C,0),5)</f>
        <v>银行内部机构号。应具有标识机构的唯一性。</v>
      </c>
      <c r="L1115" s="29" t="str">
        <f>INDEX(数据元说明!A:F,MATCH(I1115,数据元说明!C:C,0),6)</f>
        <v>C..30</v>
      </c>
      <c r="M1115" s="98" t="s">
        <v>1834</v>
      </c>
    </row>
    <row r="1116" s="81" customFormat="1" ht="30" customHeight="1" outlineLevel="1" spans="1:16">
      <c r="A1116" s="167"/>
      <c r="B1116" s="168"/>
      <c r="C1116" s="156"/>
      <c r="D1116" s="156"/>
      <c r="E1116" s="155"/>
      <c r="F1116" s="157" t="s">
        <v>3670</v>
      </c>
      <c r="G1116" s="43" t="s">
        <v>3671</v>
      </c>
      <c r="H1116" s="153" t="s">
        <v>3706</v>
      </c>
      <c r="I1116" s="157" t="s">
        <v>681</v>
      </c>
      <c r="J1116" s="43" t="str">
        <f>INDEX(数据元说明!A:F,MATCH(I1116,数据元说明!C:C,0),2)</f>
        <v>003028</v>
      </c>
      <c r="K1116" s="158" t="str">
        <f>INDEX(数据元说明!A:F,MATCH(I1116,数据元说明!C:C,0),5)</f>
        <v>合同号。</v>
      </c>
      <c r="L1116" s="43" t="str">
        <f>INDEX(数据元说明!A:F,MATCH(I1116,数据元说明!C:C,0),6)</f>
        <v>C..100</v>
      </c>
      <c r="M1116" s="158" t="s">
        <v>3707</v>
      </c>
      <c r="N1116" s="129" t="s">
        <v>25</v>
      </c>
      <c r="O1116" s="206" t="s">
        <v>449</v>
      </c>
      <c r="P1116" s="206" t="s">
        <v>1588</v>
      </c>
    </row>
    <row r="1117" s="81" customFormat="1" ht="30" customHeight="1" outlineLevel="1" spans="1:16">
      <c r="A1117" s="154"/>
      <c r="B1117" s="155"/>
      <c r="C1117" s="156"/>
      <c r="D1117" s="156"/>
      <c r="E1117" s="155"/>
      <c r="F1117" s="157" t="s">
        <v>859</v>
      </c>
      <c r="G1117" s="43" t="s">
        <v>3708</v>
      </c>
      <c r="H1117" s="153" t="s">
        <v>3709</v>
      </c>
      <c r="I1117" s="157" t="s">
        <v>859</v>
      </c>
      <c r="J1117" s="407" t="str">
        <f>INDEX(数据元说明!A:F,MATCH(I1117,数据元说明!C:C,0),2)</f>
        <v>005031</v>
      </c>
      <c r="K1117" s="158" t="str">
        <f>INDEX(数据元说明!A:F,MATCH(I1117,数据元说明!C:C,0),5)</f>
        <v>对公，个人。</v>
      </c>
      <c r="L1117" s="43" t="str">
        <f>INDEX(数据元说明!A:F,MATCH(I1117,数据元说明!C:C,0),6)</f>
        <v>C6</v>
      </c>
      <c r="M1117" s="158"/>
      <c r="N1117" s="230" t="s">
        <v>25</v>
      </c>
      <c r="O1117" s="230" t="s">
        <v>3700</v>
      </c>
      <c r="P1117" s="205"/>
    </row>
    <row r="1118" ht="30" customHeight="1" outlineLevel="1" spans="1:16">
      <c r="E1118" s="94"/>
      <c r="F1118" s="157" t="s">
        <v>3710</v>
      </c>
      <c r="G1118" s="43" t="s">
        <v>3711</v>
      </c>
      <c r="H1118" s="153" t="s">
        <v>3712</v>
      </c>
      <c r="I1118" s="157" t="s">
        <v>282</v>
      </c>
      <c r="J1118" s="43" t="str">
        <f>INDEX(数据元说明!A:F,MATCH(I1118,数据元说明!C:C,0),2)</f>
        <v>001001</v>
      </c>
      <c r="K1118" s="158" t="str">
        <f>INDEX(数据元说明!A:F,MATCH(I1118,数据元说明!C:C,0),5)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118" s="43" t="str">
        <f>INDEX(数据元说明!A:F,MATCH(I1118,数据元说明!C:C,0),6)</f>
        <v>C..400</v>
      </c>
      <c r="M1118" s="158" t="s">
        <v>3713</v>
      </c>
      <c r="N1118" s="139" t="s">
        <v>25</v>
      </c>
      <c r="O1118" s="139" t="s">
        <v>1613</v>
      </c>
      <c r="P1118" s="205"/>
    </row>
    <row r="1119" s="81" customFormat="1" ht="30" customHeight="1" outlineLevel="1" spans="1:16">
      <c r="A1119" s="154"/>
      <c r="B1119" s="155"/>
      <c r="C1119" s="156"/>
      <c r="D1119" s="156"/>
      <c r="E1119" s="155"/>
      <c r="F1119" s="157" t="s">
        <v>3714</v>
      </c>
      <c r="G1119" s="43" t="s">
        <v>2448</v>
      </c>
      <c r="H1119" s="153" t="s">
        <v>3715</v>
      </c>
      <c r="I1119" s="157" t="s">
        <v>457</v>
      </c>
      <c r="J1119" s="43" t="str">
        <f>INDEX(数据元说明!A:F,MATCH(I1119,数据元说明!C:C,0),2)</f>
        <v>002002</v>
      </c>
      <c r="K1119" s="158" t="str">
        <f>INDEX(数据元说明!A:F,MATCH(I1119,数据元说明!C:C,0),5)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119" s="43" t="str">
        <f>INDEX(数据元说明!A:F,MATCH(I1119,数据元说明!C:C,0),6)</f>
        <v>C..60</v>
      </c>
      <c r="M1119" s="158" t="s">
        <v>3716</v>
      </c>
      <c r="N1119" s="139" t="s">
        <v>25</v>
      </c>
      <c r="O1119" s="139" t="s">
        <v>280</v>
      </c>
      <c r="P1119" s="205"/>
    </row>
    <row r="1120" s="81" customFormat="1" ht="30" customHeight="1" outlineLevel="1" spans="1:16">
      <c r="A1120" s="154"/>
      <c r="B1120" s="155"/>
      <c r="C1120" s="156"/>
      <c r="D1120" s="156"/>
      <c r="E1120" s="155"/>
      <c r="F1120" s="157" t="s">
        <v>3717</v>
      </c>
      <c r="G1120" s="43" t="s">
        <v>2452</v>
      </c>
      <c r="H1120" s="153" t="s">
        <v>3718</v>
      </c>
      <c r="I1120" s="157" t="s">
        <v>461</v>
      </c>
      <c r="J1120" s="43" t="str">
        <f>INDEX(数据元说明!A:F,MATCH(I1120,数据元说明!C:C,0),2)</f>
        <v>002003</v>
      </c>
      <c r="K1120" s="158" t="str">
        <f>INDEX(数据元说明!A:F,MATCH(I1120,数据元说明!C:C,0),5)</f>
        <v>与证件类别对应的证件号码。涉及个人身份证件时需按照本规范给定规则进行脱敏处理。</v>
      </c>
      <c r="L1120" s="43" t="str">
        <f>INDEX(数据元说明!A:F,MATCH(I1120,数据元说明!C:C,0),6)</f>
        <v>C..70</v>
      </c>
      <c r="M1120" s="158" t="s">
        <v>2386</v>
      </c>
      <c r="N1120" s="140" t="s">
        <v>25</v>
      </c>
      <c r="O1120" s="140" t="s">
        <v>280</v>
      </c>
      <c r="P1120" s="205"/>
    </row>
    <row r="1121" s="81" customFormat="1" ht="30" customHeight="1" outlineLevel="1" spans="1:16">
      <c r="A1121" s="154"/>
      <c r="B1121" s="155"/>
      <c r="C1121" s="156"/>
      <c r="D1121" s="156"/>
      <c r="E1121" s="155"/>
      <c r="F1121" s="157" t="s">
        <v>3719</v>
      </c>
      <c r="G1121" s="43" t="s">
        <v>3720</v>
      </c>
      <c r="H1121" s="153" t="s">
        <v>3721</v>
      </c>
      <c r="I1121" s="157" t="s">
        <v>624</v>
      </c>
      <c r="J1121" s="43" t="str">
        <f>INDEX(数据元说明!A:F,MATCH(I1121,数据元说明!C:C,0),2)</f>
        <v>003014</v>
      </c>
      <c r="K1121" s="158" t="str">
        <f>INDEX(数据元说明!A:F,MATCH(I1121,数据元说明!C:C,0),5)</f>
        <v>遵循《GB/T 12406 表示货币和资金的代码》的字母代码，如CNY。上述文件所列币种无法涵盖的，允许银行自定义填报。多个币种合计折算为人民币（本外币合计）的，填报为BWB。</v>
      </c>
      <c r="L1121" s="43" t="str">
        <f>INDEX(数据元说明!A:F,MATCH(I1121,数据元说明!C:C,0),6)</f>
        <v>C3</v>
      </c>
      <c r="M1121" s="158" t="s">
        <v>3722</v>
      </c>
      <c r="N1121" s="139" t="s">
        <v>57</v>
      </c>
      <c r="O1121" s="140"/>
      <c r="P1121" s="205"/>
    </row>
    <row r="1122" s="81" customFormat="1" ht="30" customHeight="1" outlineLevel="1" spans="1:16">
      <c r="A1122" s="154"/>
      <c r="B1122" s="155"/>
      <c r="C1122" s="156"/>
      <c r="D1122" s="156"/>
      <c r="E1122" s="155"/>
      <c r="F1122" s="157" t="s">
        <v>3723</v>
      </c>
      <c r="G1122" s="43" t="s">
        <v>3724</v>
      </c>
      <c r="H1122" s="153" t="s">
        <v>3725</v>
      </c>
      <c r="I1122" s="157" t="s">
        <v>609</v>
      </c>
      <c r="J1122" s="43" t="str">
        <f>INDEX(数据元说明!A:F,MATCH(I1122,数据元说明!C:C,0),2)</f>
        <v>003010</v>
      </c>
      <c r="K1122" s="158" t="str">
        <f>INDEX(数据元说明!A:F,MATCH(I1122,数据元说明!C:C,0),5)</f>
        <v>与币种相对应金额。</v>
      </c>
      <c r="L1122" s="43" t="str">
        <f>INDEX(数据元说明!A:F,MATCH(I1122,数据元说明!C:C,0),6)</f>
        <v>D20.2</v>
      </c>
      <c r="M1122" s="158" t="s">
        <v>3722</v>
      </c>
      <c r="N1122" s="140" t="s">
        <v>25</v>
      </c>
      <c r="O1122" s="140"/>
      <c r="P1122" s="205"/>
    </row>
    <row r="1123" s="81" customFormat="1" ht="30" customHeight="1" outlineLevel="1" spans="1:16">
      <c r="A1123" s="154"/>
      <c r="B1123" s="155"/>
      <c r="C1123" s="156"/>
      <c r="D1123" s="156"/>
      <c r="E1123" s="155"/>
      <c r="F1123" s="157" t="s">
        <v>862</v>
      </c>
      <c r="G1123" s="43" t="s">
        <v>3698</v>
      </c>
      <c r="H1123" s="153" t="s">
        <v>3726</v>
      </c>
      <c r="I1123" s="157" t="s">
        <v>862</v>
      </c>
      <c r="J1123" s="407" t="str">
        <f>INDEX(数据元说明!A:F,MATCH(I1123,数据元说明!C:C,0),2)</f>
        <v>005032</v>
      </c>
      <c r="K1123" s="158" t="str">
        <f>INDEX(数据元说明!A:F,MATCH(I1123,数据元说明!C:C,0),5)</f>
        <v>有效，失效。</v>
      </c>
      <c r="L1123" s="43" t="str">
        <f>INDEX(数据元说明!A:F,MATCH(I1123,数据元说明!C:C,0),6)</f>
        <v>C6</v>
      </c>
      <c r="M1123" s="162"/>
      <c r="N1123" s="230" t="s">
        <v>25</v>
      </c>
      <c r="O1123" s="230" t="s">
        <v>275</v>
      </c>
      <c r="P1123" s="205"/>
    </row>
    <row r="1124" s="81" customFormat="1" ht="30" customHeight="1" outlineLevel="1" spans="1:16">
      <c r="A1124" s="134"/>
      <c r="B1124" s="47"/>
      <c r="C1124" s="39"/>
      <c r="D1124" s="39"/>
      <c r="E1124" s="47"/>
      <c r="F1124" s="169" t="s">
        <v>449</v>
      </c>
      <c r="G1124" s="148" t="s">
        <v>1571</v>
      </c>
      <c r="H1124" s="148" t="s">
        <v>3727</v>
      </c>
      <c r="I1124" s="169" t="s">
        <v>449</v>
      </c>
      <c r="J1124" s="170" t="str">
        <f>INDEX(数据元说明!A:F,MATCH(I1124,数据元说明!C:C,0),2)</f>
        <v>001040</v>
      </c>
      <c r="K1124" s="171" t="str">
        <f>INDEX(数据元说明!A:F,MATCH(I1124,数据元说明!C:C,0),5)</f>
        <v>银行自定义。</v>
      </c>
      <c r="L1124" s="170" t="str">
        <f>INDEX(数据元说明!A:F,MATCH(I1124,数据元说明!C:C,0),6)</f>
        <v>C..600</v>
      </c>
      <c r="M1124" s="149" t="s">
        <v>1573</v>
      </c>
      <c r="N1124" s="143" t="s">
        <v>57</v>
      </c>
      <c r="O1124" s="173"/>
      <c r="P1124" s="173"/>
    </row>
    <row r="1125" ht="30" customHeight="1" outlineLevel="1" spans="1:16">
      <c r="E1125" s="94"/>
      <c r="F1125" s="97" t="s">
        <v>1574</v>
      </c>
      <c r="G1125" s="29" t="s">
        <v>1575</v>
      </c>
      <c r="H1125" s="96" t="s">
        <v>3728</v>
      </c>
      <c r="I1125" s="97" t="s">
        <v>302</v>
      </c>
      <c r="J1125" s="29" t="str">
        <f>INDEX(数据元说明!A:F,MATCH(I1125,数据元说明!C:C,0),2)</f>
        <v>001005</v>
      </c>
      <c r="K1125" s="98" t="str">
        <f>INDEX(数据元说明!A:F,MATCH(I1125,数据元说明!C:C,0),5)</f>
        <v>YYYYMMDD，默认值99991231。</v>
      </c>
      <c r="L1125" s="29" t="str">
        <f>INDEX(数据元说明!A:F,MATCH(I1125,数据元说明!C:C,0),6)</f>
        <v>C8</v>
      </c>
      <c r="M1125" s="98" t="s">
        <v>1577</v>
      </c>
    </row>
    <row r="1126" s="81" customFormat="1" ht="30" customHeight="1" spans="1:16">
      <c r="A1126" s="179"/>
      <c r="B1126" s="180"/>
      <c r="C1126" s="37" t="s">
        <v>172</v>
      </c>
      <c r="D1126" s="38" t="s">
        <v>173</v>
      </c>
      <c r="E1126" s="181" t="s">
        <v>174</v>
      </c>
      <c r="F1126" s="182"/>
      <c r="G1126" s="183"/>
      <c r="H1126" s="181"/>
      <c r="I1126" s="182"/>
      <c r="J1126" s="183"/>
      <c r="K1126" s="128"/>
      <c r="L1126" s="183"/>
      <c r="M1126" s="128" t="str">
        <f>INDEX(表结构总览!E:H,MATCH(D1126,表结构总览!E:E,0),4)</f>
        <v>担保合同中约定的各类质押、抵押物信息。对于同一担保合同有不同的抵质押物的，需以不同的质或抵押物编号分多条记录报送。以保证金形式的押品无需在本表填报，但以存单质押形式的押品需要填报。失效担保合同的押品信息于次月不再报送。</v>
      </c>
      <c r="N1126" s="140" t="s">
        <v>25</v>
      </c>
      <c r="O1126" s="139" t="s">
        <v>449</v>
      </c>
      <c r="P1126" s="205"/>
    </row>
    <row r="1127" s="61" customFormat="1" ht="30" customHeight="1" outlineLevel="1" spans="1:16">
      <c r="A1127" s="130"/>
      <c r="B1127" s="36"/>
      <c r="C1127" s="25"/>
      <c r="D1127" s="25"/>
      <c r="E1127" s="36"/>
      <c r="F1127" s="131" t="s">
        <v>325</v>
      </c>
      <c r="G1127" s="31" t="s">
        <v>1520</v>
      </c>
      <c r="H1127" s="132" t="s">
        <v>3729</v>
      </c>
      <c r="I1127" s="131" t="s">
        <v>325</v>
      </c>
      <c r="J1127" s="31" t="str">
        <f>INDEX(数据元说明!A:F,MATCH(I1127,数据元说明!C:C,0),2)</f>
        <v>001010</v>
      </c>
      <c r="K1127" s="133" t="str">
        <f>INDEX(数据元说明!A:F,MATCH(I1127,数据元说明!C:C,0),5)</f>
        <v>12位人行支付行号或SWIFT行号。</v>
      </c>
      <c r="L1127" s="31" t="str">
        <f>INDEX(数据元说明!A:F,MATCH(I1127,数据元说明!C:C,0),6)</f>
        <v>C..30</v>
      </c>
      <c r="M1127" s="133" t="s">
        <v>1579</v>
      </c>
      <c r="N1127" s="99"/>
      <c r="O1127" s="99"/>
      <c r="P1127" s="41"/>
    </row>
    <row r="1128" s="61" customFormat="1" ht="30" customHeight="1" outlineLevel="1" spans="1:16">
      <c r="A1128" s="130"/>
      <c r="B1128" s="36"/>
      <c r="C1128" s="25"/>
      <c r="D1128" s="25"/>
      <c r="E1128" s="36"/>
      <c r="F1128" s="131" t="s">
        <v>329</v>
      </c>
      <c r="G1128" s="31" t="s">
        <v>1526</v>
      </c>
      <c r="H1128" s="132" t="s">
        <v>3730</v>
      </c>
      <c r="I1128" s="131" t="s">
        <v>329</v>
      </c>
      <c r="J1128" s="31" t="str">
        <f>INDEX(数据元说明!A:F,MATCH(I1128,数据元说明!C:C,0),2)</f>
        <v>001011</v>
      </c>
      <c r="K1128" s="133" t="str">
        <f>INDEX(数据元说明!A:F,MATCH(I1128,数据元说明!C:C,0),5)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28" s="31" t="str">
        <f>INDEX(数据元说明!A:F,MATCH(I1128,数据元说明!C:C,0),6)</f>
        <v>C..30</v>
      </c>
      <c r="M1128" s="133" t="s">
        <v>3204</v>
      </c>
      <c r="N1128" s="99"/>
      <c r="O1128" s="99"/>
      <c r="P1128" s="99"/>
    </row>
    <row r="1129" s="61" customFormat="1" ht="30" customHeight="1" outlineLevel="1" spans="1:16">
      <c r="A1129" s="130"/>
      <c r="B1129" s="36"/>
      <c r="C1129" s="25"/>
      <c r="D1129" s="25"/>
      <c r="E1129" s="36"/>
      <c r="F1129" s="131" t="s">
        <v>333</v>
      </c>
      <c r="G1129" s="31" t="s">
        <v>1523</v>
      </c>
      <c r="H1129" s="132" t="s">
        <v>3731</v>
      </c>
      <c r="I1129" s="131" t="s">
        <v>333</v>
      </c>
      <c r="J1129" s="31" t="str">
        <f>INDEX(数据元说明!A:F,MATCH(I1129,数据元说明!C:C,0),2)</f>
        <v>001012</v>
      </c>
      <c r="K1129" s="133" t="str">
        <f>INDEX(数据元说明!A:F,MATCH(I1129,数据元说明!C:C,0),5)</f>
        <v>银行内部机构号。应具有标识机构的唯一性。</v>
      </c>
      <c r="L1129" s="31" t="str">
        <f>INDEX(数据元说明!A:F,MATCH(I1129,数据元说明!C:C,0),6)</f>
        <v>C..30</v>
      </c>
      <c r="M1129" s="133" t="s">
        <v>1834</v>
      </c>
      <c r="N1129" s="99"/>
      <c r="O1129" s="99"/>
      <c r="P1129" s="41"/>
    </row>
    <row r="1130" s="81" customFormat="1" ht="30" customHeight="1" outlineLevel="1" spans="1:16">
      <c r="A1130" s="141"/>
      <c r="B1130" s="142"/>
      <c r="C1130" s="39"/>
      <c r="D1130" s="39"/>
      <c r="E1130" s="47"/>
      <c r="F1130" s="135" t="s">
        <v>3670</v>
      </c>
      <c r="G1130" s="136" t="s">
        <v>3671</v>
      </c>
      <c r="H1130" s="137" t="s">
        <v>3732</v>
      </c>
      <c r="I1130" s="135" t="s">
        <v>681</v>
      </c>
      <c r="J1130" s="136" t="str">
        <f>INDEX(数据元说明!A:F,MATCH(I1130,数据元说明!C:C,0),2)</f>
        <v>003028</v>
      </c>
      <c r="K1130" s="138" t="str">
        <f>INDEX(数据元说明!A:F,MATCH(I1130,数据元说明!C:C,0),5)</f>
        <v>合同号。</v>
      </c>
      <c r="L1130" s="136" t="str">
        <f>INDEX(数据元说明!A:F,MATCH(I1130,数据元说明!C:C,0),6)</f>
        <v>C..100</v>
      </c>
      <c r="M1130" s="138" t="s">
        <v>3733</v>
      </c>
      <c r="N1130" s="139" t="s">
        <v>25</v>
      </c>
      <c r="O1130" s="139" t="s">
        <v>449</v>
      </c>
      <c r="P1130" s="206" t="s">
        <v>1588</v>
      </c>
    </row>
    <row r="1131" s="81" customFormat="1" ht="30" customHeight="1" outlineLevel="1" spans="1:16">
      <c r="A1131" s="141"/>
      <c r="B1131" s="142"/>
      <c r="C1131" s="39"/>
      <c r="D1131" s="39"/>
      <c r="E1131" s="47"/>
      <c r="F1131" s="135" t="s">
        <v>3734</v>
      </c>
      <c r="G1131" s="136" t="s">
        <v>3735</v>
      </c>
      <c r="H1131" s="137" t="s">
        <v>3736</v>
      </c>
      <c r="I1131" s="135" t="s">
        <v>866</v>
      </c>
      <c r="J1131" s="406" t="str">
        <f>INDEX(数据元说明!A:F,MATCH(I1131,数据元说明!C:C,0),2)</f>
        <v>005033</v>
      </c>
      <c r="K1131" s="138" t="str">
        <f>INDEX(数据元说明!A:F,MATCH(I1131,数据元说明!C:C,0),5)</f>
        <v>能唯一识别该押品的编号，银行自定义。</v>
      </c>
      <c r="L1131" s="136" t="str">
        <f>INDEX(数据元说明!A:F,MATCH(I1131,数据元说明!C:C,0),6)</f>
        <v>C..60</v>
      </c>
      <c r="M1131" s="138" t="s">
        <v>1587</v>
      </c>
      <c r="N1131" s="139" t="s">
        <v>25</v>
      </c>
      <c r="O1131" s="139" t="s">
        <v>449</v>
      </c>
      <c r="P1131" s="205" t="s">
        <v>1588</v>
      </c>
    </row>
    <row r="1132" s="81" customFormat="1" ht="93" customHeight="1" outlineLevel="1" spans="1:16">
      <c r="A1132" s="134"/>
      <c r="B1132" s="47"/>
      <c r="C1132" s="39"/>
      <c r="D1132" s="39"/>
      <c r="E1132" s="47"/>
      <c r="F1132" s="135" t="s">
        <v>3737</v>
      </c>
      <c r="G1132" s="136" t="s">
        <v>3738</v>
      </c>
      <c r="H1132" s="137" t="s">
        <v>3739</v>
      </c>
      <c r="I1132" s="135" t="s">
        <v>874</v>
      </c>
      <c r="J1132" s="406" t="str">
        <f>INDEX(数据元说明!A:F,MATCH(I1132,数据元说明!C:C,0),2)</f>
        <v>005035</v>
      </c>
      <c r="K1132" s="138" t="str">
        <f>INDEX(数据元说明!A:F,MATCH(I1132,数据元说明!C:C,0),5)</f>
        <v>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v>
      </c>
      <c r="L1132" s="136" t="str">
        <f>INDEX(数据元说明!A:F,MATCH(I1132,数据元说明!C:C,0),6)</f>
        <v>C..60</v>
      </c>
      <c r="M1132" s="138" t="s">
        <v>3740</v>
      </c>
      <c r="N1132" s="129" t="s">
        <v>25</v>
      </c>
      <c r="O1132" s="139" t="s">
        <v>275</v>
      </c>
      <c r="P1132" s="205"/>
    </row>
    <row r="1133" s="81" customFormat="1" ht="30" customHeight="1" outlineLevel="1" spans="1:16">
      <c r="A1133" s="134"/>
      <c r="B1133" s="47"/>
      <c r="C1133" s="39"/>
      <c r="D1133" s="39"/>
      <c r="E1133" s="47"/>
      <c r="F1133" s="135" t="s">
        <v>3741</v>
      </c>
      <c r="G1133" s="136" t="s">
        <v>3742</v>
      </c>
      <c r="H1133" s="137" t="s">
        <v>3743</v>
      </c>
      <c r="I1133" s="135" t="s">
        <v>870</v>
      </c>
      <c r="J1133" s="406" t="str">
        <f>INDEX(数据元说明!A:F,MATCH(I1133,数据元说明!C:C,0),2)</f>
        <v>005034</v>
      </c>
      <c r="K1133" s="138" t="str">
        <f>INDEX(数据元说明!A:F,MATCH(I1133,数据元说明!C:C,0),5)</f>
        <v>因信贷业务而成为抵质押物的名称，银行自定义。</v>
      </c>
      <c r="L1133" s="136" t="str">
        <f>INDEX(数据元说明!A:F,MATCH(I1133,数据元说明!C:C,0),6)</f>
        <v>C..1000</v>
      </c>
      <c r="M1133" s="138"/>
      <c r="N1133" s="129" t="s">
        <v>25</v>
      </c>
      <c r="O1133" s="139" t="s">
        <v>275</v>
      </c>
      <c r="P1133" s="205"/>
    </row>
    <row r="1134" s="81" customFormat="1" ht="30" customHeight="1" outlineLevel="1" spans="1:16">
      <c r="A1134" s="134"/>
      <c r="B1134" s="47"/>
      <c r="C1134" s="39"/>
      <c r="D1134" s="39"/>
      <c r="E1134" s="47"/>
      <c r="F1134" s="135" t="s">
        <v>898</v>
      </c>
      <c r="G1134" s="136" t="s">
        <v>3744</v>
      </c>
      <c r="H1134" s="137" t="s">
        <v>3745</v>
      </c>
      <c r="I1134" s="135" t="s">
        <v>898</v>
      </c>
      <c r="J1134" s="406" t="str">
        <f>INDEX(数据元说明!A:F,MATCH(I1134,数据元说明!C:C,0),2)</f>
        <v>005041</v>
      </c>
      <c r="K1134" s="138" t="str">
        <f>INDEX(数据元说明!A:F,MATCH(I1134,数据元说明!C:C,0),5)</f>
        <v>正常，冻结，查封，扣押，其他-银行自定义。无法以枚举类型填报的，以“其他-XX”填报，其中“XX”为银行自定义抵质押物状态。</v>
      </c>
      <c r="L1134" s="136" t="str">
        <f>INDEX(数据元说明!A:F,MATCH(I1134,数据元说明!C:C,0),6)</f>
        <v>C..30</v>
      </c>
      <c r="M1134" s="138"/>
      <c r="N1134" s="139" t="s">
        <v>25</v>
      </c>
      <c r="O1134" s="140" t="s">
        <v>275</v>
      </c>
      <c r="P1134" s="205"/>
    </row>
    <row r="1135" s="61" customFormat="1" ht="30" customHeight="1" outlineLevel="1" spans="1:16">
      <c r="A1135" s="130"/>
      <c r="B1135" s="36"/>
      <c r="C1135" s="25"/>
      <c r="D1135" s="25"/>
      <c r="E1135" s="36"/>
      <c r="F1135" s="131" t="s">
        <v>624</v>
      </c>
      <c r="G1135" s="31" t="s">
        <v>1989</v>
      </c>
      <c r="H1135" s="132" t="s">
        <v>3746</v>
      </c>
      <c r="I1135" s="131" t="s">
        <v>624</v>
      </c>
      <c r="J1135" s="31" t="str">
        <f>INDEX(数据元说明!A:F,MATCH(I1135,数据元说明!C:C,0),2)</f>
        <v>003014</v>
      </c>
      <c r="K1135" s="133" t="str">
        <f>INDEX(数据元说明!A:F,MATCH(I1135,数据元说明!C:C,0),5)</f>
        <v>遵循《GB/T 12406 表示货币和资金的代码》的字母代码，如CNY。上述文件所列币种无法涵盖的，允许银行自定义填报。多个币种合计折算为人民币（本外币合计）的，填报为BWB。</v>
      </c>
      <c r="L1135" s="31" t="str">
        <f>INDEX(数据元说明!A:F,MATCH(I1135,数据元说明!C:C,0),6)</f>
        <v>C3</v>
      </c>
      <c r="M1135" s="133"/>
      <c r="N1135" s="99"/>
      <c r="O1135" s="99"/>
      <c r="P1135" s="41"/>
    </row>
    <row r="1136" s="81" customFormat="1" ht="30" customHeight="1" outlineLevel="1" spans="1:16">
      <c r="A1136" s="134"/>
      <c r="B1136" s="47"/>
      <c r="C1136" s="39"/>
      <c r="D1136" s="39"/>
      <c r="E1136" s="47"/>
      <c r="F1136" s="135" t="s">
        <v>3747</v>
      </c>
      <c r="G1136" s="136" t="s">
        <v>3748</v>
      </c>
      <c r="H1136" s="137" t="s">
        <v>3749</v>
      </c>
      <c r="I1136" s="135" t="s">
        <v>609</v>
      </c>
      <c r="J1136" s="136" t="str">
        <f>INDEX(数据元说明!A:F,MATCH(I1136,数据元说明!C:C,0),2)</f>
        <v>003010</v>
      </c>
      <c r="K1136" s="138" t="str">
        <f>INDEX(数据元说明!A:F,MATCH(I1136,数据元说明!C:C,0),5)</f>
        <v>与币种相对应金额。</v>
      </c>
      <c r="L1136" s="136" t="str">
        <f>INDEX(数据元说明!A:F,MATCH(I1136,数据元说明!C:C,0),6)</f>
        <v>D20.2</v>
      </c>
      <c r="M1136" s="138" t="s">
        <v>3750</v>
      </c>
      <c r="N1136" s="187" t="s">
        <v>25</v>
      </c>
      <c r="O1136" s="139" t="s">
        <v>2290</v>
      </c>
      <c r="P1136" s="205"/>
    </row>
    <row r="1137" s="81" customFormat="1" ht="48" customHeight="1" outlineLevel="1" spans="1:16">
      <c r="A1137" s="134"/>
      <c r="B1137" s="47"/>
      <c r="C1137" s="39"/>
      <c r="D1137" s="39"/>
      <c r="E1137" s="47"/>
      <c r="F1137" s="135" t="s">
        <v>3751</v>
      </c>
      <c r="G1137" s="136" t="s">
        <v>3752</v>
      </c>
      <c r="H1137" s="137" t="s">
        <v>3753</v>
      </c>
      <c r="I1137" s="135" t="s">
        <v>609</v>
      </c>
      <c r="J1137" s="136" t="str">
        <f>INDEX(数据元说明!A:F,MATCH(I1137,数据元说明!C:C,0),2)</f>
        <v>003010</v>
      </c>
      <c r="K1137" s="138" t="str">
        <f>INDEX(数据元说明!A:F,MATCH(I1137,数据元说明!C:C,0),5)</f>
        <v>与币种相对应金额。</v>
      </c>
      <c r="L1137" s="136" t="str">
        <f>INDEX(数据元说明!A:F,MATCH(I1137,数据元说明!C:C,0),6)</f>
        <v>D20.2</v>
      </c>
      <c r="M1137" s="138" t="s">
        <v>3754</v>
      </c>
      <c r="N1137" s="187" t="s">
        <v>25</v>
      </c>
      <c r="O1137" s="139" t="s">
        <v>2290</v>
      </c>
      <c r="P1137" s="205"/>
    </row>
    <row r="1138" s="81" customFormat="1" ht="30" customHeight="1" outlineLevel="1" spans="1:16">
      <c r="A1138" s="134"/>
      <c r="B1138" s="47"/>
      <c r="C1138" s="39"/>
      <c r="D1138" s="39"/>
      <c r="E1138" s="47"/>
      <c r="F1138" s="135" t="s">
        <v>3755</v>
      </c>
      <c r="G1138" s="136" t="s">
        <v>3756</v>
      </c>
      <c r="H1138" s="137" t="s">
        <v>3757</v>
      </c>
      <c r="I1138" s="135" t="s">
        <v>609</v>
      </c>
      <c r="J1138" s="136" t="str">
        <f>INDEX(数据元说明!A:F,MATCH(I1138,数据元说明!C:C,0),2)</f>
        <v>003010</v>
      </c>
      <c r="K1138" s="138" t="str">
        <f>INDEX(数据元说明!A:F,MATCH(I1138,数据元说明!C:C,0),5)</f>
        <v>与币种相对应金额。</v>
      </c>
      <c r="L1138" s="136" t="str">
        <f>INDEX(数据元说明!A:F,MATCH(I1138,数据元说明!C:C,0),6)</f>
        <v>D20.2</v>
      </c>
      <c r="M1138" s="138" t="s">
        <v>3758</v>
      </c>
      <c r="N1138" s="139" t="s">
        <v>25</v>
      </c>
      <c r="O1138" s="139" t="s">
        <v>449</v>
      </c>
      <c r="P1138" s="205"/>
    </row>
    <row r="1139" s="81" customFormat="1" ht="30" customHeight="1" outlineLevel="1" spans="1:16">
      <c r="A1139" s="134"/>
      <c r="B1139" s="47"/>
      <c r="C1139" s="39"/>
      <c r="D1139" s="39"/>
      <c r="E1139" s="47"/>
      <c r="F1139" s="135" t="s">
        <v>3759</v>
      </c>
      <c r="G1139" s="136" t="s">
        <v>3760</v>
      </c>
      <c r="H1139" s="137" t="s">
        <v>3761</v>
      </c>
      <c r="I1139" s="135" t="s">
        <v>292</v>
      </c>
      <c r="J1139" s="136" t="str">
        <f>INDEX(数据元说明!A:F,MATCH(I1139,数据元说明!C:C,0),2)</f>
        <v>001003</v>
      </c>
      <c r="K1139" s="138" t="str">
        <f>INDEX(数据元说明!A:F,MATCH(I1139,数据元说明!C:C,0),5)</f>
        <v>百分比为单位，即1/100，保留两位小数。如4.5%则填报为4.50。</v>
      </c>
      <c r="L1139" s="136" t="str">
        <f>INDEX(数据元说明!A:F,MATCH(I1139,数据元说明!C:C,0),6)</f>
        <v>D20.2</v>
      </c>
      <c r="M1139" s="138" t="s">
        <v>3762</v>
      </c>
      <c r="N1139" s="187" t="s">
        <v>25</v>
      </c>
      <c r="O1139" s="139" t="s">
        <v>1514</v>
      </c>
      <c r="P1139" s="205"/>
    </row>
    <row r="1140" s="81" customFormat="1" ht="30" customHeight="1" outlineLevel="1" spans="1:16">
      <c r="A1140" s="134"/>
      <c r="B1140" s="47"/>
      <c r="C1140" s="39"/>
      <c r="D1140" s="39"/>
      <c r="E1140" s="47"/>
      <c r="F1140" s="135" t="s">
        <v>902</v>
      </c>
      <c r="G1140" s="136" t="s">
        <v>3763</v>
      </c>
      <c r="H1140" s="137" t="s">
        <v>3764</v>
      </c>
      <c r="I1140" s="135" t="s">
        <v>902</v>
      </c>
      <c r="J1140" s="406" t="str">
        <f>INDEX(数据元说明!A:F,MATCH(I1140,数据元说明!C:C,0),2)</f>
        <v>005042</v>
      </c>
      <c r="K1140" s="138" t="str">
        <f>INDEX(数据元说明!A:F,MATCH(I1140,数据元说明!C:C,0),5)</f>
        <v>第一顺位，第二顺位，第三顺位...以此类推。</v>
      </c>
      <c r="L1140" s="136" t="str">
        <f>INDEX(数据元说明!A:F,MATCH(I1140,数据元说明!C:C,0),6)</f>
        <v>C..20</v>
      </c>
      <c r="M1140" s="138" t="s">
        <v>3765</v>
      </c>
      <c r="N1140" s="231" t="s">
        <v>57</v>
      </c>
      <c r="O1140" s="139"/>
      <c r="P1140" s="205"/>
    </row>
    <row r="1141" s="61" customFormat="1" ht="30" customHeight="1" outlineLevel="1" spans="1:16">
      <c r="A1141" s="130"/>
      <c r="B1141" s="36"/>
      <c r="C1141" s="25"/>
      <c r="D1141" s="25"/>
      <c r="E1141" s="36"/>
      <c r="F1141" s="135" t="s">
        <v>3766</v>
      </c>
      <c r="G1141" s="136" t="s">
        <v>3767</v>
      </c>
      <c r="H1141" s="137" t="s">
        <v>3768</v>
      </c>
      <c r="I1141" s="135" t="s">
        <v>282</v>
      </c>
      <c r="J1141" s="136" t="str">
        <f>INDEX(数据元说明!A:F,MATCH(I1141,数据元说明!C:C,0),2)</f>
        <v>001001</v>
      </c>
      <c r="K1141" s="138" t="str">
        <f>INDEX(数据元说明!A:F,MATCH(I1141,数据元说明!C:C,0),5)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141" s="136" t="str">
        <f>INDEX(数据元说明!A:F,MATCH(I1141,数据元说明!C:C,0),6)</f>
        <v>C..400</v>
      </c>
      <c r="M1141" s="138" t="s">
        <v>3769</v>
      </c>
      <c r="N1141" s="139" t="s">
        <v>25</v>
      </c>
      <c r="O1141" s="139" t="s">
        <v>1613</v>
      </c>
      <c r="P1141" s="205"/>
    </row>
    <row r="1142" s="81" customFormat="1" ht="30" customHeight="1" outlineLevel="1" spans="1:16">
      <c r="A1142" s="134"/>
      <c r="B1142" s="47"/>
      <c r="C1142" s="39"/>
      <c r="D1142" s="39"/>
      <c r="E1142" s="47"/>
      <c r="F1142" s="135" t="s">
        <v>3770</v>
      </c>
      <c r="G1142" s="136" t="s">
        <v>3771</v>
      </c>
      <c r="H1142" s="137" t="s">
        <v>3772</v>
      </c>
      <c r="I1142" s="135" t="s">
        <v>457</v>
      </c>
      <c r="J1142" s="136" t="str">
        <f>INDEX(数据元说明!A:F,MATCH(I1142,数据元说明!C:C,0),2)</f>
        <v>002002</v>
      </c>
      <c r="K1142" s="138" t="str">
        <f>INDEX(数据元说明!A:F,MATCH(I1142,数据元说明!C:C,0),5)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142" s="136" t="str">
        <f>INDEX(数据元说明!A:F,MATCH(I1142,数据元说明!C:C,0),6)</f>
        <v>C..60</v>
      </c>
      <c r="M1142" s="138"/>
      <c r="N1142" s="140" t="s">
        <v>57</v>
      </c>
      <c r="O1142" s="140"/>
      <c r="P1142" s="205"/>
    </row>
    <row r="1143" s="81" customFormat="1" ht="30" customHeight="1" outlineLevel="1" spans="1:16">
      <c r="A1143" s="134"/>
      <c r="B1143" s="47"/>
      <c r="C1143" s="39"/>
      <c r="D1143" s="39"/>
      <c r="E1143" s="47"/>
      <c r="F1143" s="135" t="s">
        <v>3773</v>
      </c>
      <c r="G1143" s="136" t="s">
        <v>3774</v>
      </c>
      <c r="H1143" s="137" t="s">
        <v>3775</v>
      </c>
      <c r="I1143" s="135" t="s">
        <v>461</v>
      </c>
      <c r="J1143" s="136" t="str">
        <f>INDEX(数据元说明!A:F,MATCH(I1143,数据元说明!C:C,0),2)</f>
        <v>002003</v>
      </c>
      <c r="K1143" s="138" t="str">
        <f>INDEX(数据元说明!A:F,MATCH(I1143,数据元说明!C:C,0),5)</f>
        <v>与证件类别对应的证件号码。涉及个人身份证件时需按照本规范给定规则进行脱敏处理。</v>
      </c>
      <c r="L1143" s="136" t="str">
        <f>INDEX(数据元说明!A:F,MATCH(I1143,数据元说明!C:C,0),6)</f>
        <v>C..70</v>
      </c>
      <c r="M1143" s="158" t="s">
        <v>2128</v>
      </c>
      <c r="N1143" s="140" t="s">
        <v>57</v>
      </c>
      <c r="O1143" s="140"/>
      <c r="P1143" s="205"/>
    </row>
    <row r="1144" s="81" customFormat="1" ht="30" customHeight="1" outlineLevel="1" spans="1:16">
      <c r="A1144" s="134"/>
      <c r="B1144" s="47"/>
      <c r="C1144" s="39"/>
      <c r="D1144" s="39"/>
      <c r="E1144" s="47"/>
      <c r="F1144" s="201" t="s">
        <v>878</v>
      </c>
      <c r="G1144" s="27" t="s">
        <v>3776</v>
      </c>
      <c r="H1144" s="132" t="s">
        <v>3777</v>
      </c>
      <c r="I1144" s="201" t="s">
        <v>878</v>
      </c>
      <c r="J1144" s="406" t="str">
        <f>INDEX(数据元说明!A:F,MATCH(I1144,数据元说明!C:C,0),2)</f>
        <v>005036</v>
      </c>
      <c r="K1144" s="138" t="str">
        <f>INDEX(数据元说明!A:F,MATCH(I1144,数据元说明!C:C,0),5)</f>
        <v>当抵质押物类型为票据、存单等有编号的押品需要填写。</v>
      </c>
      <c r="L1144" s="136" t="str">
        <f>INDEX(数据元说明!A:F,MATCH(I1144,数据元说明!C:C,0),6)</f>
        <v>C..300</v>
      </c>
      <c r="M1144" s="158" t="s">
        <v>3778</v>
      </c>
      <c r="N1144" s="187" t="s">
        <v>25</v>
      </c>
      <c r="O1144" s="139" t="s">
        <v>275</v>
      </c>
      <c r="P1144" s="205"/>
    </row>
    <row r="1145" s="81" customFormat="1" ht="30" customHeight="1" outlineLevel="1" spans="1:16">
      <c r="A1145" s="134"/>
      <c r="B1145" s="47"/>
      <c r="C1145" s="39"/>
      <c r="D1145" s="39"/>
      <c r="E1145" s="47"/>
      <c r="F1145" s="201" t="s">
        <v>3779</v>
      </c>
      <c r="G1145" s="27" t="s">
        <v>3780</v>
      </c>
      <c r="H1145" s="132" t="s">
        <v>3781</v>
      </c>
      <c r="I1145" s="201" t="s">
        <v>282</v>
      </c>
      <c r="J1145" s="136" t="str">
        <f>INDEX(数据元说明!A:F,MATCH(I1145,数据元说明!C:C,0),2)</f>
        <v>001001</v>
      </c>
      <c r="K1145" s="138" t="str">
        <f>INDEX(数据元说明!A:F,MATCH(I1145,数据元说明!C:C,0),5)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145" s="136" t="str">
        <f>INDEX(数据元说明!A:F,MATCH(I1145,数据元说明!C:C,0),6)</f>
        <v>C..400</v>
      </c>
      <c r="M1145" s="158" t="s">
        <v>3782</v>
      </c>
      <c r="N1145" s="187"/>
      <c r="O1145" s="139"/>
      <c r="P1145" s="205"/>
    </row>
    <row r="1146" s="81" customFormat="1" ht="30" customHeight="1" outlineLevel="1" spans="1:16">
      <c r="A1146" s="134"/>
      <c r="B1146" s="47"/>
      <c r="C1146" s="39"/>
      <c r="D1146" s="39"/>
      <c r="E1146" s="47"/>
      <c r="F1146" s="201" t="s">
        <v>882</v>
      </c>
      <c r="G1146" s="27" t="s">
        <v>3783</v>
      </c>
      <c r="H1146" s="132" t="s">
        <v>3784</v>
      </c>
      <c r="I1146" s="201" t="s">
        <v>882</v>
      </c>
      <c r="J1146" s="406" t="str">
        <f>INDEX(数据元说明!A:F,MATCH(I1146,数据元说明!C:C,0),2)</f>
        <v>005037</v>
      </c>
      <c r="K1146" s="138" t="str">
        <f>INDEX(数据元说明!A:F,MATCH(I1146,数据元说明!C:C,0),5)</f>
        <v>当抵质押物类型为商业房地产和居住用房地产时，填写不动产登记部门给银行的抵押登记证明编号。对于抵质押物类型不为房地产或无抵押登记证明编号的业务，可以填写所有权证编号、合同编号或他项权证编号。</v>
      </c>
      <c r="L1146" s="136" t="str">
        <f>INDEX(数据元说明!A:F,MATCH(I1146,数据元说明!C:C,0),6)</f>
        <v>C..300</v>
      </c>
      <c r="M1146" s="158" t="s">
        <v>3785</v>
      </c>
      <c r="N1146" s="187" t="s">
        <v>25</v>
      </c>
      <c r="O1146" s="139" t="s">
        <v>275</v>
      </c>
      <c r="P1146" s="205"/>
    </row>
    <row r="1147" s="81" customFormat="1" ht="30" customHeight="1" outlineLevel="1" spans="1:16">
      <c r="A1147" s="134"/>
      <c r="B1147" s="47"/>
      <c r="C1147" s="39"/>
      <c r="D1147" s="39"/>
      <c r="E1147" s="47"/>
      <c r="F1147" s="201" t="s">
        <v>886</v>
      </c>
      <c r="G1147" s="27" t="s">
        <v>3786</v>
      </c>
      <c r="H1147" s="132" t="s">
        <v>3787</v>
      </c>
      <c r="I1147" s="201" t="s">
        <v>886</v>
      </c>
      <c r="J1147" s="406" t="str">
        <f>INDEX(数据元说明!A:F,MATCH(I1147,数据元说明!C:C,0),2)</f>
        <v>005038</v>
      </c>
      <c r="K1147" s="138" t="str">
        <f>INDEX(数据元说明!A:F,MATCH(I1147,数据元说明!C:C,0),5)</f>
        <v>当抵质押物类型为商业房地产和居住用房地产时，相关权证上登记的房产面积。单位：㎡，如1000平方米填报为1000.</v>
      </c>
      <c r="L1147" s="136" t="str">
        <f>INDEX(数据元说明!A:F,MATCH(I1147,数据元说明!C:C,0),6)</f>
        <v>C..20</v>
      </c>
      <c r="M1147" s="158" t="s">
        <v>3788</v>
      </c>
      <c r="N1147" s="231" t="s">
        <v>57</v>
      </c>
      <c r="O1147" s="140"/>
      <c r="P1147" s="205"/>
    </row>
    <row r="1148" s="61" customFormat="1" ht="30" customHeight="1" outlineLevel="1" spans="1:16">
      <c r="A1148" s="130"/>
      <c r="B1148" s="36"/>
      <c r="C1148" s="25"/>
      <c r="D1148" s="25"/>
      <c r="E1148" s="36"/>
      <c r="F1148" s="131" t="s">
        <v>3789</v>
      </c>
      <c r="G1148" s="31" t="s">
        <v>3790</v>
      </c>
      <c r="H1148" s="132" t="s">
        <v>3791</v>
      </c>
      <c r="I1148" s="131" t="s">
        <v>287</v>
      </c>
      <c r="J1148" s="31" t="str">
        <f>INDEX(数据元说明!A:F,MATCH(I1148,数据元说明!C:C,0),2)</f>
        <v>001002</v>
      </c>
      <c r="K1148" s="133" t="str">
        <f>INDEX(数据元说明!A:F,MATCH(I1148,数据元说明!C:C,0),5)</f>
        <v>是，否。</v>
      </c>
      <c r="L1148" s="31" t="str">
        <f>INDEX(数据元说明!A:F,MATCH(I1148,数据元说明!C:C,0),6)</f>
        <v>C3</v>
      </c>
      <c r="M1148" s="133"/>
      <c r="N1148" s="99"/>
      <c r="O1148" s="99"/>
      <c r="P1148" s="41"/>
    </row>
    <row r="1149" s="61" customFormat="1" ht="30" customHeight="1" outlineLevel="1" spans="1:16">
      <c r="A1149" s="130"/>
      <c r="B1149" s="36"/>
      <c r="C1149" s="25"/>
      <c r="D1149" s="25"/>
      <c r="E1149" s="36"/>
      <c r="F1149" s="131" t="s">
        <v>3792</v>
      </c>
      <c r="G1149" s="31" t="s">
        <v>3793</v>
      </c>
      <c r="H1149" s="132" t="s">
        <v>3794</v>
      </c>
      <c r="I1149" s="131" t="s">
        <v>302</v>
      </c>
      <c r="J1149" s="31" t="str">
        <f>INDEX(数据元说明!A:F,MATCH(I1149,数据元说明!C:C,0),2)</f>
        <v>001005</v>
      </c>
      <c r="K1149" s="133" t="str">
        <f>INDEX(数据元说明!A:F,MATCH(I1149,数据元说明!C:C,0),5)</f>
        <v>YYYYMMDD，默认值99991231。</v>
      </c>
      <c r="L1149" s="31" t="str">
        <f>INDEX(数据元说明!A:F,MATCH(I1149,数据元说明!C:C,0),6)</f>
        <v>C8</v>
      </c>
      <c r="M1149" s="133"/>
      <c r="N1149" s="99"/>
      <c r="O1149" s="99"/>
      <c r="P1149" s="41"/>
    </row>
    <row r="1150" s="81" customFormat="1" ht="30" customHeight="1" outlineLevel="1" spans="1:16">
      <c r="A1150" s="154"/>
      <c r="B1150" s="155"/>
      <c r="C1150" s="156"/>
      <c r="D1150" s="156"/>
      <c r="E1150" s="155"/>
      <c r="F1150" s="157" t="s">
        <v>862</v>
      </c>
      <c r="G1150" s="43" t="s">
        <v>3698</v>
      </c>
      <c r="H1150" s="137" t="s">
        <v>3795</v>
      </c>
      <c r="I1150" s="157" t="s">
        <v>862</v>
      </c>
      <c r="J1150" s="407" t="str">
        <f>INDEX(数据元说明!A:F,MATCH(I1150,数据元说明!C:C,0),2)</f>
        <v>005032</v>
      </c>
      <c r="K1150" s="158" t="str">
        <f>INDEX(数据元说明!A:F,MATCH(I1150,数据元说明!C:C,0),5)</f>
        <v>有效，失效。</v>
      </c>
      <c r="L1150" s="43" t="str">
        <f>INDEX(数据元说明!A:F,MATCH(I1150,数据元说明!C:C,0),6)</f>
        <v>C6</v>
      </c>
      <c r="M1150" s="162"/>
      <c r="N1150" s="231" t="s">
        <v>57</v>
      </c>
      <c r="O1150" s="206"/>
      <c r="P1150" s="205"/>
    </row>
    <row r="1151" s="81" customFormat="1" ht="30" customHeight="1" outlineLevel="1" spans="1:16">
      <c r="A1151" s="134"/>
      <c r="B1151" s="47"/>
      <c r="C1151" s="39"/>
      <c r="D1151" s="39"/>
      <c r="E1151" s="47"/>
      <c r="F1151" s="169" t="s">
        <v>449</v>
      </c>
      <c r="G1151" s="148" t="s">
        <v>1571</v>
      </c>
      <c r="H1151" s="148" t="s">
        <v>3796</v>
      </c>
      <c r="I1151" s="169" t="s">
        <v>449</v>
      </c>
      <c r="J1151" s="170" t="str">
        <f>INDEX(数据元说明!A:F,MATCH(I1151,数据元说明!C:C,0),2)</f>
        <v>001040</v>
      </c>
      <c r="K1151" s="171" t="str">
        <f>INDEX(数据元说明!A:F,MATCH(I1151,数据元说明!C:C,0),5)</f>
        <v>银行自定义。</v>
      </c>
      <c r="L1151" s="170" t="str">
        <f>INDEX(数据元说明!A:F,MATCH(I1151,数据元说明!C:C,0),6)</f>
        <v>C..600</v>
      </c>
      <c r="M1151" s="149" t="s">
        <v>1573</v>
      </c>
      <c r="N1151" s="172" t="s">
        <v>57</v>
      </c>
      <c r="O1151" s="173"/>
      <c r="P1151" s="173"/>
    </row>
    <row r="1152" s="61" customFormat="1" ht="30" customHeight="1" outlineLevel="1" spans="1:16">
      <c r="A1152" s="130"/>
      <c r="B1152" s="36"/>
      <c r="C1152" s="25"/>
      <c r="D1152" s="25"/>
      <c r="E1152" s="36"/>
      <c r="F1152" s="131" t="s">
        <v>1574</v>
      </c>
      <c r="G1152" s="31" t="s">
        <v>1575</v>
      </c>
      <c r="H1152" s="132" t="s">
        <v>3797</v>
      </c>
      <c r="I1152" s="131" t="s">
        <v>302</v>
      </c>
      <c r="J1152" s="31" t="str">
        <f>INDEX(数据元说明!A:F,MATCH(I1152,数据元说明!C:C,0),2)</f>
        <v>001005</v>
      </c>
      <c r="K1152" s="133" t="str">
        <f>INDEX(数据元说明!A:F,MATCH(I1152,数据元说明!C:C,0),5)</f>
        <v>YYYYMMDD，默认值99991231。</v>
      </c>
      <c r="L1152" s="31" t="str">
        <f>INDEX(数据元说明!A:F,MATCH(I1152,数据元说明!C:C,0),6)</f>
        <v>C8</v>
      </c>
      <c r="M1152" s="133" t="s">
        <v>1577</v>
      </c>
      <c r="N1152" s="99"/>
      <c r="O1152" s="99"/>
      <c r="P1152" s="41"/>
    </row>
    <row r="1153" s="61" customFormat="1" ht="30" customHeight="1" spans="1:16">
      <c r="A1153" s="119" t="s">
        <v>176</v>
      </c>
      <c r="B1153" s="120" t="s">
        <v>177</v>
      </c>
      <c r="C1153" s="202"/>
      <c r="D1153" s="202"/>
      <c r="E1153" s="202"/>
      <c r="F1153" s="122"/>
      <c r="G1153" s="123"/>
      <c r="H1153" s="203"/>
      <c r="I1153" s="122"/>
      <c r="J1153" s="123"/>
      <c r="K1153" s="124"/>
      <c r="L1153" s="123"/>
      <c r="M1153" s="175"/>
      <c r="N1153" s="99"/>
      <c r="O1153" s="99"/>
      <c r="P1153" s="99"/>
    </row>
    <row r="1154" s="61" customFormat="1" ht="30" customHeight="1" spans="1:16">
      <c r="A1154" s="125"/>
      <c r="B1154" s="34"/>
      <c r="C1154" s="19" t="s">
        <v>178</v>
      </c>
      <c r="D1154" s="24" t="s">
        <v>179</v>
      </c>
      <c r="E1154" s="227" t="s">
        <v>3798</v>
      </c>
      <c r="F1154" s="127"/>
      <c r="G1154" s="126"/>
      <c r="H1154" s="227"/>
      <c r="I1154" s="127"/>
      <c r="J1154" s="126"/>
      <c r="K1154" s="152"/>
      <c r="L1154" s="126"/>
      <c r="M1154" s="128" t="str">
        <f>INDEX(表结构总览!E:H,MATCH(D1154,表结构总览!E:E,0),4)</f>
        <v>对客户授信的信息，但不包含客户使用授信的信息。包括对公和个人、同业客户授信。个人授信额度包括个人贷款、准贷记卡透支额度和信用卡额度授信。对公和同业授信包括已经或预期可能由本行承担信用风险的各类产品额度，包含但不限于流动资金贷款、固定资产贷款、项目融资、贸易融资、透支、保理、票据、保函、信用证、债券投资、特定目的载体投资、买入返售、同业拆借、同业存款等产品额度。
1.按授信协议为最细颗粒填报，有授信的客户都需要报送，如低风险额度授信都需要填报授信信息。
2.表内、表外、代管理的信贷资产均需报送，如：本行信贷资产转让后由本行代管的授信信息仍需报送。
3.增加授信的，应该按照单笔报送。如发生授信额度变更的，填写最新的协议授信额度。
4.无授信的无需报送。
5.授信协议失效的，报送协议最后状态的次月不再报送。</v>
      </c>
      <c r="N1154" s="139" t="s">
        <v>25</v>
      </c>
      <c r="O1154" s="139" t="s">
        <v>449</v>
      </c>
      <c r="P1154" s="33"/>
    </row>
    <row r="1155" s="61" customFormat="1" ht="30" customHeight="1" outlineLevel="1" spans="1:16">
      <c r="A1155" s="130"/>
      <c r="B1155" s="36"/>
      <c r="C1155" s="25"/>
      <c r="D1155" s="25"/>
      <c r="E1155" s="36"/>
      <c r="F1155" s="131" t="s">
        <v>325</v>
      </c>
      <c r="G1155" s="31" t="s">
        <v>1520</v>
      </c>
      <c r="H1155" s="132" t="s">
        <v>3799</v>
      </c>
      <c r="I1155" s="131" t="s">
        <v>325</v>
      </c>
      <c r="J1155" s="31" t="str">
        <f>INDEX(数据元说明!A:F,MATCH(I1155,数据元说明!C:C,0),2)</f>
        <v>001010</v>
      </c>
      <c r="K1155" s="133" t="str">
        <f>INDEX(数据元说明!A:F,MATCH(I1155,数据元说明!C:C,0),5)</f>
        <v>12位人行支付行号或SWIFT行号。</v>
      </c>
      <c r="L1155" s="31" t="str">
        <f>INDEX(数据元说明!A:F,MATCH(I1155,数据元说明!C:C,0),6)</f>
        <v>C..30</v>
      </c>
      <c r="M1155" s="133" t="s">
        <v>3800</v>
      </c>
      <c r="N1155" s="99"/>
      <c r="O1155" s="99"/>
      <c r="P1155" s="41"/>
    </row>
    <row r="1156" s="61" customFormat="1" ht="30" customHeight="1" outlineLevel="1" spans="1:16">
      <c r="A1156" s="130"/>
      <c r="B1156" s="36"/>
      <c r="C1156" s="25"/>
      <c r="D1156" s="25"/>
      <c r="E1156" s="36"/>
      <c r="F1156" s="131" t="s">
        <v>329</v>
      </c>
      <c r="G1156" s="31" t="s">
        <v>1526</v>
      </c>
      <c r="H1156" s="132" t="s">
        <v>3801</v>
      </c>
      <c r="I1156" s="131" t="s">
        <v>329</v>
      </c>
      <c r="J1156" s="31" t="str">
        <f>INDEX(数据元说明!A:F,MATCH(I1156,数据元说明!C:C,0),2)</f>
        <v>001011</v>
      </c>
      <c r="K1156" s="133" t="str">
        <f>INDEX(数据元说明!A:F,MATCH(I1156,数据元说明!C:C,0),5)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56" s="31" t="str">
        <f>INDEX(数据元说明!A:F,MATCH(I1156,数据元说明!C:C,0),6)</f>
        <v>C..30</v>
      </c>
      <c r="M1156" s="133" t="s">
        <v>3204</v>
      </c>
      <c r="N1156" s="99"/>
      <c r="O1156" s="99"/>
      <c r="P1156" s="99"/>
    </row>
    <row r="1157" s="61" customFormat="1" ht="30" customHeight="1" outlineLevel="1" spans="1:16">
      <c r="A1157" s="130"/>
      <c r="B1157" s="36"/>
      <c r="C1157" s="25"/>
      <c r="D1157" s="25"/>
      <c r="E1157" s="36"/>
      <c r="F1157" s="131" t="s">
        <v>333</v>
      </c>
      <c r="G1157" s="31" t="s">
        <v>1523</v>
      </c>
      <c r="H1157" s="132" t="s">
        <v>3802</v>
      </c>
      <c r="I1157" s="131" t="s">
        <v>333</v>
      </c>
      <c r="J1157" s="31" t="str">
        <f>INDEX(数据元说明!A:F,MATCH(I1157,数据元说明!C:C,0),2)</f>
        <v>001012</v>
      </c>
      <c r="K1157" s="133" t="str">
        <f>INDEX(数据元说明!A:F,MATCH(I1157,数据元说明!C:C,0),5)</f>
        <v>银行内部机构号。应具有标识机构的唯一性。</v>
      </c>
      <c r="L1157" s="31" t="str">
        <f>INDEX(数据元说明!A:F,MATCH(I1157,数据元说明!C:C,0),6)</f>
        <v>C..30</v>
      </c>
      <c r="M1157" s="133" t="s">
        <v>3803</v>
      </c>
      <c r="N1157" s="99"/>
      <c r="O1157" s="99"/>
      <c r="P1157" s="41"/>
    </row>
    <row r="1158" s="61" customFormat="1" ht="30" customHeight="1" outlineLevel="1" spans="1:16">
      <c r="A1158" s="130"/>
      <c r="B1158" s="36"/>
      <c r="C1158" s="25"/>
      <c r="D1158" s="25"/>
      <c r="E1158" s="36"/>
      <c r="F1158" s="131" t="s">
        <v>453</v>
      </c>
      <c r="G1158" s="31" t="s">
        <v>1680</v>
      </c>
      <c r="H1158" s="132" t="s">
        <v>3804</v>
      </c>
      <c r="I1158" s="131" t="s">
        <v>453</v>
      </c>
      <c r="J1158" s="31" t="str">
        <f>INDEX(数据元说明!A:F,MATCH(I1158,数据元说明!C:C,0),2)</f>
        <v>002001</v>
      </c>
      <c r="K1158" s="133" t="str">
        <f>INDEX(数据元说明!A:F,MATCH(I1158,数据元说明!C:C,0),5)</f>
        <v>银行自定义的唯一识别客户的标识。供应链融资的填写供应链融资编码。</v>
      </c>
      <c r="L1158" s="31" t="str">
        <f>INDEX(数据元说明!A:F,MATCH(I1158,数据元说明!C:C,0),6)</f>
        <v>C..60</v>
      </c>
      <c r="M1158" s="133" t="s">
        <v>1697</v>
      </c>
      <c r="N1158" s="33" t="s">
        <v>25</v>
      </c>
      <c r="O1158" s="99"/>
      <c r="P1158" s="204" t="s">
        <v>1588</v>
      </c>
    </row>
    <row r="1159" s="81" customFormat="1" ht="30" customHeight="1" outlineLevel="1" spans="1:16">
      <c r="A1159" s="134"/>
      <c r="B1159" s="47"/>
      <c r="C1159" s="39"/>
      <c r="D1159" s="39"/>
      <c r="E1159" s="47"/>
      <c r="F1159" s="135" t="s">
        <v>1864</v>
      </c>
      <c r="G1159" s="136" t="s">
        <v>1865</v>
      </c>
      <c r="H1159" s="137" t="s">
        <v>3805</v>
      </c>
      <c r="I1159" s="135" t="s">
        <v>282</v>
      </c>
      <c r="J1159" s="136" t="str">
        <f>INDEX(数据元说明!A:F,MATCH(I1159,数据元说明!C:C,0),2)</f>
        <v>001001</v>
      </c>
      <c r="K1159" s="138" t="str">
        <f>INDEX(数据元说明!A:F,MATCH(I1159,数据元说明!C:C,0),5)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159" s="136" t="str">
        <f>INDEX(数据元说明!A:F,MATCH(I1159,数据元说明!C:C,0),6)</f>
        <v>C..400</v>
      </c>
      <c r="M1159" s="158" t="s">
        <v>2894</v>
      </c>
      <c r="N1159" s="139" t="s">
        <v>25</v>
      </c>
      <c r="O1159" s="139" t="s">
        <v>1673</v>
      </c>
      <c r="P1159" s="205" t="s">
        <v>1588</v>
      </c>
    </row>
    <row r="1160" s="61" customFormat="1" ht="30" customHeight="1" outlineLevel="1" spans="1:16">
      <c r="A1160" s="130"/>
      <c r="B1160" s="36"/>
      <c r="C1160" s="25"/>
      <c r="D1160" s="25"/>
      <c r="E1160" s="36"/>
      <c r="F1160" s="131" t="s">
        <v>1015</v>
      </c>
      <c r="G1160" s="31" t="s">
        <v>3806</v>
      </c>
      <c r="H1160" s="132" t="s">
        <v>3807</v>
      </c>
      <c r="I1160" s="131" t="s">
        <v>1015</v>
      </c>
      <c r="J1160" s="31" t="str">
        <f>INDEX(数据元说明!A:F,MATCH(I1160,数据元说明!C:C,0),2)</f>
        <v>007001</v>
      </c>
      <c r="K1160" s="133" t="str">
        <f>INDEX(数据元说明!A:F,MATCH(I1160,数据元说明!C:C,0),5)</f>
        <v>填报银行授予客户授信额度的授信号码（或授信合同号码），该号码唯一标识该笔授信。若银行对该客户有多笔授信，应逐笔填列。</v>
      </c>
      <c r="L1160" s="31" t="str">
        <f>INDEX(数据元说明!A:F,MATCH(I1160,数据元说明!C:C,0),6)</f>
        <v>C..60</v>
      </c>
      <c r="M1160" s="133" t="s">
        <v>1587</v>
      </c>
      <c r="N1160" s="33" t="s">
        <v>25</v>
      </c>
      <c r="O1160" s="99"/>
      <c r="P1160" s="33" t="s">
        <v>1588</v>
      </c>
    </row>
    <row r="1161" s="61" customFormat="1" ht="30" customHeight="1" outlineLevel="1" spans="1:16">
      <c r="A1161" s="130"/>
      <c r="B1161" s="36"/>
      <c r="C1161" s="25"/>
      <c r="D1161" s="25"/>
      <c r="E1161" s="36"/>
      <c r="F1161" s="131" t="s">
        <v>3808</v>
      </c>
      <c r="G1161" s="31" t="s">
        <v>3809</v>
      </c>
      <c r="H1161" s="132" t="s">
        <v>3810</v>
      </c>
      <c r="I1161" s="131" t="s">
        <v>1050</v>
      </c>
      <c r="J1161" s="31" t="str">
        <f>INDEX(数据元说明!A:F,MATCH(I1161,数据元说明!C:C,0),2)</f>
        <v>007010</v>
      </c>
      <c r="K1161" s="133" t="str">
        <f>INDEX(数据元说明!A:F,MATCH(I1161,数据元说明!C:C,0),5)</f>
        <v>银行自定义。</v>
      </c>
      <c r="L1161" s="31" t="str">
        <f>INDEX(数据元说明!A:F,MATCH(I1161,数据元说明!C:C,0),6)</f>
        <v>C..400</v>
      </c>
      <c r="M1161" s="133" t="s">
        <v>3811</v>
      </c>
      <c r="N1161" s="33"/>
      <c r="O1161" s="33"/>
      <c r="P1161" s="33"/>
    </row>
    <row r="1162" s="81" customFormat="1" ht="30" customHeight="1" outlineLevel="1" spans="1:16">
      <c r="A1162" s="134"/>
      <c r="B1162" s="47"/>
      <c r="C1162" s="39"/>
      <c r="D1162" s="39"/>
      <c r="E1162" s="47"/>
      <c r="F1162" s="135" t="s">
        <v>3812</v>
      </c>
      <c r="G1162" s="136" t="s">
        <v>3813</v>
      </c>
      <c r="H1162" s="137" t="s">
        <v>3814</v>
      </c>
      <c r="I1162" s="135" t="s">
        <v>302</v>
      </c>
      <c r="J1162" s="136" t="str">
        <f>INDEX(数据元说明!A:F,MATCH(I1162,数据元说明!C:C,0),2)</f>
        <v>001005</v>
      </c>
      <c r="K1162" s="138" t="str">
        <f>INDEX(数据元说明!A:F,MATCH(I1162,数据元说明!C:C,0),5)</f>
        <v>YYYYMMDD，默认值99991231。</v>
      </c>
      <c r="L1162" s="136" t="str">
        <f>INDEX(数据元说明!A:F,MATCH(I1162,数据元说明!C:C,0),6)</f>
        <v>C8</v>
      </c>
      <c r="M1162" s="138" t="s">
        <v>3815</v>
      </c>
      <c r="N1162" s="140" t="s">
        <v>25</v>
      </c>
      <c r="O1162" s="139" t="s">
        <v>1550</v>
      </c>
      <c r="P1162" s="205"/>
    </row>
    <row r="1163" s="81" customFormat="1" ht="30" customHeight="1" outlineLevel="1" spans="1:16">
      <c r="A1163" s="134"/>
      <c r="B1163" s="47"/>
      <c r="C1163" s="39"/>
      <c r="D1163" s="39"/>
      <c r="E1163" s="47"/>
      <c r="F1163" s="135" t="s">
        <v>1019</v>
      </c>
      <c r="G1163" s="136" t="s">
        <v>3816</v>
      </c>
      <c r="H1163" s="137" t="s">
        <v>3817</v>
      </c>
      <c r="I1163" s="135" t="s">
        <v>1019</v>
      </c>
      <c r="J1163" s="136" t="str">
        <f>INDEX(数据元说明!A:F,MATCH(I1163,数据元说明!C:C,0),2)</f>
        <v>007002</v>
      </c>
      <c r="K1163" s="138" t="str">
        <f>INDEX(数据元说明!A:F,MATCH(I1163,数据元说明!C:C,0),5)</f>
        <v>单一法人授信，集团客户授信，供应链融资，个人客户授信，同业客户授信，其他-银行自定义。无法以枚举类型填报的，以“其他-XX”填报，其中XX为银行自定义种类。</v>
      </c>
      <c r="L1163" s="136" t="str">
        <f>INDEX(数据元说明!A:F,MATCH(I1163,数据元说明!C:C,0),6)</f>
        <v>C..60</v>
      </c>
      <c r="M1163" s="138"/>
      <c r="N1163" s="187" t="s">
        <v>25</v>
      </c>
      <c r="O1163" s="139" t="s">
        <v>3700</v>
      </c>
      <c r="P1163" s="205"/>
    </row>
    <row r="1164" s="81" customFormat="1" ht="30" customHeight="1" outlineLevel="1" spans="1:16">
      <c r="A1164" s="134"/>
      <c r="B1164" s="47"/>
      <c r="C1164" s="39"/>
      <c r="D1164" s="39"/>
      <c r="E1164" s="47"/>
      <c r="F1164" s="135" t="s">
        <v>1023</v>
      </c>
      <c r="G1164" s="136" t="s">
        <v>3818</v>
      </c>
      <c r="H1164" s="137" t="s">
        <v>3819</v>
      </c>
      <c r="I1164" s="135" t="s">
        <v>1023</v>
      </c>
      <c r="J1164" s="136" t="str">
        <f>INDEX(数据元说明!A:F,MATCH(I1164,数据元说明!C:C,0),2)</f>
        <v>007003</v>
      </c>
      <c r="K1164" s="138" t="str">
        <f>INDEX(数据元说明!A:F,MATCH(I1164,数据元说明!C:C,0),5)</f>
        <v>综合额度授信，低风险额度授信，信用卡额度授信，临时额度授信，专项额度授信，其他-银行自定义。无法以枚举类型填报的，以“其他-XX”填报，其中XX为银行自定义种类。</v>
      </c>
      <c r="L1164" s="136" t="str">
        <f>INDEX(数据元说明!A:F,MATCH(I1164,数据元说明!C:C,0),6)</f>
        <v>C..60</v>
      </c>
      <c r="M1164" s="138"/>
      <c r="N1164" s="143" t="s">
        <v>57</v>
      </c>
      <c r="O1164" s="139"/>
      <c r="P1164" s="205"/>
    </row>
    <row r="1165" s="81" customFormat="1" ht="30" customHeight="1" outlineLevel="1" spans="1:16">
      <c r="A1165" s="134"/>
      <c r="B1165" s="47"/>
      <c r="C1165" s="39"/>
      <c r="D1165" s="39"/>
      <c r="E1165" s="47"/>
      <c r="F1165" s="135" t="s">
        <v>1806</v>
      </c>
      <c r="G1165" s="136" t="s">
        <v>1807</v>
      </c>
      <c r="H1165" s="137" t="s">
        <v>3820</v>
      </c>
      <c r="I1165" s="135" t="s">
        <v>609</v>
      </c>
      <c r="J1165" s="136" t="str">
        <f>INDEX(数据元说明!A:F,MATCH(I1165,数据元说明!C:C,0),2)</f>
        <v>003010</v>
      </c>
      <c r="K1165" s="138" t="str">
        <f>INDEX(数据元说明!A:F,MATCH(I1165,数据元说明!C:C,0),5)</f>
        <v>与币种相对应金额。</v>
      </c>
      <c r="L1165" s="136" t="str">
        <f>INDEX(数据元说明!A:F,MATCH(I1165,数据元说明!C:C,0),6)</f>
        <v>D20.2</v>
      </c>
      <c r="M1165" s="138"/>
      <c r="N1165" s="140" t="s">
        <v>25</v>
      </c>
      <c r="O1165" s="140" t="s">
        <v>3821</v>
      </c>
      <c r="P1165" s="205"/>
    </row>
    <row r="1166" s="61" customFormat="1" ht="30" customHeight="1" outlineLevel="1" spans="1:16">
      <c r="A1166" s="130"/>
      <c r="B1166" s="36"/>
      <c r="C1166" s="25"/>
      <c r="D1166" s="25"/>
      <c r="E1166" s="36"/>
      <c r="F1166" s="131" t="s">
        <v>624</v>
      </c>
      <c r="G1166" s="31" t="s">
        <v>1989</v>
      </c>
      <c r="H1166" s="132" t="s">
        <v>3822</v>
      </c>
      <c r="I1166" s="131" t="s">
        <v>624</v>
      </c>
      <c r="J1166" s="31" t="str">
        <f>INDEX(数据元说明!A:F,MATCH(I1166,数据元说明!C:C,0),2)</f>
        <v>003014</v>
      </c>
      <c r="K1166" s="133" t="str">
        <f>INDEX(数据元说明!A:F,MATCH(I1166,数据元说明!C:C,0),5)</f>
        <v>遵循《GB/T 12406 表示货币和资金的代码》的字母代码，如CNY。上述文件所列币种无法涵盖的，允许银行自定义填报。多个币种合计折算为人民币（本外币合计）的，填报为BWB。</v>
      </c>
      <c r="L1166" s="31" t="str">
        <f>INDEX(数据元说明!A:F,MATCH(I1166,数据元说明!C:C,0),6)</f>
        <v>C3</v>
      </c>
      <c r="M1166" s="133"/>
      <c r="N1166" s="99"/>
      <c r="O1166" s="99"/>
      <c r="P1166" s="41"/>
    </row>
    <row r="1167" s="61" customFormat="1" ht="30" customHeight="1" outlineLevel="1" spans="1:16">
      <c r="A1167" s="130"/>
      <c r="B1167" s="36"/>
      <c r="C1167" s="25"/>
      <c r="D1167" s="25"/>
      <c r="E1167" s="36"/>
      <c r="F1167" s="131" t="s">
        <v>3823</v>
      </c>
      <c r="G1167" s="31" t="s">
        <v>3824</v>
      </c>
      <c r="H1167" s="132" t="s">
        <v>3825</v>
      </c>
      <c r="I1167" s="131" t="s">
        <v>302</v>
      </c>
      <c r="J1167" s="31" t="str">
        <f>INDEX(数据元说明!A:F,MATCH(I1167,数据元说明!C:C,0),2)</f>
        <v>001005</v>
      </c>
      <c r="K1167" s="133" t="str">
        <f>INDEX(数据元说明!A:F,MATCH(I1167,数据元说明!C:C,0),5)</f>
        <v>YYYYMMDD，默认值99991231。</v>
      </c>
      <c r="L1167" s="31" t="str">
        <f>INDEX(数据元说明!A:F,MATCH(I1167,数据元说明!C:C,0),6)</f>
        <v>C8</v>
      </c>
      <c r="M1167" s="133"/>
      <c r="N1167" s="99"/>
      <c r="O1167" s="99"/>
      <c r="P1167" s="41"/>
    </row>
    <row r="1168" s="61" customFormat="1" ht="30" customHeight="1" outlineLevel="1" spans="1:16">
      <c r="A1168" s="130"/>
      <c r="B1168" s="36"/>
      <c r="C1168" s="25"/>
      <c r="D1168" s="25"/>
      <c r="E1168" s="36"/>
      <c r="F1168" s="131" t="s">
        <v>3826</v>
      </c>
      <c r="G1168" s="31" t="s">
        <v>3827</v>
      </c>
      <c r="H1168" s="132" t="s">
        <v>3828</v>
      </c>
      <c r="I1168" s="131" t="s">
        <v>302</v>
      </c>
      <c r="J1168" s="31" t="str">
        <f>INDEX(数据元说明!A:F,MATCH(I1168,数据元说明!C:C,0),2)</f>
        <v>001005</v>
      </c>
      <c r="K1168" s="133" t="str">
        <f>INDEX(数据元说明!A:F,MATCH(I1168,数据元说明!C:C,0),5)</f>
        <v>YYYYMMDD，默认值99991231。</v>
      </c>
      <c r="L1168" s="31" t="str">
        <f>INDEX(数据元说明!A:F,MATCH(I1168,数据元说明!C:C,0),6)</f>
        <v>C8</v>
      </c>
      <c r="M1168" s="133"/>
      <c r="N1168" s="99"/>
      <c r="O1168" s="99"/>
      <c r="P1168" s="41"/>
    </row>
    <row r="1169" s="81" customFormat="1" ht="30" customHeight="1" outlineLevel="1" spans="1:16">
      <c r="A1169" s="134"/>
      <c r="B1169" s="47"/>
      <c r="C1169" s="39"/>
      <c r="D1169" s="39"/>
      <c r="E1169" s="47"/>
      <c r="F1169" s="135" t="s">
        <v>3829</v>
      </c>
      <c r="G1169" s="136" t="s">
        <v>3830</v>
      </c>
      <c r="H1169" s="137" t="s">
        <v>3831</v>
      </c>
      <c r="I1169" s="135" t="s">
        <v>1035</v>
      </c>
      <c r="J1169" s="136" t="str">
        <f>INDEX(数据元说明!A:F,MATCH(I1169,数据元说明!C:C,0),2)</f>
        <v>007006</v>
      </c>
      <c r="K1169" s="138" t="str">
        <f>INDEX(数据元说明!A:F,MATCH(I1169,数据元说明!C:C,0),5)</f>
        <v>银行自定义。</v>
      </c>
      <c r="L1169" s="136" t="str">
        <f>INDEX(数据元说明!A:F,MATCH(I1169,数据元说明!C:C,0),6)</f>
        <v>C..1000</v>
      </c>
      <c r="M1169" s="138"/>
      <c r="N1169" s="187" t="s">
        <v>25</v>
      </c>
      <c r="O1169" s="139" t="s">
        <v>3700</v>
      </c>
      <c r="P1169" s="205"/>
    </row>
    <row r="1170" s="81" customFormat="1" ht="30" customHeight="1" outlineLevel="1" spans="1:16">
      <c r="A1170" s="134"/>
      <c r="B1170" s="47"/>
      <c r="C1170" s="39"/>
      <c r="D1170" s="39"/>
      <c r="E1170" s="47"/>
      <c r="F1170" s="135" t="s">
        <v>3832</v>
      </c>
      <c r="G1170" s="136" t="s">
        <v>3833</v>
      </c>
      <c r="H1170" s="137" t="s">
        <v>3834</v>
      </c>
      <c r="I1170" s="135" t="s">
        <v>349</v>
      </c>
      <c r="J1170" s="136" t="str">
        <f>INDEX(数据元说明!A:F,MATCH(I1170,数据元说明!C:C,0),2)</f>
        <v>001016</v>
      </c>
      <c r="K1170" s="138" t="str">
        <f>INDEX(数据元说明!A:F,MATCH(I1170,数据元说明!C:C,0),5)</f>
        <v>工号，银行自定义。</v>
      </c>
      <c r="L1170" s="136" t="str">
        <f>INDEX(数据元说明!A:F,MATCH(I1170,数据元说明!C:C,0),6)</f>
        <v>C..30</v>
      </c>
      <c r="M1170" s="138" t="s">
        <v>3835</v>
      </c>
      <c r="N1170" s="143" t="s">
        <v>57</v>
      </c>
      <c r="O1170" s="139"/>
      <c r="P1170" s="205"/>
    </row>
    <row r="1171" s="81" customFormat="1" ht="30" customHeight="1" outlineLevel="1" spans="1:16">
      <c r="A1171" s="134"/>
      <c r="B1171" s="47"/>
      <c r="C1171" s="39"/>
      <c r="D1171" s="39"/>
      <c r="E1171" s="47"/>
      <c r="F1171" s="135" t="s">
        <v>3694</v>
      </c>
      <c r="G1171" s="136" t="s">
        <v>3695</v>
      </c>
      <c r="H1171" s="137" t="s">
        <v>3836</v>
      </c>
      <c r="I1171" s="135" t="s">
        <v>349</v>
      </c>
      <c r="J1171" s="136" t="str">
        <f>INDEX(数据元说明!A:F,MATCH(I1171,数据元说明!C:C,0),2)</f>
        <v>001016</v>
      </c>
      <c r="K1171" s="138" t="str">
        <f>INDEX(数据元说明!A:F,MATCH(I1171,数据元说明!C:C,0),5)</f>
        <v>工号，银行自定义。</v>
      </c>
      <c r="L1171" s="136" t="str">
        <f>INDEX(数据元说明!A:F,MATCH(I1171,数据元说明!C:C,0),6)</f>
        <v>C..30</v>
      </c>
      <c r="M1171" s="138" t="s">
        <v>3837</v>
      </c>
      <c r="N1171" s="187" t="s">
        <v>25</v>
      </c>
      <c r="O1171" s="139" t="s">
        <v>2290</v>
      </c>
      <c r="P1171" s="205"/>
    </row>
    <row r="1172" s="81" customFormat="1" ht="30" customHeight="1" outlineLevel="1" spans="1:16">
      <c r="A1172" s="134"/>
      <c r="B1172" s="47"/>
      <c r="C1172" s="39"/>
      <c r="D1172" s="39"/>
      <c r="E1172" s="47"/>
      <c r="F1172" s="135" t="s">
        <v>3838</v>
      </c>
      <c r="G1172" s="136" t="s">
        <v>3839</v>
      </c>
      <c r="H1172" s="137" t="s">
        <v>3840</v>
      </c>
      <c r="I1172" s="135" t="s">
        <v>1031</v>
      </c>
      <c r="J1172" s="136" t="str">
        <f>INDEX(数据元说明!A:F,MATCH(I1172,数据元说明!C:C,0),2)</f>
        <v>007005</v>
      </c>
      <c r="K1172" s="138" t="str">
        <f>INDEX(数据元说明!A:F,MATCH(I1172,数据元说明!C:C,0),5)</f>
        <v>有效，无效。</v>
      </c>
      <c r="L1172" s="136" t="str">
        <f>INDEX(数据元说明!A:F,MATCH(I1172,数据元说明!C:C,0),6)</f>
        <v>C6</v>
      </c>
      <c r="M1172" s="138" t="s">
        <v>3841</v>
      </c>
      <c r="N1172" s="140" t="s">
        <v>25</v>
      </c>
      <c r="O1172" s="140" t="s">
        <v>449</v>
      </c>
      <c r="P1172" s="205"/>
    </row>
    <row r="1173" s="81" customFormat="1" ht="30" customHeight="1" outlineLevel="1" spans="1:16">
      <c r="A1173" s="134"/>
      <c r="B1173" s="47"/>
      <c r="C1173" s="39"/>
      <c r="D1173" s="39"/>
      <c r="E1173" s="47"/>
      <c r="F1173" s="169" t="s">
        <v>449</v>
      </c>
      <c r="G1173" s="148" t="s">
        <v>1571</v>
      </c>
      <c r="H1173" s="148" t="s">
        <v>3842</v>
      </c>
      <c r="I1173" s="169" t="s">
        <v>449</v>
      </c>
      <c r="J1173" s="170" t="str">
        <f>INDEX(数据元说明!A:F,MATCH(I1173,数据元说明!C:C,0),2)</f>
        <v>001040</v>
      </c>
      <c r="K1173" s="171" t="str">
        <f>INDEX(数据元说明!A:F,MATCH(I1173,数据元说明!C:C,0),5)</f>
        <v>银行自定义。</v>
      </c>
      <c r="L1173" s="170" t="str">
        <f>INDEX(数据元说明!A:F,MATCH(I1173,数据元说明!C:C,0),6)</f>
        <v>C..600</v>
      </c>
      <c r="M1173" s="149" t="s">
        <v>1573</v>
      </c>
      <c r="N1173" s="172" t="s">
        <v>57</v>
      </c>
      <c r="O1173" s="173"/>
      <c r="P1173" s="173"/>
    </row>
    <row r="1174" s="61" customFormat="1" ht="30" customHeight="1" outlineLevel="1" spans="1:16">
      <c r="A1174" s="130"/>
      <c r="B1174" s="36"/>
      <c r="C1174" s="25"/>
      <c r="D1174" s="25"/>
      <c r="E1174" s="36"/>
      <c r="F1174" s="131" t="s">
        <v>1574</v>
      </c>
      <c r="G1174" s="31" t="s">
        <v>1575</v>
      </c>
      <c r="H1174" s="132" t="s">
        <v>3843</v>
      </c>
      <c r="I1174" s="131" t="s">
        <v>302</v>
      </c>
      <c r="J1174" s="31" t="str">
        <f>INDEX(数据元说明!A:F,MATCH(I1174,数据元说明!C:C,0),2)</f>
        <v>001005</v>
      </c>
      <c r="K1174" s="133" t="str">
        <f>INDEX(数据元说明!A:F,MATCH(I1174,数据元说明!C:C,0),5)</f>
        <v>YYYYMMDD，默认值99991231。</v>
      </c>
      <c r="L1174" s="31" t="str">
        <f>INDEX(数据元说明!A:F,MATCH(I1174,数据元说明!C:C,0),6)</f>
        <v>C8</v>
      </c>
      <c r="M1174" s="133" t="s">
        <v>1577</v>
      </c>
      <c r="N1174" s="99"/>
      <c r="O1174" s="99"/>
      <c r="P1174" s="41"/>
    </row>
    <row r="1175" s="61" customFormat="1" ht="30" customHeight="1" spans="1:16">
      <c r="A1175" s="125"/>
      <c r="B1175" s="34"/>
      <c r="C1175" s="19" t="s">
        <v>181</v>
      </c>
      <c r="D1175" s="24" t="s">
        <v>182</v>
      </c>
      <c r="E1175" s="227" t="s">
        <v>3844</v>
      </c>
      <c r="F1175" s="127"/>
      <c r="G1175" s="126"/>
      <c r="H1175" s="227"/>
      <c r="I1175" s="127"/>
      <c r="J1175" s="126"/>
      <c r="K1175" s="152"/>
      <c r="L1175" s="126"/>
      <c r="M1175" s="128" t="str">
        <f>INDEX(表结构总览!E:H,MATCH(D1175,表结构总览!E:E,0),4)</f>
        <v>个人信贷业务借据、对公信贷业务借据、信用卡信息表中已核销的贷款信息。
1.包含信用卡核销，信贷借据号填报为卡号，信贷合同号填报为信用卡账户号。
2.以信贷借据号或信用卡卡号为最小颗粒报送。
3.根据财政部2017年《金融企业呆账核销管理办法》规定，符合规定完全终结的信贷资产可以在报送次月后不再报送。通过各种手段处置已核销资产结清欠款或已无追索权的，也视为“完全终结”。
4.可以参考1104G12填报口径，不包含境外，但所有账销案存的贷款均需填报，与1104统计数据不作强制核对。</v>
      </c>
      <c r="N1175" s="129" t="s">
        <v>25</v>
      </c>
      <c r="O1175" s="139" t="s">
        <v>449</v>
      </c>
      <c r="P1175" s="33"/>
    </row>
    <row r="1176" s="81" customFormat="1" ht="30" customHeight="1" outlineLevel="1" spans="1:16">
      <c r="A1176" s="141"/>
      <c r="B1176" s="142"/>
      <c r="C1176" s="177"/>
      <c r="D1176" s="177"/>
      <c r="E1176" s="142"/>
      <c r="F1176" s="135" t="s">
        <v>325</v>
      </c>
      <c r="G1176" s="136" t="s">
        <v>1520</v>
      </c>
      <c r="H1176" s="232" t="s">
        <v>3845</v>
      </c>
      <c r="I1176" s="135" t="s">
        <v>325</v>
      </c>
      <c r="J1176" s="136" t="str">
        <f>INDEX(数据元说明!A:F,MATCH(I1176,数据元说明!C:C,0),2)</f>
        <v>001010</v>
      </c>
      <c r="K1176" s="138" t="str">
        <f>INDEX(数据元说明!A:F,MATCH(I1176,数据元说明!C:C,0),5)</f>
        <v>12位人行支付行号或SWIFT行号。</v>
      </c>
      <c r="L1176" s="136" t="str">
        <f>INDEX(数据元说明!A:F,MATCH(I1176,数据元说明!C:C,0),6)</f>
        <v>C..30</v>
      </c>
      <c r="M1176" s="138" t="s">
        <v>3846</v>
      </c>
      <c r="N1176" s="140" t="s">
        <v>25</v>
      </c>
      <c r="O1176" s="139" t="s">
        <v>449</v>
      </c>
      <c r="P1176" s="205"/>
    </row>
    <row r="1177" s="61" customFormat="1" ht="30" customHeight="1" outlineLevel="1" spans="1:16">
      <c r="A1177" s="130"/>
      <c r="B1177" s="36"/>
      <c r="C1177" s="25"/>
      <c r="D1177" s="25"/>
      <c r="E1177" s="36"/>
      <c r="F1177" s="131" t="s">
        <v>329</v>
      </c>
      <c r="G1177" s="31" t="s">
        <v>1526</v>
      </c>
      <c r="H1177" s="233" t="s">
        <v>3847</v>
      </c>
      <c r="I1177" s="131" t="s">
        <v>329</v>
      </c>
      <c r="J1177" s="31" t="str">
        <f>INDEX(数据元说明!A:F,MATCH(I1177,数据元说明!C:C,0),2)</f>
        <v>001011</v>
      </c>
      <c r="K1177" s="133" t="str">
        <f>INDEX(数据元说明!A:F,MATCH(I1177,数据元说明!C:C,0),5)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177" s="31" t="str">
        <f>INDEX(数据元说明!A:F,MATCH(I1177,数据元说明!C:C,0),6)</f>
        <v>C..30</v>
      </c>
      <c r="M1177" s="133" t="s">
        <v>3204</v>
      </c>
      <c r="N1177" s="99"/>
      <c r="O1177" s="99"/>
      <c r="P1177" s="99"/>
    </row>
    <row r="1178" s="81" customFormat="1" ht="30" customHeight="1" outlineLevel="1" spans="1:16">
      <c r="A1178" s="141"/>
      <c r="B1178" s="142"/>
      <c r="C1178" s="177"/>
      <c r="D1178" s="177"/>
      <c r="E1178" s="142"/>
      <c r="F1178" s="135" t="s">
        <v>333</v>
      </c>
      <c r="G1178" s="136" t="s">
        <v>1523</v>
      </c>
      <c r="H1178" s="232" t="s">
        <v>3848</v>
      </c>
      <c r="I1178" s="135" t="s">
        <v>333</v>
      </c>
      <c r="J1178" s="136" t="str">
        <f>INDEX(数据元说明!A:F,MATCH(I1178,数据元说明!C:C,0),2)</f>
        <v>001012</v>
      </c>
      <c r="K1178" s="138" t="str">
        <f>INDEX(数据元说明!A:F,MATCH(I1178,数据元说明!C:C,0),5)</f>
        <v>银行内部机构号。应具有标识机构的唯一性。</v>
      </c>
      <c r="L1178" s="136" t="str">
        <f>INDEX(数据元说明!A:F,MATCH(I1178,数据元说明!C:C,0),6)</f>
        <v>C..30</v>
      </c>
      <c r="M1178" s="138" t="s">
        <v>3849</v>
      </c>
      <c r="N1178" s="139" t="s">
        <v>25</v>
      </c>
      <c r="O1178" s="139" t="s">
        <v>449</v>
      </c>
      <c r="P1178" s="205"/>
    </row>
    <row r="1179" s="81" customFormat="1" ht="30" customHeight="1" outlineLevel="1" spans="1:16">
      <c r="A1179" s="141"/>
      <c r="B1179" s="142"/>
      <c r="C1179" s="177"/>
      <c r="D1179" s="177"/>
      <c r="E1179" s="142"/>
      <c r="F1179" s="135" t="s">
        <v>3850</v>
      </c>
      <c r="G1179" s="136" t="s">
        <v>3851</v>
      </c>
      <c r="H1179" s="232" t="s">
        <v>3852</v>
      </c>
      <c r="I1179" s="135" t="s">
        <v>333</v>
      </c>
      <c r="J1179" s="136" t="str">
        <f>INDEX(数据元说明!A:F,MATCH(I1179,数据元说明!C:C,0),2)</f>
        <v>001012</v>
      </c>
      <c r="K1179" s="138" t="str">
        <f>INDEX(数据元说明!A:F,MATCH(I1179,数据元说明!C:C,0),5)</f>
        <v>银行内部机构号。应具有标识机构的唯一性。</v>
      </c>
      <c r="L1179" s="136" t="str">
        <f>INDEX(数据元说明!A:F,MATCH(I1179,数据元说明!C:C,0),6)</f>
        <v>C..30</v>
      </c>
      <c r="M1179" s="224" t="s">
        <v>3853</v>
      </c>
      <c r="N1179" s="205" t="s">
        <v>25</v>
      </c>
      <c r="O1179" s="206" t="s">
        <v>1516</v>
      </c>
      <c r="P1179" s="205" t="s">
        <v>1606</v>
      </c>
    </row>
    <row r="1180" s="61" customFormat="1" ht="30" customHeight="1" outlineLevel="1" spans="1:16">
      <c r="A1180" s="130"/>
      <c r="B1180" s="36"/>
      <c r="C1180" s="25"/>
      <c r="D1180" s="25"/>
      <c r="E1180" s="36"/>
      <c r="F1180" s="131" t="s">
        <v>453</v>
      </c>
      <c r="G1180" s="31" t="s">
        <v>1680</v>
      </c>
      <c r="H1180" s="233" t="s">
        <v>3854</v>
      </c>
      <c r="I1180" s="131" t="s">
        <v>453</v>
      </c>
      <c r="J1180" s="31" t="str">
        <f>INDEX(数据元说明!A:F,MATCH(I1180,数据元说明!C:C,0),2)</f>
        <v>002001</v>
      </c>
      <c r="K1180" s="133" t="str">
        <f>INDEX(数据元说明!A:F,MATCH(I1180,数据元说明!C:C,0),5)</f>
        <v>银行自定义的唯一识别客户的标识。供应链融资的填写供应链融资编码。</v>
      </c>
      <c r="L1180" s="31" t="str">
        <f>INDEX(数据元说明!A:F,MATCH(I1180,数据元说明!C:C,0),6)</f>
        <v>C..60</v>
      </c>
      <c r="M1180" s="133" t="s">
        <v>1697</v>
      </c>
      <c r="N1180" s="33" t="s">
        <v>25</v>
      </c>
      <c r="O1180" s="99"/>
      <c r="P1180" s="204" t="s">
        <v>1588</v>
      </c>
    </row>
    <row r="1181" s="81" customFormat="1" ht="30" customHeight="1" outlineLevel="1" spans="1:16">
      <c r="A1181" s="134"/>
      <c r="B1181" s="47"/>
      <c r="C1181" s="39"/>
      <c r="D1181" s="39"/>
      <c r="E1181" s="47"/>
      <c r="F1181" s="135" t="s">
        <v>1864</v>
      </c>
      <c r="G1181" s="136" t="s">
        <v>1865</v>
      </c>
      <c r="H1181" s="232" t="s">
        <v>3855</v>
      </c>
      <c r="I1181" s="135" t="s">
        <v>282</v>
      </c>
      <c r="J1181" s="136" t="str">
        <f>INDEX(数据元说明!A:F,MATCH(I1181,数据元说明!C:C,0),2)</f>
        <v>001001</v>
      </c>
      <c r="K1181" s="138" t="str">
        <f>INDEX(数据元说明!A:F,MATCH(I1181,数据元说明!C:C,0),5)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181" s="136" t="str">
        <f>INDEX(数据元说明!A:F,MATCH(I1181,数据元说明!C:C,0),6)</f>
        <v>C..400</v>
      </c>
      <c r="M1181" s="138" t="s">
        <v>2894</v>
      </c>
      <c r="N1181" s="139" t="s">
        <v>25</v>
      </c>
      <c r="O1181" s="139" t="s">
        <v>449</v>
      </c>
      <c r="P1181" s="206"/>
    </row>
    <row r="1182" s="81" customFormat="1" ht="30" customHeight="1" outlineLevel="1" spans="1:16">
      <c r="A1182" s="141"/>
      <c r="B1182" s="142"/>
      <c r="C1182" s="39"/>
      <c r="D1182" s="39"/>
      <c r="E1182" s="47"/>
      <c r="F1182" s="135" t="s">
        <v>1042</v>
      </c>
      <c r="G1182" s="136" t="s">
        <v>3856</v>
      </c>
      <c r="H1182" s="232" t="s">
        <v>3857</v>
      </c>
      <c r="I1182" s="135" t="s">
        <v>1042</v>
      </c>
      <c r="J1182" s="136" t="str">
        <f>INDEX(数据元说明!A:F,MATCH(I1182,数据元说明!C:C,0),2)</f>
        <v>007008</v>
      </c>
      <c r="K1182" s="138" t="str">
        <f>INDEX(数据元说明!A:F,MATCH(I1182,数据元说明!C:C,0),5)</f>
        <v>个人贷款，对公贷款，信用卡贷款。</v>
      </c>
      <c r="L1182" s="136" t="str">
        <f>INDEX(数据元说明!A:F,MATCH(I1182,数据元说明!C:C,0),6)</f>
        <v>C..20</v>
      </c>
      <c r="M1182" s="138" t="s">
        <v>3858</v>
      </c>
      <c r="N1182" s="143" t="s">
        <v>57</v>
      </c>
      <c r="O1182" s="140"/>
      <c r="P1182" s="205"/>
    </row>
    <row r="1183" s="61" customFormat="1" ht="30" customHeight="1" outlineLevel="1" spans="1:16">
      <c r="A1183" s="130"/>
      <c r="B1183" s="36"/>
      <c r="C1183" s="25"/>
      <c r="D1183" s="25"/>
      <c r="E1183" s="36"/>
      <c r="F1183" s="131" t="s">
        <v>2895</v>
      </c>
      <c r="G1183" s="31" t="s">
        <v>2896</v>
      </c>
      <c r="H1183" s="233" t="s">
        <v>3859</v>
      </c>
      <c r="I1183" s="131" t="s">
        <v>681</v>
      </c>
      <c r="J1183" s="31" t="str">
        <f>INDEX(数据元说明!A:F,MATCH(I1183,数据元说明!C:C,0),2)</f>
        <v>003028</v>
      </c>
      <c r="K1183" s="133" t="str">
        <f>INDEX(数据元说明!A:F,MATCH(I1183,数据元说明!C:C,0),5)</f>
        <v>合同号。</v>
      </c>
      <c r="L1183" s="31" t="str">
        <f>INDEX(数据元说明!A:F,MATCH(I1183,数据元说明!C:C,0),6)</f>
        <v>C..100</v>
      </c>
      <c r="M1183" s="138" t="s">
        <v>3860</v>
      </c>
      <c r="N1183" s="129" t="s">
        <v>25</v>
      </c>
      <c r="O1183" s="139" t="s">
        <v>449</v>
      </c>
      <c r="P1183" s="204" t="s">
        <v>1588</v>
      </c>
    </row>
    <row r="1184" s="61" customFormat="1" ht="30" customHeight="1" outlineLevel="1" spans="1:16">
      <c r="A1184" s="130"/>
      <c r="B1184" s="36"/>
      <c r="C1184" s="25"/>
      <c r="D1184" s="25"/>
      <c r="E1184" s="36"/>
      <c r="F1184" s="131" t="s">
        <v>2752</v>
      </c>
      <c r="G1184" s="31" t="s">
        <v>2753</v>
      </c>
      <c r="H1184" s="233" t="s">
        <v>3861</v>
      </c>
      <c r="I1184" s="131" t="s">
        <v>677</v>
      </c>
      <c r="J1184" s="31" t="str">
        <f>INDEX(数据元说明!A:F,MATCH(I1184,数据元说明!C:C,0),2)</f>
        <v>003027</v>
      </c>
      <c r="K1184" s="133" t="str">
        <f>INDEX(数据元说明!A:F,MATCH(I1184,数据元说明!C:C,0),5)</f>
        <v>借据统一编号。</v>
      </c>
      <c r="L1184" s="31" t="str">
        <f>INDEX(数据元说明!A:F,MATCH(I1184,数据元说明!C:C,0),6)</f>
        <v>C..100</v>
      </c>
      <c r="M1184" s="138" t="s">
        <v>3862</v>
      </c>
      <c r="N1184" s="129" t="s">
        <v>25</v>
      </c>
      <c r="O1184" s="139" t="s">
        <v>449</v>
      </c>
      <c r="P1184" s="204" t="s">
        <v>1588</v>
      </c>
    </row>
    <row r="1185" s="61" customFormat="1" ht="30" customHeight="1" outlineLevel="1" spans="1:16">
      <c r="A1185" s="184"/>
      <c r="B1185" s="185"/>
      <c r="C1185" s="186"/>
      <c r="D1185" s="186"/>
      <c r="E1185" s="185"/>
      <c r="F1185" s="131" t="s">
        <v>624</v>
      </c>
      <c r="G1185" s="31" t="s">
        <v>1989</v>
      </c>
      <c r="H1185" s="233" t="s">
        <v>3863</v>
      </c>
      <c r="I1185" s="131" t="s">
        <v>624</v>
      </c>
      <c r="J1185" s="31" t="str">
        <f>INDEX(数据元说明!A:F,MATCH(I1185,数据元说明!C:C,0),2)</f>
        <v>003014</v>
      </c>
      <c r="K1185" s="133" t="str">
        <f>INDEX(数据元说明!A:F,MATCH(I1185,数据元说明!C:C,0),5)</f>
        <v>遵循《GB/T 12406 表示货币和资金的代码》的字母代码，如CNY。上述文件所列币种无法涵盖的，允许银行自定义填报。多个币种合计折算为人民币（本外币合计）的，填报为BWB。</v>
      </c>
      <c r="L1185" s="31" t="str">
        <f>INDEX(数据元说明!A:F,MATCH(I1185,数据元说明!C:C,0),6)</f>
        <v>C3</v>
      </c>
      <c r="M1185" s="163" t="s">
        <v>1587</v>
      </c>
      <c r="N1185" s="41"/>
      <c r="O1185" s="41"/>
      <c r="P1185" s="41"/>
    </row>
    <row r="1186" s="81" customFormat="1" ht="30" customHeight="1" outlineLevel="1" spans="1:16">
      <c r="A1186" s="141"/>
      <c r="B1186" s="142"/>
      <c r="C1186" s="177"/>
      <c r="D1186" s="177"/>
      <c r="E1186" s="142"/>
      <c r="F1186" s="135" t="s">
        <v>3864</v>
      </c>
      <c r="G1186" s="136" t="s">
        <v>3865</v>
      </c>
      <c r="H1186" s="232" t="s">
        <v>3866</v>
      </c>
      <c r="I1186" s="135" t="s">
        <v>609</v>
      </c>
      <c r="J1186" s="136" t="str">
        <f>INDEX(数据元说明!A:F,MATCH(I1186,数据元说明!C:C,0),2)</f>
        <v>003010</v>
      </c>
      <c r="K1186" s="138" t="str">
        <f>INDEX(数据元说明!A:F,MATCH(I1186,数据元说明!C:C,0),5)</f>
        <v>与币种相对应金额。</v>
      </c>
      <c r="L1186" s="136" t="str">
        <f>INDEX(数据元说明!A:F,MATCH(I1186,数据元说明!C:C,0),6)</f>
        <v>D20.2</v>
      </c>
      <c r="M1186" s="224" t="s">
        <v>3867</v>
      </c>
      <c r="N1186" s="205" t="s">
        <v>25</v>
      </c>
      <c r="O1186" s="205" t="s">
        <v>449</v>
      </c>
      <c r="P1186" s="205"/>
    </row>
    <row r="1187" s="81" customFormat="1" ht="30" customHeight="1" outlineLevel="1" spans="1:16">
      <c r="A1187" s="141"/>
      <c r="B1187" s="142"/>
      <c r="C1187" s="177"/>
      <c r="D1187" s="177"/>
      <c r="E1187" s="142"/>
      <c r="F1187" s="135" t="s">
        <v>3868</v>
      </c>
      <c r="G1187" s="136" t="s">
        <v>3869</v>
      </c>
      <c r="H1187" s="232" t="s">
        <v>3870</v>
      </c>
      <c r="I1187" s="135" t="s">
        <v>656</v>
      </c>
      <c r="J1187" s="136" t="str">
        <f>INDEX(数据元说明!A:F,MATCH(I1187,数据元说明!C:C,0),2)</f>
        <v>003022</v>
      </c>
      <c r="K1187" s="138" t="str">
        <f>INDEX(数据元说明!A:F,MATCH(I1187,数据元说明!C:C,0),5)</f>
        <v>元。</v>
      </c>
      <c r="L1187" s="136" t="str">
        <f>INDEX(数据元说明!A:F,MATCH(I1187,数据元说明!C:C,0),6)</f>
        <v>D20.2</v>
      </c>
      <c r="M1187" s="224" t="s">
        <v>3867</v>
      </c>
      <c r="N1187" s="205" t="s">
        <v>25</v>
      </c>
      <c r="O1187" s="205" t="s">
        <v>449</v>
      </c>
      <c r="P1187" s="205"/>
    </row>
    <row r="1188" s="81" customFormat="1" ht="46" customHeight="1" outlineLevel="1" spans="1:16">
      <c r="A1188" s="141"/>
      <c r="B1188" s="142"/>
      <c r="C1188" s="177"/>
      <c r="D1188" s="177"/>
      <c r="E1188" s="142"/>
      <c r="F1188" s="135" t="s">
        <v>3871</v>
      </c>
      <c r="G1188" s="136" t="s">
        <v>3872</v>
      </c>
      <c r="H1188" s="232" t="s">
        <v>3873</v>
      </c>
      <c r="I1188" s="135" t="s">
        <v>656</v>
      </c>
      <c r="J1188" s="136" t="str">
        <f>INDEX(数据元说明!A:F,MATCH(I1188,数据元说明!C:C,0),2)</f>
        <v>003022</v>
      </c>
      <c r="K1188" s="138" t="str">
        <f>INDEX(数据元说明!A:F,MATCH(I1188,数据元说明!C:C,0),5)</f>
        <v>元。</v>
      </c>
      <c r="L1188" s="136" t="str">
        <f>INDEX(数据元说明!A:F,MATCH(I1188,数据元说明!C:C,0),6)</f>
        <v>D20.2</v>
      </c>
      <c r="M1188" s="224" t="s">
        <v>3874</v>
      </c>
      <c r="N1188" s="139" t="s">
        <v>25</v>
      </c>
      <c r="O1188" s="139" t="s">
        <v>449</v>
      </c>
      <c r="P1188" s="206"/>
    </row>
    <row r="1189" s="61" customFormat="1" ht="30" customHeight="1" outlineLevel="1" spans="1:16">
      <c r="A1189" s="184"/>
      <c r="B1189" s="185"/>
      <c r="C1189" s="186"/>
      <c r="D1189" s="186"/>
      <c r="E1189" s="185"/>
      <c r="F1189" s="131" t="s">
        <v>3875</v>
      </c>
      <c r="G1189" s="31" t="s">
        <v>3876</v>
      </c>
      <c r="H1189" s="233" t="s">
        <v>3877</v>
      </c>
      <c r="I1189" s="131" t="s">
        <v>302</v>
      </c>
      <c r="J1189" s="31" t="str">
        <f>INDEX(数据元说明!A:F,MATCH(I1189,数据元说明!C:C,0),2)</f>
        <v>001005</v>
      </c>
      <c r="K1189" s="133" t="str">
        <f>INDEX(数据元说明!A:F,MATCH(I1189,数据元说明!C:C,0),5)</f>
        <v>YYYYMMDD，默认值99991231。</v>
      </c>
      <c r="L1189" s="31" t="str">
        <f>INDEX(数据元说明!A:F,MATCH(I1189,数据元说明!C:C,0),6)</f>
        <v>C8</v>
      </c>
      <c r="M1189" s="163"/>
      <c r="N1189" s="41"/>
      <c r="O1189" s="41"/>
      <c r="P1189" s="41"/>
    </row>
    <row r="1190" s="61" customFormat="1" ht="30" customHeight="1" outlineLevel="1" spans="1:16">
      <c r="A1190" s="184"/>
      <c r="B1190" s="185"/>
      <c r="C1190" s="186"/>
      <c r="D1190" s="186"/>
      <c r="E1190" s="185"/>
      <c r="F1190" s="131" t="s">
        <v>3878</v>
      </c>
      <c r="G1190" s="31" t="s">
        <v>3879</v>
      </c>
      <c r="H1190" s="233" t="s">
        <v>3880</v>
      </c>
      <c r="I1190" s="131" t="s">
        <v>609</v>
      </c>
      <c r="J1190" s="31" t="str">
        <f>INDEX(数据元说明!A:F,MATCH(I1190,数据元说明!C:C,0),2)</f>
        <v>003010</v>
      </c>
      <c r="K1190" s="133" t="str">
        <f>INDEX(数据元说明!A:F,MATCH(I1190,数据元说明!C:C,0),5)</f>
        <v>与币种相对应金额。</v>
      </c>
      <c r="L1190" s="31" t="str">
        <f>INDEX(数据元说明!A:F,MATCH(I1190,数据元说明!C:C,0),6)</f>
        <v>D20.2</v>
      </c>
      <c r="M1190" s="224" t="s">
        <v>3881</v>
      </c>
      <c r="N1190" s="129" t="s">
        <v>25</v>
      </c>
      <c r="O1190" s="139" t="s">
        <v>449</v>
      </c>
      <c r="P1190" s="41"/>
    </row>
    <row r="1191" s="61" customFormat="1" ht="30" customHeight="1" outlineLevel="1" spans="1:16">
      <c r="A1191" s="184"/>
      <c r="B1191" s="185"/>
      <c r="C1191" s="186"/>
      <c r="D1191" s="186"/>
      <c r="E1191" s="185"/>
      <c r="F1191" s="131" t="s">
        <v>3882</v>
      </c>
      <c r="G1191" s="31" t="s">
        <v>3883</v>
      </c>
      <c r="H1191" s="233" t="s">
        <v>3884</v>
      </c>
      <c r="I1191" s="131" t="s">
        <v>656</v>
      </c>
      <c r="J1191" s="31" t="str">
        <f>INDEX(数据元说明!A:F,MATCH(I1191,数据元说明!C:C,0),2)</f>
        <v>003022</v>
      </c>
      <c r="K1191" s="133" t="str">
        <f>INDEX(数据元说明!A:F,MATCH(I1191,数据元说明!C:C,0),5)</f>
        <v>元。</v>
      </c>
      <c r="L1191" s="31" t="str">
        <f>INDEX(数据元说明!A:F,MATCH(I1191,数据元说明!C:C,0),6)</f>
        <v>D20.2</v>
      </c>
      <c r="M1191" s="224" t="s">
        <v>3885</v>
      </c>
      <c r="N1191" s="129" t="s">
        <v>25</v>
      </c>
      <c r="O1191" s="139" t="s">
        <v>449</v>
      </c>
      <c r="P1191" s="41"/>
    </row>
    <row r="1192" s="81" customFormat="1" ht="30" customHeight="1" outlineLevel="1" spans="1:16">
      <c r="A1192" s="134"/>
      <c r="B1192" s="47"/>
      <c r="C1192" s="39"/>
      <c r="D1192" s="39"/>
      <c r="E1192" s="47"/>
      <c r="F1192" s="135" t="s">
        <v>3886</v>
      </c>
      <c r="G1192" s="136" t="s">
        <v>3887</v>
      </c>
      <c r="H1192" s="232" t="s">
        <v>3888</v>
      </c>
      <c r="I1192" s="135" t="s">
        <v>302</v>
      </c>
      <c r="J1192" s="136" t="str">
        <f>INDEX(数据元说明!A:F,MATCH(I1192,数据元说明!C:C,0),2)</f>
        <v>001005</v>
      </c>
      <c r="K1192" s="138" t="str">
        <f>INDEX(数据元说明!A:F,MATCH(I1192,数据元说明!C:C,0),5)</f>
        <v>YYYYMMDD，默认值99991231。</v>
      </c>
      <c r="L1192" s="136" t="str">
        <f>INDEX(数据元说明!A:F,MATCH(I1192,数据元说明!C:C,0),6)</f>
        <v>C8</v>
      </c>
      <c r="M1192" s="138" t="s">
        <v>3889</v>
      </c>
      <c r="N1192" s="129" t="s">
        <v>25</v>
      </c>
      <c r="O1192" s="139" t="s">
        <v>2290</v>
      </c>
      <c r="P1192" s="205"/>
    </row>
    <row r="1193" s="81" customFormat="1" ht="30" customHeight="1" outlineLevel="1" spans="1:16">
      <c r="A1193" s="141"/>
      <c r="B1193" s="142"/>
      <c r="C1193" s="177"/>
      <c r="D1193" s="177"/>
      <c r="E1193" s="142"/>
      <c r="F1193" s="135" t="s">
        <v>910</v>
      </c>
      <c r="G1193" s="136" t="s">
        <v>3890</v>
      </c>
      <c r="H1193" s="232" t="s">
        <v>3891</v>
      </c>
      <c r="I1193" s="135" t="s">
        <v>910</v>
      </c>
      <c r="J1193" s="406" t="str">
        <f>INDEX(数据元说明!A:F,MATCH(I1193,数据元说明!C:C,0),2)</f>
        <v>005044</v>
      </c>
      <c r="K1193" s="138" t="str">
        <f>INDEX(数据元说明!A:F,MATCH(I1193,数据元说明!C:C,0),5)</f>
        <v>未收回，部分收回，完全收回。</v>
      </c>
      <c r="L1193" s="136" t="str">
        <f>INDEX(数据元说明!A:F,MATCH(I1193,数据元说明!C:C,0),6)</f>
        <v>C..12</v>
      </c>
      <c r="M1193" s="224" t="s">
        <v>3892</v>
      </c>
      <c r="N1193" s="205" t="s">
        <v>25</v>
      </c>
      <c r="O1193" s="206" t="s">
        <v>1613</v>
      </c>
      <c r="P1193" s="205"/>
    </row>
    <row r="1194" s="81" customFormat="1" ht="30" customHeight="1" outlineLevel="1" spans="1:16">
      <c r="A1194" s="141"/>
      <c r="B1194" s="142"/>
      <c r="C1194" s="177"/>
      <c r="D1194" s="177"/>
      <c r="E1194" s="142"/>
      <c r="F1194" s="135" t="s">
        <v>3893</v>
      </c>
      <c r="G1194" s="136" t="s">
        <v>3894</v>
      </c>
      <c r="H1194" s="232" t="s">
        <v>3895</v>
      </c>
      <c r="I1194" s="135" t="s">
        <v>349</v>
      </c>
      <c r="J1194" s="136" t="str">
        <f>INDEX(数据元说明!A:F,MATCH(I1194,数据元说明!C:C,0),2)</f>
        <v>001016</v>
      </c>
      <c r="K1194" s="138" t="str">
        <f>INDEX(数据元说明!A:F,MATCH(I1194,数据元说明!C:C,0),5)</f>
        <v>工号，银行自定义。</v>
      </c>
      <c r="L1194" s="136" t="str">
        <f>INDEX(数据元说明!A:F,MATCH(I1194,数据元说明!C:C,0),6)</f>
        <v>C..30</v>
      </c>
      <c r="M1194" s="224" t="s">
        <v>3896</v>
      </c>
      <c r="N1194" s="129" t="s">
        <v>25</v>
      </c>
      <c r="O1194" s="139" t="s">
        <v>1514</v>
      </c>
      <c r="P1194" s="205"/>
    </row>
    <row r="1195" s="81" customFormat="1" ht="30" customHeight="1" outlineLevel="1" spans="1:16">
      <c r="A1195" s="134"/>
      <c r="B1195" s="47"/>
      <c r="C1195" s="39"/>
      <c r="D1195" s="39"/>
      <c r="E1195" s="47"/>
      <c r="F1195" s="135" t="s">
        <v>938</v>
      </c>
      <c r="G1195" s="136" t="s">
        <v>3897</v>
      </c>
      <c r="H1195" s="232" t="s">
        <v>3898</v>
      </c>
      <c r="I1195" s="135" t="s">
        <v>938</v>
      </c>
      <c r="J1195" s="406" t="str">
        <f>INDEX(数据元说明!A:F,MATCH(I1195,数据元说明!C:C,0),2)</f>
        <v>005051</v>
      </c>
      <c r="K1195" s="138" t="str">
        <f>INDEX(数据元说明!A:F,MATCH(I1195,数据元说明!C:C,0),5)</f>
        <v>账销案存，完全终结。</v>
      </c>
      <c r="L1195" s="136" t="str">
        <f>INDEX(数据元说明!A:F,MATCH(I1195,数据元说明!C:C,0),6)</f>
        <v>C12</v>
      </c>
      <c r="M1195" s="138" t="s">
        <v>3899</v>
      </c>
      <c r="N1195" s="164" t="s">
        <v>57</v>
      </c>
      <c r="O1195" s="140"/>
      <c r="P1195" s="205"/>
    </row>
    <row r="1196" s="81" customFormat="1" ht="30" customHeight="1" outlineLevel="1" spans="1:16">
      <c r="A1196" s="134"/>
      <c r="B1196" s="47"/>
      <c r="C1196" s="39"/>
      <c r="D1196" s="39"/>
      <c r="E1196" s="47"/>
      <c r="F1196" s="169" t="s">
        <v>449</v>
      </c>
      <c r="G1196" s="148" t="s">
        <v>1571</v>
      </c>
      <c r="H1196" s="148" t="s">
        <v>3900</v>
      </c>
      <c r="I1196" s="169" t="s">
        <v>449</v>
      </c>
      <c r="J1196" s="170" t="str">
        <f>INDEX(数据元说明!A:F,MATCH(I1196,数据元说明!C:C,0),2)</f>
        <v>001040</v>
      </c>
      <c r="K1196" s="171" t="str">
        <f>INDEX(数据元说明!A:F,MATCH(I1196,数据元说明!C:C,0),5)</f>
        <v>银行自定义。</v>
      </c>
      <c r="L1196" s="170" t="str">
        <f>INDEX(数据元说明!A:F,MATCH(I1196,数据元说明!C:C,0),6)</f>
        <v>C..600</v>
      </c>
      <c r="M1196" s="149" t="s">
        <v>1573</v>
      </c>
      <c r="N1196" s="172" t="s">
        <v>57</v>
      </c>
      <c r="O1196" s="173"/>
      <c r="P1196" s="173"/>
    </row>
    <row r="1197" s="61" customFormat="1" ht="30" customHeight="1" outlineLevel="1" spans="1:16">
      <c r="A1197" s="130"/>
      <c r="B1197" s="36"/>
      <c r="C1197" s="25"/>
      <c r="D1197" s="25"/>
      <c r="E1197" s="36"/>
      <c r="F1197" s="131" t="s">
        <v>1574</v>
      </c>
      <c r="G1197" s="31" t="s">
        <v>1575</v>
      </c>
      <c r="H1197" s="233" t="s">
        <v>3901</v>
      </c>
      <c r="I1197" s="131" t="s">
        <v>302</v>
      </c>
      <c r="J1197" s="31" t="str">
        <f>INDEX(数据元说明!A:F,MATCH(I1197,数据元说明!C:C,0),2)</f>
        <v>001005</v>
      </c>
      <c r="K1197" s="133" t="str">
        <f>INDEX(数据元说明!A:F,MATCH(I1197,数据元说明!C:C,0),5)</f>
        <v>YYYYMMDD，默认值99991231。</v>
      </c>
      <c r="L1197" s="31" t="str">
        <f>INDEX(数据元说明!A:F,MATCH(I1197,数据元说明!C:C,0),6)</f>
        <v>C8</v>
      </c>
      <c r="M1197" s="133" t="s">
        <v>1577</v>
      </c>
      <c r="N1197" s="99"/>
      <c r="O1197" s="99"/>
      <c r="P1197" s="41"/>
    </row>
    <row r="1198" s="61" customFormat="1" ht="30" customHeight="1" spans="1:16">
      <c r="A1198" s="125"/>
      <c r="B1198" s="34"/>
      <c r="C1198" s="19" t="s">
        <v>184</v>
      </c>
      <c r="D1198" s="24" t="s">
        <v>185</v>
      </c>
      <c r="E1198" s="227" t="s">
        <v>3902</v>
      </c>
      <c r="F1198" s="127"/>
      <c r="G1198" s="126"/>
      <c r="H1198" s="227"/>
      <c r="I1198" s="127"/>
      <c r="J1198" s="126"/>
      <c r="K1198" s="152"/>
      <c r="L1198" s="126"/>
      <c r="M1198" s="128" t="str">
        <f>INDEX(表结构总览!E:H,MATCH(D1198,表结构总览!E:E,0),4)</f>
        <v>所有表内信贷业务+委托贷款展期信息。不报送除委托贷款以外的表外业务。</v>
      </c>
      <c r="N1198" s="129" t="s">
        <v>25</v>
      </c>
      <c r="O1198" s="139" t="s">
        <v>449</v>
      </c>
      <c r="P1198" s="41"/>
    </row>
    <row r="1199" ht="30" customHeight="1" outlineLevel="1" spans="1:16">
      <c r="E1199" s="94"/>
      <c r="F1199" s="97" t="s">
        <v>325</v>
      </c>
      <c r="G1199" s="29" t="s">
        <v>1520</v>
      </c>
      <c r="H1199" s="96" t="s">
        <v>3903</v>
      </c>
      <c r="I1199" s="97" t="s">
        <v>325</v>
      </c>
      <c r="J1199" s="29" t="str">
        <f>INDEX(数据元说明!A:F,MATCH(I1199,数据元说明!C:C,0),2)</f>
        <v>001010</v>
      </c>
      <c r="K1199" s="98" t="str">
        <f>INDEX(数据元说明!A:F,MATCH(I1199,数据元说明!C:C,0),5)</f>
        <v>12位人行支付行号或SWIFT行号。</v>
      </c>
      <c r="L1199" s="29" t="str">
        <f>INDEX(数据元说明!A:F,MATCH(I1199,数据元说明!C:C,0),6)</f>
        <v>C..30</v>
      </c>
      <c r="M1199" s="98" t="s">
        <v>1579</v>
      </c>
    </row>
    <row r="1200" s="61" customFormat="1" ht="30" customHeight="1" outlineLevel="1" spans="1:16">
      <c r="A1200" s="130"/>
      <c r="B1200" s="36"/>
      <c r="C1200" s="25"/>
      <c r="D1200" s="25"/>
      <c r="E1200" s="36"/>
      <c r="F1200" s="131" t="s">
        <v>329</v>
      </c>
      <c r="G1200" s="31" t="s">
        <v>1526</v>
      </c>
      <c r="H1200" s="96" t="s">
        <v>3904</v>
      </c>
      <c r="I1200" s="131" t="s">
        <v>329</v>
      </c>
      <c r="J1200" s="31" t="str">
        <f>INDEX(数据元说明!A:F,MATCH(I1200,数据元说明!C:C,0),2)</f>
        <v>001011</v>
      </c>
      <c r="K1200" s="133" t="str">
        <f>INDEX(数据元说明!A:F,MATCH(I1200,数据元说明!C:C,0),5)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00" s="31" t="str">
        <f>INDEX(数据元说明!A:F,MATCH(I1200,数据元说明!C:C,0),6)</f>
        <v>C..30</v>
      </c>
      <c r="M1200" s="133" t="s">
        <v>3204</v>
      </c>
      <c r="N1200" s="99"/>
      <c r="O1200" s="99"/>
      <c r="P1200" s="99"/>
    </row>
    <row r="1201" ht="30" customHeight="1" outlineLevel="1" spans="1:16">
      <c r="E1201" s="94"/>
      <c r="F1201" s="97" t="s">
        <v>333</v>
      </c>
      <c r="G1201" s="29" t="s">
        <v>1523</v>
      </c>
      <c r="H1201" s="96" t="s">
        <v>3905</v>
      </c>
      <c r="I1201" s="97" t="s">
        <v>333</v>
      </c>
      <c r="J1201" s="29" t="str">
        <f>INDEX(数据元说明!A:F,MATCH(I1201,数据元说明!C:C,0),2)</f>
        <v>001012</v>
      </c>
      <c r="K1201" s="98" t="str">
        <f>INDEX(数据元说明!A:F,MATCH(I1201,数据元说明!C:C,0),5)</f>
        <v>银行内部机构号。应具有标识机构的唯一性。</v>
      </c>
      <c r="L1201" s="29" t="str">
        <f>INDEX(数据元说明!A:F,MATCH(I1201,数据元说明!C:C,0),6)</f>
        <v>C..30</v>
      </c>
      <c r="M1201" s="98" t="s">
        <v>1834</v>
      </c>
    </row>
    <row r="1202" s="61" customFormat="1" ht="30" customHeight="1" outlineLevel="1" spans="1:16">
      <c r="A1202" s="93"/>
      <c r="B1202" s="94"/>
      <c r="C1202" s="95"/>
      <c r="D1202" s="95"/>
      <c r="E1202" s="94"/>
      <c r="F1202" s="97" t="s">
        <v>453</v>
      </c>
      <c r="G1202" s="29" t="s">
        <v>1680</v>
      </c>
      <c r="H1202" s="96" t="s">
        <v>3906</v>
      </c>
      <c r="I1202" s="97" t="s">
        <v>453</v>
      </c>
      <c r="J1202" s="29" t="str">
        <f>INDEX(数据元说明!A:F,MATCH(I1202,数据元说明!C:C,0),2)</f>
        <v>002001</v>
      </c>
      <c r="K1202" s="98" t="str">
        <f>INDEX(数据元说明!A:F,MATCH(I1202,数据元说明!C:C,0),5)</f>
        <v>银行自定义的唯一识别客户的标识。供应链融资的填写供应链融资编码。</v>
      </c>
      <c r="L1202" s="29" t="str">
        <f>INDEX(数据元说明!A:F,MATCH(I1202,数据元说明!C:C,0),6)</f>
        <v>C..60</v>
      </c>
      <c r="M1202" s="98" t="s">
        <v>1697</v>
      </c>
      <c r="N1202" s="33" t="s">
        <v>25</v>
      </c>
      <c r="O1202" s="99"/>
      <c r="P1202" s="204" t="s">
        <v>1588</v>
      </c>
    </row>
    <row r="1203" s="81" customFormat="1" ht="30" customHeight="1" outlineLevel="1" spans="1:16">
      <c r="A1203" s="134"/>
      <c r="B1203" s="47"/>
      <c r="C1203" s="39"/>
      <c r="D1203" s="39"/>
      <c r="E1203" s="47"/>
      <c r="F1203" s="135" t="s">
        <v>1864</v>
      </c>
      <c r="G1203" s="136" t="s">
        <v>1865</v>
      </c>
      <c r="H1203" s="153" t="s">
        <v>3907</v>
      </c>
      <c r="I1203" s="135" t="s">
        <v>282</v>
      </c>
      <c r="J1203" s="136" t="str">
        <f>INDEX(数据元说明!A:F,MATCH(I1203,数据元说明!C:C,0),2)</f>
        <v>001001</v>
      </c>
      <c r="K1203" s="138" t="str">
        <f>INDEX(数据元说明!A:F,MATCH(I1203,数据元说明!C:C,0),5)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203" s="136" t="str">
        <f>INDEX(数据元说明!A:F,MATCH(I1203,数据元说明!C:C,0),6)</f>
        <v>C..400</v>
      </c>
      <c r="M1203" s="138" t="s">
        <v>2894</v>
      </c>
      <c r="N1203" s="164" t="s">
        <v>57</v>
      </c>
      <c r="O1203" s="140"/>
      <c r="P1203" s="206"/>
    </row>
    <row r="1204" s="61" customFormat="1" ht="30" customHeight="1" outlineLevel="1" spans="1:16">
      <c r="A1204" s="93"/>
      <c r="B1204" s="94"/>
      <c r="C1204" s="95"/>
      <c r="D1204" s="95"/>
      <c r="E1204" s="94"/>
      <c r="F1204" s="97" t="s">
        <v>1038</v>
      </c>
      <c r="G1204" s="29" t="s">
        <v>3908</v>
      </c>
      <c r="H1204" s="96" t="s">
        <v>3909</v>
      </c>
      <c r="I1204" s="97" t="s">
        <v>1038</v>
      </c>
      <c r="J1204" s="29" t="str">
        <f>INDEX(数据元说明!A:F,MATCH(I1204,数据元说明!C:C,0),2)</f>
        <v>007007</v>
      </c>
      <c r="K1204" s="98" t="str">
        <f>INDEX(数据元说明!A:F,MATCH(I1204,数据元说明!C:C,0),5)</f>
        <v>贷款展期编号。</v>
      </c>
      <c r="L1204" s="29" t="str">
        <f>INDEX(数据元说明!A:F,MATCH(I1204,数据元说明!C:C,0),6)</f>
        <v>C..60</v>
      </c>
      <c r="M1204" s="98" t="s">
        <v>1587</v>
      </c>
      <c r="N1204" s="33" t="s">
        <v>25</v>
      </c>
      <c r="O1204" s="99"/>
      <c r="P1204" s="204" t="s">
        <v>1588</v>
      </c>
    </row>
    <row r="1205" s="81" customFormat="1" ht="30" customHeight="1" outlineLevel="1" spans="1:16">
      <c r="A1205" s="141"/>
      <c r="B1205" s="142"/>
      <c r="C1205" s="39"/>
      <c r="D1205" s="39"/>
      <c r="E1205" s="47"/>
      <c r="F1205" s="135" t="s">
        <v>1042</v>
      </c>
      <c r="G1205" s="136" t="s">
        <v>3856</v>
      </c>
      <c r="H1205" s="153" t="s">
        <v>3910</v>
      </c>
      <c r="I1205" s="135" t="s">
        <v>1042</v>
      </c>
      <c r="J1205" s="136" t="str">
        <f>INDEX(数据元说明!A:F,MATCH(I1205,数据元说明!C:C,0),2)</f>
        <v>007008</v>
      </c>
      <c r="K1205" s="138" t="str">
        <f>INDEX(数据元说明!A:F,MATCH(I1205,数据元说明!C:C,0),5)</f>
        <v>个人贷款，对公贷款，信用卡贷款。</v>
      </c>
      <c r="L1205" s="136" t="str">
        <f>INDEX(数据元说明!A:F,MATCH(I1205,数据元说明!C:C,0),6)</f>
        <v>C..20</v>
      </c>
      <c r="M1205" s="138" t="s">
        <v>3858</v>
      </c>
      <c r="N1205" s="143" t="s">
        <v>57</v>
      </c>
      <c r="O1205" s="140"/>
      <c r="P1205" s="205"/>
    </row>
    <row r="1206" s="81" customFormat="1" ht="30" customHeight="1" outlineLevel="1" spans="1:16">
      <c r="A1206" s="154"/>
      <c r="B1206" s="155"/>
      <c r="C1206" s="156"/>
      <c r="D1206" s="156"/>
      <c r="E1206" s="155"/>
      <c r="F1206" s="157" t="s">
        <v>2895</v>
      </c>
      <c r="G1206" s="43" t="s">
        <v>2896</v>
      </c>
      <c r="H1206" s="153" t="s">
        <v>3911</v>
      </c>
      <c r="I1206" s="157" t="s">
        <v>681</v>
      </c>
      <c r="J1206" s="43" t="str">
        <f>INDEX(数据元说明!A:F,MATCH(I1206,数据元说明!C:C,0),2)</f>
        <v>003028</v>
      </c>
      <c r="K1206" s="158" t="str">
        <f>INDEX(数据元说明!A:F,MATCH(I1206,数据元说明!C:C,0),5)</f>
        <v>合同号。</v>
      </c>
      <c r="L1206" s="43" t="str">
        <f>INDEX(数据元说明!A:F,MATCH(I1206,数据元说明!C:C,0),6)</f>
        <v>C..100</v>
      </c>
      <c r="M1206" s="158" t="s">
        <v>3912</v>
      </c>
      <c r="N1206" s="129" t="s">
        <v>25</v>
      </c>
      <c r="O1206" s="129" t="s">
        <v>449</v>
      </c>
      <c r="P1206" s="206" t="s">
        <v>1588</v>
      </c>
    </row>
    <row r="1207" s="81" customFormat="1" ht="30" customHeight="1" outlineLevel="1" spans="1:16">
      <c r="A1207" s="154"/>
      <c r="B1207" s="155"/>
      <c r="C1207" s="156"/>
      <c r="D1207" s="156"/>
      <c r="E1207" s="155"/>
      <c r="F1207" s="157" t="s">
        <v>2752</v>
      </c>
      <c r="G1207" s="43" t="s">
        <v>2753</v>
      </c>
      <c r="H1207" s="153" t="s">
        <v>3913</v>
      </c>
      <c r="I1207" s="157" t="s">
        <v>677</v>
      </c>
      <c r="J1207" s="43" t="str">
        <f>INDEX(数据元说明!A:F,MATCH(I1207,数据元说明!C:C,0),2)</f>
        <v>003027</v>
      </c>
      <c r="K1207" s="158" t="str">
        <f>INDEX(数据元说明!A:F,MATCH(I1207,数据元说明!C:C,0),5)</f>
        <v>借据统一编号。</v>
      </c>
      <c r="L1207" s="43" t="str">
        <f>INDEX(数据元说明!A:F,MATCH(I1207,数据元说明!C:C,0),6)</f>
        <v>C..100</v>
      </c>
      <c r="M1207" s="158" t="s">
        <v>1525</v>
      </c>
      <c r="N1207" s="139" t="s">
        <v>25</v>
      </c>
      <c r="O1207" s="140"/>
      <c r="P1207" s="206" t="s">
        <v>3914</v>
      </c>
    </row>
    <row r="1208" s="81" customFormat="1" ht="30" customHeight="1" outlineLevel="1" spans="1:16">
      <c r="A1208" s="154"/>
      <c r="B1208" s="155"/>
      <c r="C1208" s="156"/>
      <c r="D1208" s="156"/>
      <c r="E1208" s="155"/>
      <c r="F1208" s="157" t="s">
        <v>624</v>
      </c>
      <c r="G1208" s="43" t="s">
        <v>1989</v>
      </c>
      <c r="H1208" s="153" t="s">
        <v>3915</v>
      </c>
      <c r="I1208" s="157" t="s">
        <v>624</v>
      </c>
      <c r="J1208" s="43" t="str">
        <f>INDEX(数据元说明!A:F,MATCH(I1208,数据元说明!C:C,0),2)</f>
        <v>003014</v>
      </c>
      <c r="K1208" s="158" t="str">
        <f>INDEX(数据元说明!A:F,MATCH(I1208,数据元说明!C:C,0),5)</f>
        <v>遵循《GB/T 12406 表示货币和资金的代码》的字母代码，如CNY。上述文件所列币种无法涵盖的，允许银行自定义填报。多个币种合计折算为人民币（本外币合计）的，填报为BWB。</v>
      </c>
      <c r="L1208" s="43" t="str">
        <f>INDEX(数据元说明!A:F,MATCH(I1208,数据元说明!C:C,0),6)</f>
        <v>C3</v>
      </c>
      <c r="M1208" s="158"/>
      <c r="N1208" s="140" t="s">
        <v>57</v>
      </c>
      <c r="O1208" s="140"/>
      <c r="P1208" s="205"/>
    </row>
    <row r="1209" ht="30" customHeight="1" outlineLevel="1" spans="1:16">
      <c r="E1209" s="94"/>
      <c r="F1209" s="97" t="s">
        <v>3916</v>
      </c>
      <c r="G1209" s="29" t="s">
        <v>3917</v>
      </c>
      <c r="H1209" s="96" t="s">
        <v>3918</v>
      </c>
      <c r="I1209" s="97" t="s">
        <v>609</v>
      </c>
      <c r="J1209" s="29" t="str">
        <f>INDEX(数据元说明!A:F,MATCH(I1209,数据元说明!C:C,0),2)</f>
        <v>003010</v>
      </c>
      <c r="K1209" s="98" t="str">
        <f>INDEX(数据元说明!A:F,MATCH(I1209,数据元说明!C:C,0),5)</f>
        <v>与币种相对应金额。</v>
      </c>
      <c r="L1209" s="29" t="str">
        <f>INDEX(数据元说明!A:F,MATCH(I1209,数据元说明!C:C,0),6)</f>
        <v>D20.2</v>
      </c>
    </row>
    <row r="1210" ht="30" customHeight="1" outlineLevel="1" spans="1:16">
      <c r="E1210" s="94"/>
      <c r="F1210" s="97" t="s">
        <v>3919</v>
      </c>
      <c r="G1210" s="29" t="s">
        <v>3920</v>
      </c>
      <c r="H1210" s="96" t="s">
        <v>3921</v>
      </c>
      <c r="I1210" s="97" t="s">
        <v>302</v>
      </c>
      <c r="J1210" s="29" t="str">
        <f>INDEX(数据元说明!A:F,MATCH(I1210,数据元说明!C:C,0),2)</f>
        <v>001005</v>
      </c>
      <c r="K1210" s="98" t="str">
        <f>INDEX(数据元说明!A:F,MATCH(I1210,数据元说明!C:C,0),5)</f>
        <v>YYYYMMDD，默认值99991231。</v>
      </c>
      <c r="L1210" s="29" t="str">
        <f>INDEX(数据元说明!A:F,MATCH(I1210,数据元说明!C:C,0),6)</f>
        <v>C8</v>
      </c>
    </row>
    <row r="1211" ht="30" customHeight="1" outlineLevel="1" spans="1:16">
      <c r="E1211" s="94"/>
      <c r="F1211" s="97" t="s">
        <v>3922</v>
      </c>
      <c r="G1211" s="29" t="s">
        <v>3923</v>
      </c>
      <c r="H1211" s="96" t="s">
        <v>3924</v>
      </c>
      <c r="I1211" s="97" t="s">
        <v>302</v>
      </c>
      <c r="J1211" s="29" t="str">
        <f>INDEX(数据元说明!A:F,MATCH(I1211,数据元说明!C:C,0),2)</f>
        <v>001005</v>
      </c>
      <c r="K1211" s="98" t="str">
        <f>INDEX(数据元说明!A:F,MATCH(I1211,数据元说明!C:C,0),5)</f>
        <v>YYYYMMDD，默认值99991231。</v>
      </c>
      <c r="L1211" s="29" t="str">
        <f>INDEX(数据元说明!A:F,MATCH(I1211,数据元说明!C:C,0),6)</f>
        <v>C8</v>
      </c>
    </row>
    <row r="1212" s="91" customFormat="1" ht="30" customHeight="1" outlineLevel="1" spans="1:16">
      <c r="A1212" s="234"/>
      <c r="B1212" s="235"/>
      <c r="E1212" s="236"/>
      <c r="F1212" s="138" t="s">
        <v>1117</v>
      </c>
      <c r="G1212" s="140" t="s">
        <v>3035</v>
      </c>
      <c r="H1212" s="153" t="s">
        <v>3925</v>
      </c>
      <c r="I1212" s="138" t="s">
        <v>1117</v>
      </c>
      <c r="J1212" s="406" t="str">
        <f>INDEX(数据元说明!A:F,MATCH(I1212,数据元说明!C:C,0),2)</f>
        <v>010006</v>
      </c>
      <c r="K1212" s="138" t="str">
        <f>INDEX(数据元说明!A:F,MATCH(I1212,数据元说明!C:C,0),5)</f>
        <v>LPR，非LPR。</v>
      </c>
      <c r="L1212" s="136" t="str">
        <f>INDEX(数据元说明!A:F,MATCH(I1212,数据元说明!C:C,0),6)</f>
        <v>C..6</v>
      </c>
      <c r="M1212" s="138" t="s">
        <v>3926</v>
      </c>
      <c r="N1212" s="187" t="s">
        <v>25</v>
      </c>
      <c r="O1212" s="129" t="s">
        <v>3927</v>
      </c>
      <c r="P1212" s="205"/>
    </row>
    <row r="1213" s="81" customFormat="1" ht="30" customHeight="1" outlineLevel="1" spans="1:16">
      <c r="A1213" s="154"/>
      <c r="B1213" s="155"/>
      <c r="C1213" s="156"/>
      <c r="D1213" s="156"/>
      <c r="E1213" s="155"/>
      <c r="F1213" s="157" t="s">
        <v>3928</v>
      </c>
      <c r="G1213" s="43" t="s">
        <v>3929</v>
      </c>
      <c r="H1213" s="153" t="s">
        <v>3930</v>
      </c>
      <c r="I1213" s="157" t="s">
        <v>660</v>
      </c>
      <c r="J1213" s="43" t="str">
        <f>INDEX(数据元说明!A:F,MATCH(I1213,数据元说明!C:C,0),2)</f>
        <v>003023</v>
      </c>
      <c r="K1213" s="158" t="str">
        <f>INDEX(数据元说明!A:F,MATCH(I1213,数据元说明!C:C,0),5)</f>
        <v>百分比为单位，即%，如4.5%填报为4.5。</v>
      </c>
      <c r="L1213" s="43" t="str">
        <f>INDEX(数据元说明!A:F,MATCH(I1213,数据元说明!C:C,0),6)</f>
        <v>D10.4</v>
      </c>
      <c r="M1213" s="158" t="s">
        <v>2759</v>
      </c>
      <c r="N1213" s="140" t="s">
        <v>25</v>
      </c>
      <c r="O1213" s="140"/>
      <c r="P1213" s="205" t="s">
        <v>1606</v>
      </c>
    </row>
    <row r="1214" s="91" customFormat="1" ht="30" customHeight="1" outlineLevel="1" spans="1:16">
      <c r="A1214" s="234"/>
      <c r="B1214" s="235"/>
      <c r="E1214" s="236"/>
      <c r="F1214" s="138" t="s">
        <v>3931</v>
      </c>
      <c r="G1214" s="140" t="s">
        <v>3932</v>
      </c>
      <c r="H1214" s="153" t="s">
        <v>3933</v>
      </c>
      <c r="I1214" s="138" t="s">
        <v>660</v>
      </c>
      <c r="J1214" s="136" t="str">
        <f>INDEX(数据元说明!A:F,MATCH(I1214,数据元说明!C:C,0),2)</f>
        <v>003023</v>
      </c>
      <c r="K1214" s="138" t="str">
        <f>INDEX(数据元说明!A:F,MATCH(I1214,数据元说明!C:C,0),5)</f>
        <v>百分比为单位，即%，如4.5%填报为4.5。</v>
      </c>
      <c r="L1214" s="136" t="str">
        <f>INDEX(数据元说明!A:F,MATCH(I1214,数据元说明!C:C,0),6)</f>
        <v>D10.4</v>
      </c>
      <c r="M1214" s="138" t="s">
        <v>2759</v>
      </c>
      <c r="N1214" s="140" t="s">
        <v>25</v>
      </c>
      <c r="O1214" s="140" t="s">
        <v>449</v>
      </c>
      <c r="P1214" s="205"/>
    </row>
    <row r="1215" s="81" customFormat="1" ht="30" customHeight="1" outlineLevel="1" spans="1:16">
      <c r="A1215" s="167"/>
      <c r="B1215" s="168"/>
      <c r="C1215" s="156"/>
      <c r="D1215" s="156"/>
      <c r="E1215" s="155"/>
      <c r="F1215" s="157" t="s">
        <v>3694</v>
      </c>
      <c r="G1215" s="43" t="s">
        <v>3695</v>
      </c>
      <c r="H1215" s="153" t="s">
        <v>3934</v>
      </c>
      <c r="I1215" s="157" t="s">
        <v>349</v>
      </c>
      <c r="J1215" s="43" t="str">
        <f>INDEX(数据元说明!A:F,MATCH(I1215,数据元说明!C:C,0),2)</f>
        <v>001016</v>
      </c>
      <c r="K1215" s="158" t="str">
        <f>INDEX(数据元说明!A:F,MATCH(I1215,数据元说明!C:C,0),5)</f>
        <v>工号，银行自定义。</v>
      </c>
      <c r="L1215" s="43" t="str">
        <f>INDEX(数据元说明!A:F,MATCH(I1215,数据元说明!C:C,0),6)</f>
        <v>C..30</v>
      </c>
      <c r="M1215" s="224" t="s">
        <v>3935</v>
      </c>
      <c r="N1215" s="140" t="s">
        <v>25</v>
      </c>
      <c r="O1215" s="140"/>
      <c r="P1215" s="205" t="s">
        <v>1606</v>
      </c>
    </row>
    <row r="1216" s="81" customFormat="1" ht="30" customHeight="1" outlineLevel="1" spans="1:16">
      <c r="A1216" s="134"/>
      <c r="B1216" s="47"/>
      <c r="C1216" s="39"/>
      <c r="D1216" s="39"/>
      <c r="E1216" s="47"/>
      <c r="F1216" s="169" t="s">
        <v>449</v>
      </c>
      <c r="G1216" s="148" t="s">
        <v>1571</v>
      </c>
      <c r="H1216" s="148" t="s">
        <v>3936</v>
      </c>
      <c r="I1216" s="169" t="s">
        <v>449</v>
      </c>
      <c r="J1216" s="170" t="str">
        <f>INDEX(数据元说明!A:F,MATCH(I1216,数据元说明!C:C,0),2)</f>
        <v>001040</v>
      </c>
      <c r="K1216" s="171" t="str">
        <f>INDEX(数据元说明!A:F,MATCH(I1216,数据元说明!C:C,0),5)</f>
        <v>银行自定义。</v>
      </c>
      <c r="L1216" s="170" t="str">
        <f>INDEX(数据元说明!A:F,MATCH(I1216,数据元说明!C:C,0),6)</f>
        <v>C..600</v>
      </c>
      <c r="M1216" s="149" t="s">
        <v>1573</v>
      </c>
      <c r="N1216" s="172" t="s">
        <v>57</v>
      </c>
      <c r="O1216" s="173"/>
      <c r="P1216" s="173"/>
    </row>
    <row r="1217" ht="30" customHeight="1" outlineLevel="1" spans="1:16">
      <c r="E1217" s="94"/>
      <c r="F1217" s="97" t="s">
        <v>1574</v>
      </c>
      <c r="G1217" s="29" t="s">
        <v>1575</v>
      </c>
      <c r="H1217" s="96" t="s">
        <v>3937</v>
      </c>
      <c r="I1217" s="97" t="s">
        <v>302</v>
      </c>
      <c r="J1217" s="29" t="str">
        <f>INDEX(数据元说明!A:F,MATCH(I1217,数据元说明!C:C,0),2)</f>
        <v>001005</v>
      </c>
      <c r="K1217" s="98" t="str">
        <f>INDEX(数据元说明!A:F,MATCH(I1217,数据元说明!C:C,0),5)</f>
        <v>YYYYMMDD，默认值99991231。</v>
      </c>
      <c r="L1217" s="29" t="str">
        <f>INDEX(数据元说明!A:F,MATCH(I1217,数据元说明!C:C,0),6)</f>
        <v>C8</v>
      </c>
      <c r="M1217" s="98" t="s">
        <v>1577</v>
      </c>
    </row>
    <row r="1218" s="61" customFormat="1" ht="30" customHeight="1" spans="1:16">
      <c r="A1218" s="125"/>
      <c r="B1218" s="34"/>
      <c r="C1218" s="19" t="s">
        <v>187</v>
      </c>
      <c r="D1218" s="24" t="s">
        <v>188</v>
      </c>
      <c r="E1218" s="227" t="s">
        <v>3938</v>
      </c>
      <c r="F1218" s="127"/>
      <c r="G1218" s="126"/>
      <c r="H1218" s="227"/>
      <c r="I1218" s="127"/>
      <c r="J1218" s="126"/>
      <c r="K1218" s="152"/>
      <c r="L1218" s="126"/>
      <c r="M1218" s="128" t="str">
        <f>INDEX(表结构总览!E:H,MATCH(D1218,表结构总览!E:E,0),4)</f>
        <v>业务范围：包含1104报表G34《信贷资产转让情况统计表》口径业务，但还包含转入的信贷资产。仅报送行外的转让，行内机构间的转让无需报送。票据的买卖、买入返售、卖出回购不在本表填报。含已核销贷款，本金按实际填写0即可。终结的转让合同在报送最后状态后不再报送。 </v>
      </c>
      <c r="N1218" s="139" t="s">
        <v>25</v>
      </c>
      <c r="O1218" s="139" t="s">
        <v>449</v>
      </c>
      <c r="P1218" s="41"/>
    </row>
    <row r="1219" s="61" customFormat="1" ht="30" customHeight="1" outlineLevel="1" spans="1:16">
      <c r="A1219" s="184"/>
      <c r="B1219" s="185"/>
      <c r="C1219" s="25"/>
      <c r="D1219" s="25"/>
      <c r="E1219" s="36"/>
      <c r="F1219" s="131" t="s">
        <v>325</v>
      </c>
      <c r="G1219" s="31" t="s">
        <v>1520</v>
      </c>
      <c r="H1219" s="132" t="s">
        <v>3939</v>
      </c>
      <c r="I1219" s="131" t="s">
        <v>325</v>
      </c>
      <c r="J1219" s="31" t="str">
        <f>INDEX(数据元说明!A:F,MATCH(I1219,数据元说明!C:C,0),2)</f>
        <v>001010</v>
      </c>
      <c r="K1219" s="133" t="str">
        <f>INDEX(数据元说明!A:F,MATCH(I1219,数据元说明!C:C,0),5)</f>
        <v>12位人行支付行号或SWIFT行号。</v>
      </c>
      <c r="L1219" s="31" t="str">
        <f>INDEX(数据元说明!A:F,MATCH(I1219,数据元说明!C:C,0),6)</f>
        <v>C..30</v>
      </c>
      <c r="M1219" s="133" t="s">
        <v>3940</v>
      </c>
      <c r="N1219" s="99"/>
      <c r="O1219" s="99"/>
      <c r="P1219" s="41"/>
    </row>
    <row r="1220" s="61" customFormat="1" ht="30" customHeight="1" outlineLevel="1" spans="1:16">
      <c r="A1220" s="130"/>
      <c r="B1220" s="36"/>
      <c r="C1220" s="25"/>
      <c r="D1220" s="25"/>
      <c r="E1220" s="36"/>
      <c r="F1220" s="131" t="s">
        <v>329</v>
      </c>
      <c r="G1220" s="31" t="s">
        <v>1526</v>
      </c>
      <c r="H1220" s="132" t="s">
        <v>3941</v>
      </c>
      <c r="I1220" s="131" t="s">
        <v>329</v>
      </c>
      <c r="J1220" s="31" t="str">
        <f>INDEX(数据元说明!A:F,MATCH(I1220,数据元说明!C:C,0),2)</f>
        <v>001011</v>
      </c>
      <c r="K1220" s="133" t="str">
        <f>INDEX(数据元说明!A:F,MATCH(I1220,数据元说明!C:C,0),5)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20" s="31" t="str">
        <f>INDEX(数据元说明!A:F,MATCH(I1220,数据元说明!C:C,0),6)</f>
        <v>C..30</v>
      </c>
      <c r="M1220" s="133" t="s">
        <v>3942</v>
      </c>
      <c r="N1220" s="99"/>
      <c r="O1220" s="99"/>
      <c r="P1220" s="99"/>
    </row>
    <row r="1221" s="61" customFormat="1" ht="30" customHeight="1" outlineLevel="1" spans="1:16">
      <c r="A1221" s="184"/>
      <c r="B1221" s="185"/>
      <c r="C1221" s="25"/>
      <c r="D1221" s="25"/>
      <c r="E1221" s="36"/>
      <c r="F1221" s="131" t="s">
        <v>333</v>
      </c>
      <c r="G1221" s="31" t="s">
        <v>1523</v>
      </c>
      <c r="H1221" s="132" t="s">
        <v>3943</v>
      </c>
      <c r="I1221" s="131" t="s">
        <v>333</v>
      </c>
      <c r="J1221" s="31" t="str">
        <f>INDEX(数据元说明!A:F,MATCH(I1221,数据元说明!C:C,0),2)</f>
        <v>001012</v>
      </c>
      <c r="K1221" s="133" t="str">
        <f>INDEX(数据元说明!A:F,MATCH(I1221,数据元说明!C:C,0),5)</f>
        <v>银行内部机构号。应具有标识机构的唯一性。</v>
      </c>
      <c r="L1221" s="31" t="str">
        <f>INDEX(数据元说明!A:F,MATCH(I1221,数据元说明!C:C,0),6)</f>
        <v>C..30</v>
      </c>
      <c r="M1221" s="133" t="s">
        <v>3944</v>
      </c>
      <c r="N1221" s="33"/>
      <c r="O1221" s="33"/>
      <c r="P1221" s="204"/>
    </row>
    <row r="1222" s="81" customFormat="1" ht="30" customHeight="1" outlineLevel="1" spans="1:16">
      <c r="A1222" s="141"/>
      <c r="B1222" s="142"/>
      <c r="C1222" s="39"/>
      <c r="D1222" s="39"/>
      <c r="E1222" s="47"/>
      <c r="F1222" s="135" t="s">
        <v>3945</v>
      </c>
      <c r="G1222" s="136" t="s">
        <v>3946</v>
      </c>
      <c r="H1222" s="137" t="s">
        <v>3947</v>
      </c>
      <c r="I1222" s="135" t="s">
        <v>681</v>
      </c>
      <c r="J1222" s="136" t="str">
        <f>INDEX(数据元说明!A:F,MATCH(I1222,数据元说明!C:C,0),2)</f>
        <v>003028</v>
      </c>
      <c r="K1222" s="138" t="str">
        <f>INDEX(数据元说明!A:F,MATCH(I1222,数据元说明!C:C,0),5)</f>
        <v>合同号。</v>
      </c>
      <c r="L1222" s="136" t="str">
        <f>INDEX(数据元说明!A:F,MATCH(I1222,数据元说明!C:C,0),6)</f>
        <v>C..100</v>
      </c>
      <c r="M1222" s="138" t="s">
        <v>3948</v>
      </c>
      <c r="N1222" s="140" t="s">
        <v>25</v>
      </c>
      <c r="O1222" s="140" t="s">
        <v>449</v>
      </c>
      <c r="P1222" s="205" t="s">
        <v>1588</v>
      </c>
    </row>
    <row r="1223" s="81" customFormat="1" ht="30" customHeight="1" outlineLevel="1" spans="1:16">
      <c r="A1223" s="141"/>
      <c r="B1223" s="142"/>
      <c r="C1223" s="39"/>
      <c r="D1223" s="39"/>
      <c r="E1223" s="47"/>
      <c r="F1223" s="135" t="s">
        <v>3949</v>
      </c>
      <c r="G1223" s="136" t="s">
        <v>3950</v>
      </c>
      <c r="H1223" s="137" t="s">
        <v>3951</v>
      </c>
      <c r="I1223" s="135" t="s">
        <v>1060</v>
      </c>
      <c r="J1223" s="136" t="str">
        <f>INDEX(数据元说明!A:F,MATCH(I1223,数据元说明!C:C,0),2)</f>
        <v>007013</v>
      </c>
      <c r="K1223" s="138" t="str">
        <f>INDEX(数据元说明!A:F,MATCH(I1223,数据元说明!C:C,0),5)</f>
        <v>转入，转出，买入返售，卖出回购。</v>
      </c>
      <c r="L1223" s="136" t="str">
        <f>INDEX(数据元说明!A:F,MATCH(I1223,数据元说明!C:C,0),6)</f>
        <v>C..20</v>
      </c>
      <c r="M1223" s="138"/>
      <c r="N1223" s="143" t="s">
        <v>57</v>
      </c>
      <c r="O1223" s="140"/>
      <c r="P1223" s="205"/>
    </row>
    <row r="1224" s="81" customFormat="1" ht="30" customHeight="1" outlineLevel="1" spans="1:16">
      <c r="A1224" s="141"/>
      <c r="B1224" s="142"/>
      <c r="C1224" s="39"/>
      <c r="D1224" s="39"/>
      <c r="E1224" s="47"/>
      <c r="F1224" s="135" t="s">
        <v>3952</v>
      </c>
      <c r="G1224" s="136" t="s">
        <v>3953</v>
      </c>
      <c r="H1224" s="137" t="s">
        <v>3954</v>
      </c>
      <c r="I1224" s="135" t="s">
        <v>1056</v>
      </c>
      <c r="J1224" s="136" t="str">
        <f>INDEX(数据元说明!A:F,MATCH(I1224,数据元说明!C:C,0),2)</f>
        <v>007012</v>
      </c>
      <c r="K1224" s="138" t="str">
        <f>INDEX(数据元说明!A:F,MATCH(I1224,数据元说明!C:C,0),5)</f>
        <v>直接转让，信贷资产证券化，信贷资产收益权转让，信贷资产受益权转让，其他-银行自定义。无法以枚举类型填报的，以“其他-XX”填报，其中“XX”为银行自定义方式。</v>
      </c>
      <c r="L1224" s="136" t="str">
        <f>INDEX(数据元说明!A:F,MATCH(I1224,数据元说明!C:C,0),6)</f>
        <v>C..60</v>
      </c>
      <c r="M1224" s="138"/>
      <c r="N1224" s="129" t="s">
        <v>25</v>
      </c>
      <c r="O1224" s="129" t="s">
        <v>1783</v>
      </c>
      <c r="P1224" s="205"/>
    </row>
    <row r="1225" s="81" customFormat="1" ht="30" customHeight="1" outlineLevel="1" spans="1:16">
      <c r="A1225" s="141"/>
      <c r="B1225" s="142"/>
      <c r="C1225" s="39"/>
      <c r="D1225" s="39"/>
      <c r="E1225" s="47"/>
      <c r="F1225" s="135" t="s">
        <v>3955</v>
      </c>
      <c r="G1225" s="136" t="s">
        <v>3956</v>
      </c>
      <c r="H1225" s="137" t="s">
        <v>3957</v>
      </c>
      <c r="I1225" s="157" t="s">
        <v>697</v>
      </c>
      <c r="J1225" s="136" t="str">
        <f>INDEX(数据元说明!A:F,MATCH(I1225,数据元说明!C:C,0),2)</f>
        <v>003032</v>
      </c>
      <c r="K1225" s="138" t="str">
        <f>INDEX(数据元说明!A:F,MATCH(I1225,数据元说明!C:C,0),5)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225" s="136" t="str">
        <f>INDEX(数据元说明!A:F,MATCH(I1225,数据元说明!C:C,0),6)</f>
        <v>C..60</v>
      </c>
      <c r="M1225" s="138"/>
      <c r="N1225" s="143" t="s">
        <v>57</v>
      </c>
      <c r="O1225" s="140"/>
      <c r="P1225" s="205"/>
    </row>
    <row r="1226" s="81" customFormat="1" ht="30" customHeight="1" outlineLevel="1" spans="1:16">
      <c r="A1226" s="141"/>
      <c r="B1226" s="142"/>
      <c r="C1226" s="39"/>
      <c r="D1226" s="39"/>
      <c r="E1226" s="47"/>
      <c r="F1226" s="135" t="s">
        <v>3958</v>
      </c>
      <c r="G1226" s="136" t="s">
        <v>3959</v>
      </c>
      <c r="H1226" s="137" t="s">
        <v>3960</v>
      </c>
      <c r="I1226" s="135" t="s">
        <v>282</v>
      </c>
      <c r="J1226" s="136" t="str">
        <f>INDEX(数据元说明!A:F,MATCH(I1226,数据元说明!C:C,0),2)</f>
        <v>001001</v>
      </c>
      <c r="K1226" s="138" t="str">
        <f>INDEX(数据元说明!A:F,MATCH(I1226,数据元说明!C:C,0),5)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226" s="136" t="str">
        <f>INDEX(数据元说明!A:F,MATCH(I1226,数据元说明!C:C,0),6)</f>
        <v>C..400</v>
      </c>
      <c r="M1226" s="138"/>
      <c r="N1226" s="143" t="s">
        <v>57</v>
      </c>
      <c r="O1226" s="140"/>
      <c r="P1226" s="205"/>
    </row>
    <row r="1227" s="81" customFormat="1" ht="30" customHeight="1" outlineLevel="1" spans="1:16">
      <c r="A1227" s="141"/>
      <c r="B1227" s="142"/>
      <c r="C1227" s="39"/>
      <c r="D1227" s="39"/>
      <c r="E1227" s="47"/>
      <c r="F1227" s="135" t="s">
        <v>3474</v>
      </c>
      <c r="G1227" s="136" t="s">
        <v>3475</v>
      </c>
      <c r="H1227" s="137" t="s">
        <v>3961</v>
      </c>
      <c r="I1227" s="135" t="s">
        <v>628</v>
      </c>
      <c r="J1227" s="136" t="str">
        <f>INDEX(数据元说明!A:F,MATCH(I1227,数据元说明!C:C,0),2)</f>
        <v>003015</v>
      </c>
      <c r="K1227" s="138" t="str">
        <f>INDEX(数据元说明!A:F,MATCH(I1227,数据元说明!C:C,0),5)</f>
        <v>账户归属者的名称。如果客户为个人，则为隐私，银行机构变形，变形规则见《采集技术接口说明》。客户是境内涉密机构的，账户名称填报为“*********”。其他情况，则为非隐私，不做变形。</v>
      </c>
      <c r="L1227" s="136" t="str">
        <f>INDEX(数据元说明!A:F,MATCH(I1227,数据元说明!C:C,0),6)</f>
        <v>C..400</v>
      </c>
      <c r="M1227" s="138" t="s">
        <v>3962</v>
      </c>
      <c r="N1227" s="139" t="s">
        <v>25</v>
      </c>
      <c r="O1227" s="139" t="s">
        <v>1613</v>
      </c>
      <c r="P1227" s="206"/>
    </row>
    <row r="1228" s="81" customFormat="1" ht="30" customHeight="1" outlineLevel="1" spans="1:16">
      <c r="A1228" s="134"/>
      <c r="B1228" s="47"/>
      <c r="C1228" s="39"/>
      <c r="D1228" s="39"/>
      <c r="E1228" s="47"/>
      <c r="F1228" s="135" t="s">
        <v>3963</v>
      </c>
      <c r="G1228" s="136" t="s">
        <v>3964</v>
      </c>
      <c r="H1228" s="137" t="s">
        <v>3965</v>
      </c>
      <c r="I1228" s="157" t="s">
        <v>697</v>
      </c>
      <c r="J1228" s="136" t="str">
        <f>INDEX(数据元说明!A:F,MATCH(I1228,数据元说明!C:C,0),2)</f>
        <v>003032</v>
      </c>
      <c r="K1228" s="138" t="str">
        <f>INDEX(数据元说明!A:F,MATCH(I1228,数据元说明!C:C,0),5)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228" s="136" t="str">
        <f>INDEX(数据元说明!A:F,MATCH(I1228,数据元说明!C:C,0),6)</f>
        <v>C..60</v>
      </c>
      <c r="M1228" s="138" t="s">
        <v>3966</v>
      </c>
      <c r="N1228" s="140" t="s">
        <v>25</v>
      </c>
      <c r="O1228" s="140" t="s">
        <v>449</v>
      </c>
      <c r="P1228" s="206"/>
    </row>
    <row r="1229" s="81" customFormat="1" ht="30" customHeight="1" outlineLevel="1" spans="1:16">
      <c r="A1229" s="134"/>
      <c r="B1229" s="47"/>
      <c r="C1229" s="39"/>
      <c r="D1229" s="39"/>
      <c r="E1229" s="47"/>
      <c r="F1229" s="135" t="s">
        <v>3967</v>
      </c>
      <c r="G1229" s="136" t="s">
        <v>3968</v>
      </c>
      <c r="H1229" s="137" t="s">
        <v>3969</v>
      </c>
      <c r="I1229" s="135" t="s">
        <v>282</v>
      </c>
      <c r="J1229" s="136" t="str">
        <f>INDEX(数据元说明!A:F,MATCH(I1229,数据元说明!C:C,0),2)</f>
        <v>001001</v>
      </c>
      <c r="K1229" s="138" t="str">
        <f>INDEX(数据元说明!A:F,MATCH(I1229,数据元说明!C:C,0),5)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229" s="136" t="str">
        <f>INDEX(数据元说明!A:F,MATCH(I1229,数据元说明!C:C,0),6)</f>
        <v>C..400</v>
      </c>
      <c r="M1229" s="138" t="s">
        <v>3970</v>
      </c>
      <c r="N1229" s="206" t="s">
        <v>25</v>
      </c>
      <c r="O1229" s="206" t="s">
        <v>449</v>
      </c>
      <c r="P1229" s="205"/>
    </row>
    <row r="1230" s="61" customFormat="1" ht="30" customHeight="1" outlineLevel="1" spans="1:16">
      <c r="A1230" s="184"/>
      <c r="B1230" s="185"/>
      <c r="C1230" s="25"/>
      <c r="D1230" s="25"/>
      <c r="E1230" s="36"/>
      <c r="F1230" s="131" t="s">
        <v>624</v>
      </c>
      <c r="G1230" s="31" t="s">
        <v>1989</v>
      </c>
      <c r="H1230" s="132" t="s">
        <v>3971</v>
      </c>
      <c r="I1230" s="131" t="s">
        <v>624</v>
      </c>
      <c r="J1230" s="31" t="str">
        <f>INDEX(数据元说明!A:F,MATCH(I1230,数据元说明!C:C,0),2)</f>
        <v>003014</v>
      </c>
      <c r="K1230" s="133" t="str">
        <f>INDEX(数据元说明!A:F,MATCH(I1230,数据元说明!C:C,0),5)</f>
        <v>遵循《GB/T 12406 表示货币和资金的代码》的字母代码，如CNY。上述文件所列币种无法涵盖的，允许银行自定义填报。多个币种合计折算为人民币（本外币合计）的，填报为BWB。</v>
      </c>
      <c r="L1230" s="31" t="str">
        <f>INDEX(数据元说明!A:F,MATCH(I1230,数据元说明!C:C,0),6)</f>
        <v>C3</v>
      </c>
      <c r="M1230" s="133"/>
      <c r="N1230" s="99"/>
      <c r="O1230" s="99"/>
      <c r="P1230" s="41"/>
    </row>
    <row r="1231" s="81" customFormat="1" ht="30" customHeight="1" outlineLevel="1" spans="1:16">
      <c r="A1231" s="141"/>
      <c r="B1231" s="142"/>
      <c r="C1231" s="39"/>
      <c r="D1231" s="39"/>
      <c r="E1231" s="47"/>
      <c r="F1231" s="135" t="s">
        <v>3972</v>
      </c>
      <c r="G1231" s="136" t="s">
        <v>3973</v>
      </c>
      <c r="H1231" s="137" t="s">
        <v>3974</v>
      </c>
      <c r="I1231" s="135" t="s">
        <v>609</v>
      </c>
      <c r="J1231" s="136" t="str">
        <f>INDEX(数据元说明!A:F,MATCH(I1231,数据元说明!C:C,0),2)</f>
        <v>003010</v>
      </c>
      <c r="K1231" s="138" t="str">
        <f>INDEX(数据元说明!A:F,MATCH(I1231,数据元说明!C:C,0),5)</f>
        <v>与币种相对应金额。</v>
      </c>
      <c r="L1231" s="136" t="str">
        <f>INDEX(数据元说明!A:F,MATCH(I1231,数据元说明!C:C,0),6)</f>
        <v>D20.2</v>
      </c>
      <c r="M1231" s="224" t="s">
        <v>3975</v>
      </c>
      <c r="N1231" s="139" t="s">
        <v>25</v>
      </c>
      <c r="O1231" s="139" t="s">
        <v>449</v>
      </c>
      <c r="P1231" s="206"/>
    </row>
    <row r="1232" s="81" customFormat="1" ht="30" customHeight="1" outlineLevel="1" spans="1:16">
      <c r="A1232" s="141"/>
      <c r="B1232" s="142"/>
      <c r="C1232" s="39"/>
      <c r="D1232" s="39"/>
      <c r="E1232" s="47"/>
      <c r="F1232" s="135" t="s">
        <v>3976</v>
      </c>
      <c r="G1232" s="136" t="s">
        <v>3977</v>
      </c>
      <c r="H1232" s="137" t="s">
        <v>3978</v>
      </c>
      <c r="I1232" s="135" t="s">
        <v>609</v>
      </c>
      <c r="J1232" s="136" t="str">
        <f>INDEX(数据元说明!A:F,MATCH(I1232,数据元说明!C:C,0),2)</f>
        <v>003010</v>
      </c>
      <c r="K1232" s="138" t="str">
        <f>INDEX(数据元说明!A:F,MATCH(I1232,数据元说明!C:C,0),5)</f>
        <v>与币种相对应金额。</v>
      </c>
      <c r="L1232" s="136" t="str">
        <f>INDEX(数据元说明!A:F,MATCH(I1232,数据元说明!C:C,0),6)</f>
        <v>D20.2</v>
      </c>
      <c r="M1232" s="224" t="s">
        <v>3979</v>
      </c>
      <c r="N1232" s="139" t="s">
        <v>25</v>
      </c>
      <c r="O1232" s="139" t="s">
        <v>449</v>
      </c>
      <c r="P1232" s="206"/>
    </row>
    <row r="1233" s="81" customFormat="1" ht="30" customHeight="1" outlineLevel="1" spans="1:16">
      <c r="A1233" s="141"/>
      <c r="B1233" s="142"/>
      <c r="C1233" s="39"/>
      <c r="D1233" s="39"/>
      <c r="E1233" s="47"/>
      <c r="F1233" s="135" t="s">
        <v>3980</v>
      </c>
      <c r="G1233" s="136" t="s">
        <v>3981</v>
      </c>
      <c r="H1233" s="137" t="s">
        <v>3982</v>
      </c>
      <c r="I1233" s="135" t="s">
        <v>609</v>
      </c>
      <c r="J1233" s="136" t="str">
        <f>INDEX(数据元说明!A:F,MATCH(I1233,数据元说明!C:C,0),2)</f>
        <v>003010</v>
      </c>
      <c r="K1233" s="138" t="str">
        <f>INDEX(数据元说明!A:F,MATCH(I1233,数据元说明!C:C,0),5)</f>
        <v>与币种相对应金额。</v>
      </c>
      <c r="L1233" s="136" t="str">
        <f>INDEX(数据元说明!A:F,MATCH(I1233,数据元说明!C:C,0),6)</f>
        <v>D20.2</v>
      </c>
      <c r="M1233" s="224" t="s">
        <v>3983</v>
      </c>
      <c r="N1233" s="140" t="s">
        <v>25</v>
      </c>
      <c r="O1233" s="140"/>
      <c r="P1233" s="205" t="s">
        <v>1606</v>
      </c>
    </row>
    <row r="1234" s="81" customFormat="1" ht="30" customHeight="1" outlineLevel="1" spans="1:16">
      <c r="A1234" s="134"/>
      <c r="B1234" s="47"/>
      <c r="C1234" s="39"/>
      <c r="D1234" s="39"/>
      <c r="E1234" s="47"/>
      <c r="F1234" s="135" t="s">
        <v>3984</v>
      </c>
      <c r="G1234" s="136" t="s">
        <v>3985</v>
      </c>
      <c r="H1234" s="137" t="s">
        <v>3986</v>
      </c>
      <c r="I1234" s="135" t="s">
        <v>302</v>
      </c>
      <c r="J1234" s="136" t="str">
        <f>INDEX(数据元说明!A:F,MATCH(I1234,数据元说明!C:C,0),2)</f>
        <v>001005</v>
      </c>
      <c r="K1234" s="138" t="str">
        <f>INDEX(数据元说明!A:F,MATCH(I1234,数据元说明!C:C,0),5)</f>
        <v>YYYYMMDD，默认值99991231。</v>
      </c>
      <c r="L1234" s="136" t="str">
        <f>INDEX(数据元说明!A:F,MATCH(I1234,数据元说明!C:C,0),6)</f>
        <v>C8</v>
      </c>
      <c r="M1234" s="224" t="s">
        <v>3987</v>
      </c>
      <c r="N1234" s="139" t="s">
        <v>25</v>
      </c>
      <c r="O1234" s="139"/>
      <c r="P1234" s="206" t="s">
        <v>1606</v>
      </c>
    </row>
    <row r="1235" s="81" customFormat="1" ht="30" customHeight="1" outlineLevel="1" spans="1:16">
      <c r="A1235" s="134"/>
      <c r="B1235" s="47"/>
      <c r="C1235" s="39"/>
      <c r="D1235" s="39"/>
      <c r="E1235" s="47"/>
      <c r="F1235" s="135" t="s">
        <v>3988</v>
      </c>
      <c r="G1235" s="136" t="s">
        <v>3989</v>
      </c>
      <c r="H1235" s="137" t="s">
        <v>3990</v>
      </c>
      <c r="I1235" s="135" t="s">
        <v>302</v>
      </c>
      <c r="J1235" s="136" t="str">
        <f>INDEX(数据元说明!A:F,MATCH(I1235,数据元说明!C:C,0),2)</f>
        <v>001005</v>
      </c>
      <c r="K1235" s="138" t="str">
        <f>INDEX(数据元说明!A:F,MATCH(I1235,数据元说明!C:C,0),5)</f>
        <v>YYYYMMDD，默认值99991231。</v>
      </c>
      <c r="L1235" s="136" t="str">
        <f>INDEX(数据元说明!A:F,MATCH(I1235,数据元说明!C:C,0),6)</f>
        <v>C8</v>
      </c>
      <c r="M1235" s="224" t="s">
        <v>3991</v>
      </c>
      <c r="N1235" s="139" t="s">
        <v>25</v>
      </c>
      <c r="O1235" s="139" t="s">
        <v>449</v>
      </c>
      <c r="P1235" s="206"/>
    </row>
    <row r="1236" s="81" customFormat="1" ht="30" customHeight="1" outlineLevel="1" spans="1:16">
      <c r="A1236" s="134"/>
      <c r="B1236" s="47"/>
      <c r="C1236" s="39"/>
      <c r="D1236" s="39"/>
      <c r="E1236" s="47"/>
      <c r="F1236" s="135" t="s">
        <v>3992</v>
      </c>
      <c r="G1236" s="136" t="s">
        <v>3993</v>
      </c>
      <c r="H1236" s="137" t="s">
        <v>3994</v>
      </c>
      <c r="I1236" s="135" t="s">
        <v>302</v>
      </c>
      <c r="J1236" s="136" t="str">
        <f>INDEX(数据元说明!A:F,MATCH(I1236,数据元说明!C:C,0),2)</f>
        <v>001005</v>
      </c>
      <c r="K1236" s="138" t="str">
        <f>INDEX(数据元说明!A:F,MATCH(I1236,数据元说明!C:C,0),5)</f>
        <v>YYYYMMDD，默认值99991231。</v>
      </c>
      <c r="L1236" s="136" t="str">
        <f>INDEX(数据元说明!A:F,MATCH(I1236,数据元说明!C:C,0),6)</f>
        <v>C8</v>
      </c>
      <c r="M1236" s="224" t="s">
        <v>3995</v>
      </c>
      <c r="N1236" s="143" t="s">
        <v>57</v>
      </c>
      <c r="O1236" s="139"/>
      <c r="P1236" s="206"/>
    </row>
    <row r="1237" s="81" customFormat="1" ht="30" customHeight="1" outlineLevel="1" spans="1:16">
      <c r="A1237" s="134"/>
      <c r="B1237" s="47"/>
      <c r="C1237" s="39"/>
      <c r="D1237" s="39"/>
      <c r="E1237" s="47"/>
      <c r="F1237" s="135" t="s">
        <v>3996</v>
      </c>
      <c r="G1237" s="136" t="s">
        <v>3997</v>
      </c>
      <c r="H1237" s="137" t="s">
        <v>3998</v>
      </c>
      <c r="I1237" s="135" t="s">
        <v>609</v>
      </c>
      <c r="J1237" s="136" t="str">
        <f>INDEX(数据元说明!A:F,MATCH(I1237,数据元说明!C:C,0),2)</f>
        <v>003010</v>
      </c>
      <c r="K1237" s="138" t="str">
        <f>INDEX(数据元说明!A:F,MATCH(I1237,数据元说明!C:C,0),5)</f>
        <v>与币种相对应金额。</v>
      </c>
      <c r="L1237" s="136" t="str">
        <f>INDEX(数据元说明!A:F,MATCH(I1237,数据元说明!C:C,0),6)</f>
        <v>D20.2</v>
      </c>
      <c r="M1237" s="224" t="s">
        <v>3999</v>
      </c>
      <c r="N1237" s="143" t="s">
        <v>57</v>
      </c>
      <c r="O1237" s="139"/>
      <c r="P1237" s="206"/>
    </row>
    <row r="1238" s="81" customFormat="1" ht="30" customHeight="1" outlineLevel="1" spans="1:16">
      <c r="A1238" s="134"/>
      <c r="B1238" s="47"/>
      <c r="C1238" s="39"/>
      <c r="D1238" s="39"/>
      <c r="E1238" s="47"/>
      <c r="F1238" s="135" t="s">
        <v>3463</v>
      </c>
      <c r="G1238" s="136" t="s">
        <v>3464</v>
      </c>
      <c r="H1238" s="137" t="s">
        <v>4000</v>
      </c>
      <c r="I1238" s="135" t="s">
        <v>609</v>
      </c>
      <c r="J1238" s="136" t="str">
        <f>INDEX(数据元说明!A:F,MATCH(I1238,数据元说明!C:C,0),2)</f>
        <v>003010</v>
      </c>
      <c r="K1238" s="138" t="str">
        <f>INDEX(数据元说明!A:F,MATCH(I1238,数据元说明!C:C,0),5)</f>
        <v>与币种相对应金额。</v>
      </c>
      <c r="L1238" s="136" t="str">
        <f>INDEX(数据元说明!A:F,MATCH(I1238,数据元说明!C:C,0),6)</f>
        <v>D20.2</v>
      </c>
      <c r="M1238" s="224" t="s">
        <v>4001</v>
      </c>
      <c r="N1238" s="129" t="s">
        <v>25</v>
      </c>
      <c r="O1238" s="129" t="s">
        <v>1514</v>
      </c>
      <c r="P1238" s="206"/>
    </row>
    <row r="1239" s="81" customFormat="1" ht="30" customHeight="1" outlineLevel="1" spans="1:16">
      <c r="A1239" s="134"/>
      <c r="B1239" s="47"/>
      <c r="C1239" s="39"/>
      <c r="D1239" s="39"/>
      <c r="E1239" s="47"/>
      <c r="F1239" s="135" t="s">
        <v>3459</v>
      </c>
      <c r="G1239" s="136" t="s">
        <v>3460</v>
      </c>
      <c r="H1239" s="137" t="s">
        <v>4002</v>
      </c>
      <c r="I1239" s="135" t="s">
        <v>302</v>
      </c>
      <c r="J1239" s="136" t="str">
        <f>INDEX(数据元说明!A:F,MATCH(I1239,数据元说明!C:C,0),2)</f>
        <v>001005</v>
      </c>
      <c r="K1239" s="138" t="str">
        <f>INDEX(数据元说明!A:F,MATCH(I1239,数据元说明!C:C,0),5)</f>
        <v>YYYYMMDD，默认值99991231。</v>
      </c>
      <c r="L1239" s="136" t="str">
        <f>INDEX(数据元说明!A:F,MATCH(I1239,数据元说明!C:C,0),6)</f>
        <v>C8</v>
      </c>
      <c r="M1239" s="224" t="s">
        <v>4001</v>
      </c>
      <c r="N1239" s="129" t="s">
        <v>25</v>
      </c>
      <c r="O1239" s="129" t="s">
        <v>449</v>
      </c>
      <c r="P1239" s="205"/>
    </row>
    <row r="1240" s="35" customFormat="1" ht="30" customHeight="1" outlineLevel="1" spans="1:16">
      <c r="A1240" s="93"/>
      <c r="B1240" s="94"/>
      <c r="C1240" s="95"/>
      <c r="D1240" s="95"/>
      <c r="E1240" s="94"/>
      <c r="F1240" s="158" t="s">
        <v>3542</v>
      </c>
      <c r="G1240" s="213" t="s">
        <v>3543</v>
      </c>
      <c r="H1240" s="137" t="s">
        <v>4003</v>
      </c>
      <c r="I1240" s="158" t="s">
        <v>292</v>
      </c>
      <c r="J1240" s="213" t="str">
        <f>INDEX(数据元说明!A:F,MATCH(I1240,数据元说明!C:C,0),2)</f>
        <v>001003</v>
      </c>
      <c r="K1240" s="158" t="str">
        <f>INDEX(数据元说明!A:F,MATCH(I1240,数据元说明!C:C,0),5)</f>
        <v>百分比为单位，即1/100，保留两位小数。如4.5%则填报为4.50。</v>
      </c>
      <c r="L1240" s="213" t="str">
        <f>INDEX(数据元说明!A:F,MATCH(I1240,数据元说明!C:C,0),6)</f>
        <v>D20.2</v>
      </c>
      <c r="M1240" s="138" t="s">
        <v>3617</v>
      </c>
      <c r="N1240" s="143" t="s">
        <v>57</v>
      </c>
      <c r="O1240" s="99"/>
      <c r="P1240" s="99"/>
    </row>
    <row r="1241" s="35" customFormat="1" ht="30" customHeight="1" outlineLevel="1" spans="1:16">
      <c r="A1241" s="93"/>
      <c r="B1241" s="94"/>
      <c r="C1241" s="95"/>
      <c r="D1241" s="95"/>
      <c r="E1241" s="94"/>
      <c r="F1241" s="138" t="s">
        <v>3546</v>
      </c>
      <c r="G1241" s="140" t="s">
        <v>3547</v>
      </c>
      <c r="H1241" s="137" t="s">
        <v>4004</v>
      </c>
      <c r="I1241" s="138" t="s">
        <v>624</v>
      </c>
      <c r="J1241" s="213" t="str">
        <f>INDEX(数据元说明!A:F,MATCH(I1241,数据元说明!C:C,0),2)</f>
        <v>003014</v>
      </c>
      <c r="K1241" s="158" t="str">
        <f>INDEX(数据元说明!A:F,MATCH(I1241,数据元说明!C:C,0),5)</f>
        <v>遵循《GB/T 12406 表示货币和资金的代码》的字母代码，如CNY。上述文件所列币种无法涵盖的，允许银行自定义填报。多个币种合计折算为人民币（本外币合计）的，填报为BWB。</v>
      </c>
      <c r="L1241" s="213" t="str">
        <f>INDEX(数据元说明!A:F,MATCH(I1241,数据元说明!C:C,0),6)</f>
        <v>C3</v>
      </c>
      <c r="M1241" s="138" t="s">
        <v>4005</v>
      </c>
      <c r="N1241" s="143" t="s">
        <v>57</v>
      </c>
      <c r="O1241" s="99"/>
      <c r="P1241" s="99"/>
    </row>
    <row r="1242" s="35" customFormat="1" ht="30" customHeight="1" outlineLevel="1" spans="1:16">
      <c r="A1242" s="93"/>
      <c r="B1242" s="94"/>
      <c r="C1242" s="95"/>
      <c r="D1242" s="95"/>
      <c r="E1242" s="94"/>
      <c r="F1242" s="158" t="s">
        <v>3550</v>
      </c>
      <c r="G1242" s="213" t="s">
        <v>3551</v>
      </c>
      <c r="H1242" s="137" t="s">
        <v>4006</v>
      </c>
      <c r="I1242" s="158" t="s">
        <v>609</v>
      </c>
      <c r="J1242" s="213" t="str">
        <f>INDEX(数据元说明!A:F,MATCH(I1242,数据元说明!C:C,0),2)</f>
        <v>003010</v>
      </c>
      <c r="K1242" s="158" t="str">
        <f>INDEX(数据元说明!A:F,MATCH(I1242,数据元说明!C:C,0),5)</f>
        <v>与币种相对应金额。</v>
      </c>
      <c r="L1242" s="213" t="str">
        <f>INDEX(数据元说明!A:F,MATCH(I1242,数据元说明!C:C,0),6)</f>
        <v>D20.2</v>
      </c>
      <c r="M1242" s="138" t="s">
        <v>4007</v>
      </c>
      <c r="N1242" s="143" t="s">
        <v>57</v>
      </c>
      <c r="O1242" s="99"/>
      <c r="P1242" s="99"/>
    </row>
    <row r="1243" s="35" customFormat="1" ht="30" customHeight="1" outlineLevel="1" spans="1:16">
      <c r="A1243" s="93"/>
      <c r="B1243" s="94"/>
      <c r="C1243" s="95"/>
      <c r="D1243" s="95"/>
      <c r="E1243" s="94"/>
      <c r="F1243" s="158" t="s">
        <v>1072</v>
      </c>
      <c r="G1243" s="213" t="s">
        <v>4008</v>
      </c>
      <c r="H1243" s="137" t="s">
        <v>4009</v>
      </c>
      <c r="I1243" s="158" t="s">
        <v>1072</v>
      </c>
      <c r="J1243" s="213" t="str">
        <f>INDEX(数据元说明!A:F,MATCH(I1243,数据元说明!C:C,0),2)</f>
        <v>007016</v>
      </c>
      <c r="K1243" s="158" t="str">
        <f>INDEX(数据元说明!A:F,MATCH(I1243,数据元说明!C:C,0),5)</f>
        <v>银登中心，证券交易所，银行间市场，其他-银行自定义。无法以枚举类型填报的，以“其他-XX”填报，其中“XX”为银行自定义交易平台。</v>
      </c>
      <c r="L1243" s="213"/>
      <c r="M1243" s="138" t="s">
        <v>4010</v>
      </c>
      <c r="N1243" s="143"/>
      <c r="O1243" s="99"/>
      <c r="P1243" s="99"/>
    </row>
    <row r="1244" s="35" customFormat="1" ht="30" customHeight="1" outlineLevel="1" spans="1:16">
      <c r="A1244" s="93"/>
      <c r="B1244" s="94"/>
      <c r="C1244" s="95"/>
      <c r="D1244" s="95"/>
      <c r="E1244" s="94"/>
      <c r="F1244" s="158" t="s">
        <v>4011</v>
      </c>
      <c r="G1244" s="213" t="s">
        <v>4012</v>
      </c>
      <c r="H1244" s="137" t="s">
        <v>4013</v>
      </c>
      <c r="I1244" s="158" t="s">
        <v>287</v>
      </c>
      <c r="J1244" s="213" t="str">
        <f>INDEX(数据元说明!A:F,MATCH(I1244,数据元说明!C:C,0),2)</f>
        <v>001002</v>
      </c>
      <c r="K1244" s="158" t="str">
        <f>INDEX(数据元说明!A:F,MATCH(I1244,数据元说明!C:C,0),5)</f>
        <v>是，否。</v>
      </c>
      <c r="L1244" s="213" t="str">
        <f>INDEX(数据元说明!A:F,MATCH(I1244,数据元说明!C:C,0),6)</f>
        <v>C3</v>
      </c>
      <c r="M1244" s="138" t="s">
        <v>4014</v>
      </c>
      <c r="N1244" s="143" t="s">
        <v>57</v>
      </c>
      <c r="O1244" s="99"/>
      <c r="P1244" s="99"/>
    </row>
    <row r="1245" s="35" customFormat="1" ht="30" customHeight="1" outlineLevel="1" spans="1:16">
      <c r="A1245" s="93"/>
      <c r="B1245" s="94"/>
      <c r="C1245" s="95"/>
      <c r="D1245" s="95"/>
      <c r="E1245" s="94"/>
      <c r="F1245" s="158" t="s">
        <v>4015</v>
      </c>
      <c r="G1245" s="213" t="s">
        <v>4016</v>
      </c>
      <c r="H1245" s="137" t="s">
        <v>4017</v>
      </c>
      <c r="I1245" s="158" t="s">
        <v>914</v>
      </c>
      <c r="J1245" s="410" t="str">
        <f>INDEX(数据元说明!A:F,MATCH(I1245,数据元说明!C:C,0),2)</f>
        <v>005045</v>
      </c>
      <c r="K1245" s="158" t="str">
        <f>INDEX(数据元说明!A:F,MATCH(I1245,数据元说明!C:C,0),5)</f>
        <v>未生效，有效，撤销，终结，其他-银行自定义。无法以枚举类型填报的，以“其他-XX”填报，其中“XX”为银行自定义状态。</v>
      </c>
      <c r="L1245" s="213" t="str">
        <f>INDEX(数据元说明!A:F,MATCH(I1245,数据元说明!C:C,0),6)</f>
        <v>C..30</v>
      </c>
      <c r="M1245" s="138" t="s">
        <v>4018</v>
      </c>
      <c r="N1245" s="143" t="s">
        <v>57</v>
      </c>
      <c r="O1245" s="99"/>
      <c r="P1245" s="99"/>
    </row>
    <row r="1246" s="81" customFormat="1" ht="30" customHeight="1" outlineLevel="1" spans="1:16">
      <c r="A1246" s="134"/>
      <c r="B1246" s="47"/>
      <c r="C1246" s="39"/>
      <c r="D1246" s="39"/>
      <c r="E1246" s="47"/>
      <c r="F1246" s="169" t="s">
        <v>449</v>
      </c>
      <c r="G1246" s="148" t="s">
        <v>1571</v>
      </c>
      <c r="H1246" s="148" t="s">
        <v>4019</v>
      </c>
      <c r="I1246" s="169" t="s">
        <v>449</v>
      </c>
      <c r="J1246" s="170" t="str">
        <f>INDEX(数据元说明!A:F,MATCH(I1246,数据元说明!C:C,0),2)</f>
        <v>001040</v>
      </c>
      <c r="K1246" s="171" t="str">
        <f>INDEX(数据元说明!A:F,MATCH(I1246,数据元说明!C:C,0),5)</f>
        <v>银行自定义。</v>
      </c>
      <c r="L1246" s="170" t="str">
        <f>INDEX(数据元说明!A:F,MATCH(I1246,数据元说明!C:C,0),6)</f>
        <v>C..600</v>
      </c>
      <c r="M1246" s="149" t="s">
        <v>1573</v>
      </c>
      <c r="N1246" s="172" t="s">
        <v>57</v>
      </c>
      <c r="O1246" s="173"/>
      <c r="P1246" s="173"/>
    </row>
    <row r="1247" s="61" customFormat="1" ht="30" customHeight="1" outlineLevel="1" spans="1:16">
      <c r="A1247" s="130"/>
      <c r="B1247" s="36"/>
      <c r="C1247" s="25"/>
      <c r="D1247" s="25"/>
      <c r="E1247" s="36"/>
      <c r="F1247" s="131" t="s">
        <v>1574</v>
      </c>
      <c r="G1247" s="31" t="s">
        <v>1575</v>
      </c>
      <c r="H1247" s="132" t="s">
        <v>4020</v>
      </c>
      <c r="I1247" s="131" t="s">
        <v>302</v>
      </c>
      <c r="J1247" s="31" t="str">
        <f>INDEX(数据元说明!A:F,MATCH(I1247,数据元说明!C:C,0),2)</f>
        <v>001005</v>
      </c>
      <c r="K1247" s="133" t="str">
        <f>INDEX(数据元说明!A:F,MATCH(I1247,数据元说明!C:C,0),5)</f>
        <v>YYYYMMDD，默认值99991231。</v>
      </c>
      <c r="L1247" s="31" t="str">
        <f>INDEX(数据元说明!A:F,MATCH(I1247,数据元说明!C:C,0),6)</f>
        <v>C8</v>
      </c>
      <c r="M1247" s="133" t="s">
        <v>1577</v>
      </c>
      <c r="N1247" s="99"/>
      <c r="O1247" s="99"/>
      <c r="P1247" s="41"/>
    </row>
    <row r="1248" s="81" customFormat="1" ht="30" customHeight="1" spans="1:16">
      <c r="A1248" s="199"/>
      <c r="B1248" s="49"/>
      <c r="C1248" s="37" t="s">
        <v>190</v>
      </c>
      <c r="D1248" s="38" t="s">
        <v>191</v>
      </c>
      <c r="E1248" s="181" t="s">
        <v>4021</v>
      </c>
      <c r="F1248" s="182"/>
      <c r="G1248" s="183"/>
      <c r="H1248" s="181"/>
      <c r="I1248" s="182"/>
      <c r="J1248" s="183"/>
      <c r="K1248" s="128"/>
      <c r="L1248" s="183"/>
      <c r="M1248" s="128" t="str">
        <f>INDEX(表结构总览!E:H,MATCH(D1248,表结构总览!E:E,0),4)</f>
        <v>本表报送资产转让包含多张借据时，资产转让合同与的映射，以同一资产转让合同多条借据记录的方式报送。每月报送新增的转让合同于借据映射关系，已报送过的映射关系不再报送。本表报送行外的转让，行内机构间的转让不需报送。对于信用卡资产转让，以信用卡账号填报为借据号。票据的买卖、买入返售、卖出回购不在本表填报。</v>
      </c>
      <c r="N1248" s="129" t="s">
        <v>25</v>
      </c>
      <c r="O1248" s="139" t="s">
        <v>449</v>
      </c>
      <c r="P1248" s="206"/>
    </row>
    <row r="1249" ht="30" customHeight="1" outlineLevel="1" spans="1:16">
      <c r="E1249" s="94"/>
      <c r="F1249" s="97" t="s">
        <v>325</v>
      </c>
      <c r="G1249" s="29" t="s">
        <v>1520</v>
      </c>
      <c r="H1249" s="96" t="s">
        <v>4022</v>
      </c>
      <c r="I1249" s="97" t="s">
        <v>325</v>
      </c>
      <c r="J1249" s="29" t="str">
        <f>INDEX(数据元说明!A:F,MATCH(I1249,数据元说明!C:C,0),2)</f>
        <v>001010</v>
      </c>
      <c r="K1249" s="98" t="str">
        <f>INDEX(数据元说明!A:F,MATCH(I1249,数据元说明!C:C,0),5)</f>
        <v>12位人行支付行号或SWIFT行号。</v>
      </c>
      <c r="L1249" s="29" t="str">
        <f>INDEX(数据元说明!A:F,MATCH(I1249,数据元说明!C:C,0),6)</f>
        <v>C..30</v>
      </c>
      <c r="M1249" s="98" t="s">
        <v>4023</v>
      </c>
      <c r="N1249" s="33"/>
      <c r="O1249" s="33"/>
      <c r="P1249" s="204"/>
    </row>
    <row r="1250" s="61" customFormat="1" ht="30" customHeight="1" outlineLevel="1" spans="1:16">
      <c r="A1250" s="130"/>
      <c r="B1250" s="36"/>
      <c r="C1250" s="25"/>
      <c r="D1250" s="25"/>
      <c r="E1250" s="36"/>
      <c r="F1250" s="131" t="s">
        <v>329</v>
      </c>
      <c r="G1250" s="31" t="s">
        <v>1526</v>
      </c>
      <c r="H1250" s="96" t="s">
        <v>4024</v>
      </c>
      <c r="I1250" s="131" t="s">
        <v>329</v>
      </c>
      <c r="J1250" s="31" t="str">
        <f>INDEX(数据元说明!A:F,MATCH(I1250,数据元说明!C:C,0),2)</f>
        <v>001011</v>
      </c>
      <c r="K1250" s="133" t="str">
        <f>INDEX(数据元说明!A:F,MATCH(I1250,数据元说明!C:C,0),5)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50" s="31" t="str">
        <f>INDEX(数据元说明!A:F,MATCH(I1250,数据元说明!C:C,0),6)</f>
        <v>C..30</v>
      </c>
      <c r="M1250" s="133" t="s">
        <v>3204</v>
      </c>
      <c r="N1250" s="99"/>
      <c r="O1250" s="99"/>
      <c r="P1250" s="99"/>
    </row>
    <row r="1251" ht="30" customHeight="1" outlineLevel="1" spans="1:16">
      <c r="E1251" s="94"/>
      <c r="F1251" s="97" t="s">
        <v>333</v>
      </c>
      <c r="G1251" s="29" t="s">
        <v>1523</v>
      </c>
      <c r="H1251" s="96" t="s">
        <v>4025</v>
      </c>
      <c r="I1251" s="97" t="s">
        <v>333</v>
      </c>
      <c r="J1251" s="29" t="str">
        <f>INDEX(数据元说明!A:F,MATCH(I1251,数据元说明!C:C,0),2)</f>
        <v>001012</v>
      </c>
      <c r="K1251" s="98" t="str">
        <f>INDEX(数据元说明!A:F,MATCH(I1251,数据元说明!C:C,0),5)</f>
        <v>银行内部机构号。应具有标识机构的唯一性。</v>
      </c>
      <c r="L1251" s="29" t="str">
        <f>INDEX(数据元说明!A:F,MATCH(I1251,数据元说明!C:C,0),6)</f>
        <v>C..30</v>
      </c>
      <c r="M1251" s="98" t="s">
        <v>4026</v>
      </c>
      <c r="N1251" s="33"/>
      <c r="O1251" s="33"/>
      <c r="P1251" s="204"/>
    </row>
    <row r="1252" s="81" customFormat="1" ht="30" customHeight="1" outlineLevel="1" spans="1:16">
      <c r="A1252" s="154"/>
      <c r="B1252" s="155"/>
      <c r="C1252" s="156"/>
      <c r="D1252" s="156"/>
      <c r="E1252" s="155"/>
      <c r="F1252" s="157" t="s">
        <v>3945</v>
      </c>
      <c r="G1252" s="43" t="s">
        <v>3946</v>
      </c>
      <c r="H1252" s="153" t="s">
        <v>4027</v>
      </c>
      <c r="I1252" s="157" t="s">
        <v>681</v>
      </c>
      <c r="J1252" s="43" t="str">
        <f>INDEX(数据元说明!A:F,MATCH(I1252,数据元说明!C:C,0),2)</f>
        <v>003028</v>
      </c>
      <c r="K1252" s="158" t="str">
        <f>INDEX(数据元说明!A:F,MATCH(I1252,数据元说明!C:C,0),5)</f>
        <v>合同号。</v>
      </c>
      <c r="L1252" s="43" t="str">
        <f>INDEX(数据元说明!A:F,MATCH(I1252,数据元说明!C:C,0),6)</f>
        <v>C..100</v>
      </c>
      <c r="M1252" s="158" t="s">
        <v>4028</v>
      </c>
      <c r="N1252" s="139" t="s">
        <v>25</v>
      </c>
      <c r="O1252" s="139"/>
      <c r="P1252" s="206" t="s">
        <v>1588</v>
      </c>
    </row>
    <row r="1253" s="81" customFormat="1" ht="30" customHeight="1" outlineLevel="1" spans="1:16">
      <c r="A1253" s="141"/>
      <c r="B1253" s="142"/>
      <c r="C1253" s="39"/>
      <c r="D1253" s="39"/>
      <c r="E1253" s="47"/>
      <c r="F1253" s="135" t="s">
        <v>1042</v>
      </c>
      <c r="G1253" s="136" t="s">
        <v>3856</v>
      </c>
      <c r="H1253" s="153" t="s">
        <v>4029</v>
      </c>
      <c r="I1253" s="135" t="s">
        <v>1042</v>
      </c>
      <c r="J1253" s="136" t="str">
        <f>INDEX(数据元说明!A:F,MATCH(I1253,数据元说明!C:C,0),2)</f>
        <v>007008</v>
      </c>
      <c r="K1253" s="138" t="str">
        <f>INDEX(数据元说明!A:F,MATCH(I1253,数据元说明!C:C,0),5)</f>
        <v>个人贷款，对公贷款，信用卡贷款。</v>
      </c>
      <c r="L1253" s="136" t="str">
        <f>INDEX(数据元说明!A:F,MATCH(I1253,数据元说明!C:C,0),6)</f>
        <v>C..20</v>
      </c>
      <c r="M1253" s="138" t="s">
        <v>3858</v>
      </c>
      <c r="N1253" s="143" t="s">
        <v>57</v>
      </c>
      <c r="O1253" s="140"/>
      <c r="P1253" s="205"/>
    </row>
    <row r="1254" s="81" customFormat="1" ht="71" outlineLevel="1" spans="1:16">
      <c r="A1254" s="154"/>
      <c r="B1254" s="155"/>
      <c r="C1254" s="156"/>
      <c r="D1254" s="156"/>
      <c r="E1254" s="155"/>
      <c r="F1254" s="157" t="s">
        <v>2752</v>
      </c>
      <c r="G1254" s="43" t="s">
        <v>2753</v>
      </c>
      <c r="H1254" s="153" t="s">
        <v>4030</v>
      </c>
      <c r="I1254" s="157" t="s">
        <v>677</v>
      </c>
      <c r="J1254" s="43" t="str">
        <f>INDEX(数据元说明!A:F,MATCH(I1254,数据元说明!C:C,0),2)</f>
        <v>003027</v>
      </c>
      <c r="K1254" s="158" t="str">
        <f>INDEX(数据元说明!A:F,MATCH(I1254,数据元说明!C:C,0),5)</f>
        <v>借据统一编号。</v>
      </c>
      <c r="L1254" s="43" t="str">
        <f>INDEX(数据元说明!A:F,MATCH(I1254,数据元说明!C:C,0),6)</f>
        <v>C..100</v>
      </c>
      <c r="M1254" s="158" t="s">
        <v>4031</v>
      </c>
      <c r="N1254" s="129" t="s">
        <v>25</v>
      </c>
      <c r="O1254" s="139" t="s">
        <v>449</v>
      </c>
      <c r="P1254" s="206" t="s">
        <v>1588</v>
      </c>
    </row>
    <row r="1255" s="81" customFormat="1" ht="30" customHeight="1" outlineLevel="1" spans="1:16">
      <c r="A1255" s="141"/>
      <c r="B1255" s="142"/>
      <c r="C1255" s="39"/>
      <c r="D1255" s="39"/>
      <c r="E1255" s="47"/>
      <c r="F1255" s="135" t="s">
        <v>4032</v>
      </c>
      <c r="G1255" s="136" t="s">
        <v>4033</v>
      </c>
      <c r="H1255" s="153" t="s">
        <v>4034</v>
      </c>
      <c r="I1255" s="135" t="s">
        <v>609</v>
      </c>
      <c r="J1255" s="136" t="str">
        <f>INDEX(数据元说明!A:F,MATCH(I1255,数据元说明!C:C,0),2)</f>
        <v>003010</v>
      </c>
      <c r="K1255" s="138" t="str">
        <f>INDEX(数据元说明!A:F,MATCH(I1255,数据元说明!C:C,0),5)</f>
        <v>与币种相对应金额。</v>
      </c>
      <c r="L1255" s="136" t="str">
        <f>INDEX(数据元说明!A:F,MATCH(I1255,数据元说明!C:C,0),6)</f>
        <v>D20.2</v>
      </c>
      <c r="M1255" s="224" t="s">
        <v>4035</v>
      </c>
      <c r="N1255" s="143" t="s">
        <v>57</v>
      </c>
      <c r="O1255" s="139"/>
      <c r="P1255" s="206"/>
    </row>
    <row r="1256" s="81" customFormat="1" ht="30" customHeight="1" outlineLevel="1" spans="1:16">
      <c r="A1256" s="141"/>
      <c r="B1256" s="142"/>
      <c r="C1256" s="39"/>
      <c r="D1256" s="39"/>
      <c r="E1256" s="47"/>
      <c r="F1256" s="135" t="s">
        <v>4036</v>
      </c>
      <c r="G1256" s="136" t="s">
        <v>4037</v>
      </c>
      <c r="H1256" s="153" t="s">
        <v>4038</v>
      </c>
      <c r="I1256" s="135" t="s">
        <v>609</v>
      </c>
      <c r="J1256" s="136" t="str">
        <f>INDEX(数据元说明!A:F,MATCH(I1256,数据元说明!C:C,0),2)</f>
        <v>003010</v>
      </c>
      <c r="K1256" s="138" t="str">
        <f>INDEX(数据元说明!A:F,MATCH(I1256,数据元说明!C:C,0),5)</f>
        <v>与币种相对应金额。</v>
      </c>
      <c r="L1256" s="136" t="str">
        <f>INDEX(数据元说明!A:F,MATCH(I1256,数据元说明!C:C,0),6)</f>
        <v>D20.2</v>
      </c>
      <c r="M1256" s="224" t="s">
        <v>4039</v>
      </c>
      <c r="N1256" s="143" t="s">
        <v>57</v>
      </c>
      <c r="O1256" s="139"/>
      <c r="P1256" s="206"/>
    </row>
    <row r="1257" s="81" customFormat="1" ht="30" customHeight="1" outlineLevel="1" spans="1:16">
      <c r="A1257" s="134"/>
      <c r="B1257" s="47"/>
      <c r="C1257" s="39"/>
      <c r="D1257" s="39"/>
      <c r="E1257" s="47"/>
      <c r="F1257" s="169" t="s">
        <v>449</v>
      </c>
      <c r="G1257" s="148" t="s">
        <v>1571</v>
      </c>
      <c r="H1257" s="148" t="s">
        <v>4040</v>
      </c>
      <c r="I1257" s="169" t="s">
        <v>449</v>
      </c>
      <c r="J1257" s="170" t="str">
        <f>INDEX(数据元说明!A:F,MATCH(I1257,数据元说明!C:C,0),2)</f>
        <v>001040</v>
      </c>
      <c r="K1257" s="171" t="str">
        <f>INDEX(数据元说明!A:F,MATCH(I1257,数据元说明!C:C,0),5)</f>
        <v>银行自定义。</v>
      </c>
      <c r="L1257" s="170" t="str">
        <f>INDEX(数据元说明!A:F,MATCH(I1257,数据元说明!C:C,0),6)</f>
        <v>C..600</v>
      </c>
      <c r="M1257" s="149" t="s">
        <v>1573</v>
      </c>
      <c r="N1257" s="172" t="s">
        <v>57</v>
      </c>
      <c r="O1257" s="173"/>
      <c r="P1257" s="173"/>
    </row>
    <row r="1258" ht="30" customHeight="1" outlineLevel="1" spans="1:16">
      <c r="E1258" s="94"/>
      <c r="F1258" s="97" t="s">
        <v>1574</v>
      </c>
      <c r="G1258" s="29" t="s">
        <v>1575</v>
      </c>
      <c r="H1258" s="96" t="s">
        <v>4041</v>
      </c>
      <c r="I1258" s="97" t="s">
        <v>302</v>
      </c>
      <c r="J1258" s="29" t="str">
        <f>INDEX(数据元说明!A:F,MATCH(I1258,数据元说明!C:C,0),2)</f>
        <v>001005</v>
      </c>
      <c r="K1258" s="98" t="str">
        <f>INDEX(数据元说明!A:F,MATCH(I1258,数据元说明!C:C,0),5)</f>
        <v>YYYYMMDD，默认值99991231。</v>
      </c>
      <c r="L1258" s="29" t="str">
        <f>INDEX(数据元说明!A:F,MATCH(I1258,数据元说明!C:C,0),6)</f>
        <v>C8</v>
      </c>
      <c r="M1258" s="98" t="s">
        <v>1577</v>
      </c>
    </row>
    <row r="1259" s="61" customFormat="1" ht="30" customHeight="1" spans="1:16">
      <c r="A1259" s="125"/>
      <c r="B1259" s="34"/>
      <c r="C1259" s="19" t="s">
        <v>193</v>
      </c>
      <c r="D1259" s="24" t="s">
        <v>194</v>
      </c>
      <c r="E1259" s="227" t="s">
        <v>4042</v>
      </c>
      <c r="F1259" s="127"/>
      <c r="G1259" s="126"/>
      <c r="H1259" s="227"/>
      <c r="I1259" s="127"/>
      <c r="J1259" s="126"/>
      <c r="K1259" s="152"/>
      <c r="L1259" s="126"/>
      <c r="M1259" s="128" t="str">
        <f>INDEX(表结构总览!E:H,MATCH(D1259,表结构总览!E:E,0),4)</f>
        <v>所有表内信贷+委托贷款的五级分类变动信息，与其他表格中五级分类字段一致。不报送除委托贷款以外的表外业务。无需报送新发放业务（五级分类从无到有）的五级形态变动。</v>
      </c>
      <c r="N1259" s="139" t="s">
        <v>25</v>
      </c>
      <c r="O1259" s="139" t="s">
        <v>449</v>
      </c>
      <c r="P1259" s="41"/>
    </row>
    <row r="1260" s="61" customFormat="1" ht="30" customHeight="1" outlineLevel="1" spans="1:16">
      <c r="A1260" s="130"/>
      <c r="B1260" s="36"/>
      <c r="C1260" s="25"/>
      <c r="D1260" s="25"/>
      <c r="E1260" s="36"/>
      <c r="F1260" s="131" t="s">
        <v>325</v>
      </c>
      <c r="G1260" s="31" t="s">
        <v>1520</v>
      </c>
      <c r="H1260" s="132" t="s">
        <v>4043</v>
      </c>
      <c r="I1260" s="131" t="s">
        <v>325</v>
      </c>
      <c r="J1260" s="31" t="str">
        <f>INDEX(数据元说明!A:F,MATCH(I1260,数据元说明!C:C,0),2)</f>
        <v>001010</v>
      </c>
      <c r="K1260" s="133" t="str">
        <f>INDEX(数据元说明!A:F,MATCH(I1260,数据元说明!C:C,0),5)</f>
        <v>12位人行支付行号或SWIFT行号。</v>
      </c>
      <c r="L1260" s="31" t="str">
        <f>INDEX(数据元说明!A:F,MATCH(I1260,数据元说明!C:C,0),6)</f>
        <v>C..30</v>
      </c>
      <c r="M1260" s="133" t="s">
        <v>1579</v>
      </c>
      <c r="N1260" s="99"/>
      <c r="O1260" s="99"/>
      <c r="P1260" s="41"/>
    </row>
    <row r="1261" s="61" customFormat="1" ht="30" customHeight="1" outlineLevel="1" spans="1:16">
      <c r="A1261" s="130"/>
      <c r="B1261" s="36"/>
      <c r="C1261" s="25"/>
      <c r="D1261" s="25"/>
      <c r="E1261" s="36"/>
      <c r="F1261" s="131" t="s">
        <v>329</v>
      </c>
      <c r="G1261" s="31" t="s">
        <v>1526</v>
      </c>
      <c r="H1261" s="132" t="s">
        <v>4044</v>
      </c>
      <c r="I1261" s="131" t="s">
        <v>329</v>
      </c>
      <c r="J1261" s="31" t="str">
        <f>INDEX(数据元说明!A:F,MATCH(I1261,数据元说明!C:C,0),2)</f>
        <v>001011</v>
      </c>
      <c r="K1261" s="133" t="str">
        <f>INDEX(数据元说明!A:F,MATCH(I1261,数据元说明!C:C,0),5)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61" s="31" t="str">
        <f>INDEX(数据元说明!A:F,MATCH(I1261,数据元说明!C:C,0),6)</f>
        <v>C..30</v>
      </c>
      <c r="M1261" s="133" t="s">
        <v>3204</v>
      </c>
      <c r="N1261" s="99"/>
      <c r="O1261" s="99"/>
      <c r="P1261" s="99"/>
    </row>
    <row r="1262" s="61" customFormat="1" ht="30" customHeight="1" outlineLevel="1" spans="1:16">
      <c r="A1262" s="130"/>
      <c r="B1262" s="36"/>
      <c r="C1262" s="25"/>
      <c r="D1262" s="25"/>
      <c r="E1262" s="36"/>
      <c r="F1262" s="131" t="s">
        <v>333</v>
      </c>
      <c r="G1262" s="31" t="s">
        <v>1523</v>
      </c>
      <c r="H1262" s="132" t="s">
        <v>4045</v>
      </c>
      <c r="I1262" s="131" t="s">
        <v>333</v>
      </c>
      <c r="J1262" s="31" t="str">
        <f>INDEX(数据元说明!A:F,MATCH(I1262,数据元说明!C:C,0),2)</f>
        <v>001012</v>
      </c>
      <c r="K1262" s="133" t="str">
        <f>INDEX(数据元说明!A:F,MATCH(I1262,数据元说明!C:C,0),5)</f>
        <v>银行内部机构号。应具有标识机构的唯一性。</v>
      </c>
      <c r="L1262" s="31" t="str">
        <f>INDEX(数据元说明!A:F,MATCH(I1262,数据元说明!C:C,0),6)</f>
        <v>C..30</v>
      </c>
      <c r="M1262" s="133" t="s">
        <v>1834</v>
      </c>
      <c r="N1262" s="99"/>
      <c r="O1262" s="99"/>
      <c r="P1262" s="41"/>
    </row>
    <row r="1263" s="61" customFormat="1" ht="30" customHeight="1" outlineLevel="1" spans="1:16">
      <c r="A1263" s="130"/>
      <c r="B1263" s="36"/>
      <c r="C1263" s="25"/>
      <c r="D1263" s="25"/>
      <c r="E1263" s="36"/>
      <c r="F1263" s="135" t="s">
        <v>1532</v>
      </c>
      <c r="G1263" s="136" t="s">
        <v>1533</v>
      </c>
      <c r="H1263" s="137" t="s">
        <v>4046</v>
      </c>
      <c r="I1263" s="135" t="s">
        <v>282</v>
      </c>
      <c r="J1263" s="136" t="str">
        <f>INDEX(数据元说明!A:F,MATCH(I1263,数据元说明!C:C,0),2)</f>
        <v>001001</v>
      </c>
      <c r="K1263" s="138" t="str">
        <f>INDEX(数据元说明!A:F,MATCH(I1263,数据元说明!C:C,0),5)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263" s="136" t="str">
        <f>INDEX(数据元说明!A:F,MATCH(I1263,数据元说明!C:C,0),6)</f>
        <v>C..400</v>
      </c>
      <c r="M1263" s="138" t="s">
        <v>1584</v>
      </c>
      <c r="N1263" s="139" t="s">
        <v>25</v>
      </c>
      <c r="O1263" s="139" t="s">
        <v>280</v>
      </c>
      <c r="P1263" s="205"/>
    </row>
    <row r="1264" s="61" customFormat="1" ht="30" customHeight="1" outlineLevel="1" spans="1:16">
      <c r="A1264" s="130"/>
      <c r="B1264" s="36"/>
      <c r="C1264" s="25"/>
      <c r="D1264" s="25"/>
      <c r="E1264" s="36"/>
      <c r="F1264" s="131" t="s">
        <v>2895</v>
      </c>
      <c r="G1264" s="31" t="s">
        <v>2896</v>
      </c>
      <c r="H1264" s="132" t="s">
        <v>4047</v>
      </c>
      <c r="I1264" s="131" t="s">
        <v>681</v>
      </c>
      <c r="J1264" s="31" t="str">
        <f>INDEX(数据元说明!A:F,MATCH(I1264,数据元说明!C:C,0),2)</f>
        <v>003028</v>
      </c>
      <c r="K1264" s="133" t="str">
        <f>INDEX(数据元说明!A:F,MATCH(I1264,数据元说明!C:C,0),5)</f>
        <v>合同号。</v>
      </c>
      <c r="L1264" s="31" t="str">
        <f>INDEX(数据元说明!A:F,MATCH(I1264,数据元说明!C:C,0),6)</f>
        <v>C..100</v>
      </c>
      <c r="M1264" s="133" t="s">
        <v>2951</v>
      </c>
      <c r="N1264" s="33" t="s">
        <v>25</v>
      </c>
      <c r="O1264" s="99"/>
      <c r="P1264" s="204" t="s">
        <v>1588</v>
      </c>
    </row>
    <row r="1265" s="61" customFormat="1" ht="30" customHeight="1" outlineLevel="1" spans="1:16">
      <c r="A1265" s="130"/>
      <c r="B1265" s="36"/>
      <c r="C1265" s="25"/>
      <c r="D1265" s="25"/>
      <c r="E1265" s="36"/>
      <c r="F1265" s="131" t="s">
        <v>2752</v>
      </c>
      <c r="G1265" s="31" t="s">
        <v>2753</v>
      </c>
      <c r="H1265" s="132" t="s">
        <v>4048</v>
      </c>
      <c r="I1265" s="131" t="s">
        <v>677</v>
      </c>
      <c r="J1265" s="31" t="str">
        <f>INDEX(数据元说明!A:F,MATCH(I1265,数据元说明!C:C,0),2)</f>
        <v>003027</v>
      </c>
      <c r="K1265" s="133" t="str">
        <f>INDEX(数据元说明!A:F,MATCH(I1265,数据元说明!C:C,0),5)</f>
        <v>借据统一编号。</v>
      </c>
      <c r="L1265" s="31" t="str">
        <f>INDEX(数据元说明!A:F,MATCH(I1265,数据元说明!C:C,0),6)</f>
        <v>C..100</v>
      </c>
      <c r="M1265" s="133" t="s">
        <v>1525</v>
      </c>
      <c r="N1265" s="33" t="s">
        <v>25</v>
      </c>
      <c r="O1265" s="99"/>
      <c r="P1265" s="204" t="s">
        <v>1588</v>
      </c>
    </row>
    <row r="1266" s="61" customFormat="1" ht="30" customHeight="1" outlineLevel="1" spans="1:16">
      <c r="A1266" s="130"/>
      <c r="B1266" s="36"/>
      <c r="C1266" s="25"/>
      <c r="D1266" s="25"/>
      <c r="E1266" s="36"/>
      <c r="F1266" s="131" t="s">
        <v>453</v>
      </c>
      <c r="G1266" s="31" t="s">
        <v>1680</v>
      </c>
      <c r="H1266" s="132" t="s">
        <v>4049</v>
      </c>
      <c r="I1266" s="131" t="s">
        <v>453</v>
      </c>
      <c r="J1266" s="31" t="str">
        <f>INDEX(数据元说明!A:F,MATCH(I1266,数据元说明!C:C,0),2)</f>
        <v>002001</v>
      </c>
      <c r="K1266" s="133" t="str">
        <f>INDEX(数据元说明!A:F,MATCH(I1266,数据元说明!C:C,0),5)</f>
        <v>银行自定义的唯一识别客户的标识。供应链融资的填写供应链融资编码。</v>
      </c>
      <c r="L1266" s="31" t="str">
        <f>INDEX(数据元说明!A:F,MATCH(I1266,数据元说明!C:C,0),6)</f>
        <v>C..60</v>
      </c>
      <c r="M1266" s="133" t="s">
        <v>1697</v>
      </c>
      <c r="N1266" s="33" t="s">
        <v>25</v>
      </c>
      <c r="O1266" s="99"/>
      <c r="P1266" s="204" t="s">
        <v>1588</v>
      </c>
    </row>
    <row r="1267" s="81" customFormat="1" ht="30" customHeight="1" outlineLevel="1" spans="1:16">
      <c r="A1267" s="134"/>
      <c r="B1267" s="47"/>
      <c r="C1267" s="39"/>
      <c r="D1267" s="39"/>
      <c r="E1267" s="47"/>
      <c r="F1267" s="135" t="s">
        <v>1864</v>
      </c>
      <c r="G1267" s="136" t="s">
        <v>1865</v>
      </c>
      <c r="H1267" s="137" t="s">
        <v>4050</v>
      </c>
      <c r="I1267" s="135" t="s">
        <v>282</v>
      </c>
      <c r="J1267" s="136" t="str">
        <f>INDEX(数据元说明!A:F,MATCH(I1267,数据元说明!C:C,0),2)</f>
        <v>001001</v>
      </c>
      <c r="K1267" s="138" t="str">
        <f>INDEX(数据元说明!A:F,MATCH(I1267,数据元说明!C:C,0),5)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267" s="136" t="str">
        <f>INDEX(数据元说明!A:F,MATCH(I1267,数据元说明!C:C,0),6)</f>
        <v>C..400</v>
      </c>
      <c r="M1267" s="158" t="s">
        <v>2894</v>
      </c>
      <c r="N1267" s="206" t="s">
        <v>25</v>
      </c>
      <c r="O1267" s="206" t="s">
        <v>1673</v>
      </c>
      <c r="P1267" s="205" t="s">
        <v>1588</v>
      </c>
    </row>
    <row r="1268" s="61" customFormat="1" ht="30" customHeight="1" outlineLevel="1" spans="1:16">
      <c r="A1268" s="130"/>
      <c r="B1268" s="36"/>
      <c r="C1268" s="25"/>
      <c r="D1268" s="25"/>
      <c r="E1268" s="36"/>
      <c r="F1268" s="131" t="s">
        <v>4051</v>
      </c>
      <c r="G1268" s="31" t="s">
        <v>4052</v>
      </c>
      <c r="H1268" s="132" t="s">
        <v>4053</v>
      </c>
      <c r="I1268" s="131" t="s">
        <v>302</v>
      </c>
      <c r="J1268" s="31" t="str">
        <f>INDEX(数据元说明!A:F,MATCH(I1268,数据元说明!C:C,0),2)</f>
        <v>001005</v>
      </c>
      <c r="K1268" s="133" t="str">
        <f>INDEX(数据元说明!A:F,MATCH(I1268,数据元说明!C:C,0),5)</f>
        <v>YYYYMMDD，默认值99991231。</v>
      </c>
      <c r="L1268" s="31" t="str">
        <f>INDEX(数据元说明!A:F,MATCH(I1268,数据元说明!C:C,0),6)</f>
        <v>C8</v>
      </c>
      <c r="M1268" s="133" t="s">
        <v>1525</v>
      </c>
      <c r="N1268" s="33" t="s">
        <v>25</v>
      </c>
      <c r="O1268" s="99"/>
      <c r="P1268" s="204" t="s">
        <v>1588</v>
      </c>
    </row>
    <row r="1269" s="81" customFormat="1" ht="30" customHeight="1" outlineLevel="1" spans="1:16">
      <c r="A1269" s="134"/>
      <c r="B1269" s="47"/>
      <c r="C1269" s="39"/>
      <c r="D1269" s="39"/>
      <c r="E1269" s="47"/>
      <c r="F1269" s="135" t="s">
        <v>4054</v>
      </c>
      <c r="G1269" s="136" t="s">
        <v>4055</v>
      </c>
      <c r="H1269" s="137" t="s">
        <v>4056</v>
      </c>
      <c r="I1269" s="135" t="s">
        <v>685</v>
      </c>
      <c r="J1269" s="136" t="str">
        <f>INDEX(数据元说明!A:F,MATCH(I1269,数据元说明!C:C,0),2)</f>
        <v>003029</v>
      </c>
      <c r="K1269" s="138" t="str">
        <f>INDEX(数据元说明!A:F,MATCH(I1269,数据元说明!C:C,0),5)</f>
        <v>正常，关注，次级，可疑，损失。</v>
      </c>
      <c r="L1269" s="136" t="str">
        <f>INDEX(数据元说明!A:F,MATCH(I1269,数据元说明!C:C,0),6)</f>
        <v>C6</v>
      </c>
      <c r="M1269" s="138"/>
      <c r="N1269" s="206" t="s">
        <v>25</v>
      </c>
      <c r="O1269" s="206" t="s">
        <v>1513</v>
      </c>
      <c r="P1269" s="205"/>
    </row>
    <row r="1270" s="81" customFormat="1" ht="30" customHeight="1" outlineLevel="1" spans="1:16">
      <c r="A1270" s="134"/>
      <c r="B1270" s="47"/>
      <c r="C1270" s="39"/>
      <c r="D1270" s="39"/>
      <c r="E1270" s="47"/>
      <c r="F1270" s="135" t="s">
        <v>4057</v>
      </c>
      <c r="G1270" s="136" t="s">
        <v>4058</v>
      </c>
      <c r="H1270" s="137" t="s">
        <v>4059</v>
      </c>
      <c r="I1270" s="135" t="s">
        <v>685</v>
      </c>
      <c r="J1270" s="136" t="str">
        <f>INDEX(数据元说明!A:F,MATCH(I1270,数据元说明!C:C,0),2)</f>
        <v>003029</v>
      </c>
      <c r="K1270" s="138" t="str">
        <f>INDEX(数据元说明!A:F,MATCH(I1270,数据元说明!C:C,0),5)</f>
        <v>正常，关注，次级，可疑，损失。</v>
      </c>
      <c r="L1270" s="136" t="str">
        <f>INDEX(数据元说明!A:F,MATCH(I1270,数据元说明!C:C,0),6)</f>
        <v>C6</v>
      </c>
      <c r="M1270" s="224"/>
      <c r="N1270" s="206" t="s">
        <v>25</v>
      </c>
      <c r="O1270" s="206" t="s">
        <v>1513</v>
      </c>
      <c r="P1270" s="205"/>
    </row>
    <row r="1271" s="61" customFormat="1" ht="30" customHeight="1" outlineLevel="1" spans="1:16">
      <c r="A1271" s="184"/>
      <c r="B1271" s="185"/>
      <c r="C1271" s="25"/>
      <c r="D1271" s="25"/>
      <c r="E1271" s="36"/>
      <c r="F1271" s="131" t="s">
        <v>1053</v>
      </c>
      <c r="G1271" s="31" t="s">
        <v>4060</v>
      </c>
      <c r="H1271" s="132" t="s">
        <v>4061</v>
      </c>
      <c r="I1271" s="131" t="s">
        <v>1053</v>
      </c>
      <c r="J1271" s="31" t="str">
        <f>INDEX(数据元说明!A:F,MATCH(I1271,数据元说明!C:C,0),2)</f>
        <v>007011</v>
      </c>
      <c r="K1271" s="133" t="str">
        <f>INDEX(数据元说明!A:F,MATCH(I1271,数据元说明!C:C,0),5)</f>
        <v>中文字典或中文描述，银行自定义。</v>
      </c>
      <c r="L1271" s="31" t="str">
        <f>INDEX(数据元说明!A:F,MATCH(I1271,数据元说明!C:C,0),6)</f>
        <v>C..30</v>
      </c>
      <c r="M1271" s="133" t="s">
        <v>4062</v>
      </c>
      <c r="N1271" s="33"/>
      <c r="O1271" s="33"/>
      <c r="P1271" s="204"/>
    </row>
    <row r="1272" s="61" customFormat="1" ht="30" customHeight="1" outlineLevel="1" spans="1:16">
      <c r="A1272" s="184"/>
      <c r="B1272" s="185"/>
      <c r="C1272" s="25"/>
      <c r="D1272" s="25"/>
      <c r="E1272" s="36"/>
      <c r="F1272" s="131" t="s">
        <v>1046</v>
      </c>
      <c r="G1272" s="31" t="s">
        <v>4063</v>
      </c>
      <c r="H1272" s="132" t="s">
        <v>4064</v>
      </c>
      <c r="I1272" s="131" t="s">
        <v>1046</v>
      </c>
      <c r="J1272" s="31" t="str">
        <f>INDEX(数据元说明!A:F,MATCH(I1272,数据元说明!C:C,0),2)</f>
        <v>007009</v>
      </c>
      <c r="K1272" s="133" t="str">
        <f>INDEX(数据元说明!A:F,MATCH(I1272,数据元说明!C:C,0),5)</f>
        <v>人工，自动。</v>
      </c>
      <c r="L1272" s="31" t="str">
        <f>INDEX(数据元说明!A:F,MATCH(I1272,数据元说明!C:C,0),6)</f>
        <v>C..30</v>
      </c>
      <c r="M1272" s="133"/>
      <c r="N1272" s="99"/>
      <c r="O1272" s="99"/>
      <c r="P1272" s="41"/>
    </row>
    <row r="1273" s="61" customFormat="1" ht="30" customHeight="1" outlineLevel="1" spans="1:16">
      <c r="A1273" s="130"/>
      <c r="B1273" s="36"/>
      <c r="C1273" s="25"/>
      <c r="D1273" s="25"/>
      <c r="E1273" s="36"/>
      <c r="F1273" s="131" t="s">
        <v>3694</v>
      </c>
      <c r="G1273" s="31" t="s">
        <v>4065</v>
      </c>
      <c r="H1273" s="132" t="s">
        <v>4066</v>
      </c>
      <c r="I1273" s="131" t="s">
        <v>349</v>
      </c>
      <c r="J1273" s="31" t="str">
        <f>INDEX(数据元说明!A:F,MATCH(I1273,数据元说明!C:C,0),2)</f>
        <v>001016</v>
      </c>
      <c r="K1273" s="133" t="str">
        <f>INDEX(数据元说明!A:F,MATCH(I1273,数据元说明!C:C,0),5)</f>
        <v>工号，银行自定义。</v>
      </c>
      <c r="L1273" s="31" t="str">
        <f>INDEX(数据元说明!A:F,MATCH(I1273,数据元说明!C:C,0),6)</f>
        <v>C..30</v>
      </c>
      <c r="M1273" s="133" t="s">
        <v>4067</v>
      </c>
      <c r="N1273" s="99"/>
      <c r="O1273" s="99"/>
      <c r="P1273" s="41"/>
    </row>
    <row r="1274" s="81" customFormat="1" ht="30" customHeight="1" outlineLevel="1" spans="1:16">
      <c r="A1274" s="134"/>
      <c r="B1274" s="47"/>
      <c r="C1274" s="39"/>
      <c r="D1274" s="39"/>
      <c r="E1274" s="47"/>
      <c r="F1274" s="169" t="s">
        <v>449</v>
      </c>
      <c r="G1274" s="148" t="s">
        <v>1571</v>
      </c>
      <c r="H1274" s="148" t="s">
        <v>4068</v>
      </c>
      <c r="I1274" s="169" t="s">
        <v>449</v>
      </c>
      <c r="J1274" s="170" t="str">
        <f>INDEX(数据元说明!A:F,MATCH(I1274,数据元说明!C:C,0),2)</f>
        <v>001040</v>
      </c>
      <c r="K1274" s="171" t="str">
        <f>INDEX(数据元说明!A:F,MATCH(I1274,数据元说明!C:C,0),5)</f>
        <v>银行自定义。</v>
      </c>
      <c r="L1274" s="170" t="str">
        <f>INDEX(数据元说明!A:F,MATCH(I1274,数据元说明!C:C,0),6)</f>
        <v>C..600</v>
      </c>
      <c r="M1274" s="149" t="s">
        <v>1573</v>
      </c>
      <c r="N1274" s="172" t="s">
        <v>57</v>
      </c>
      <c r="O1274" s="173"/>
      <c r="P1274" s="173"/>
    </row>
    <row r="1275" s="61" customFormat="1" ht="30" customHeight="1" outlineLevel="1" spans="1:16">
      <c r="A1275" s="130"/>
      <c r="B1275" s="36"/>
      <c r="C1275" s="25"/>
      <c r="D1275" s="25"/>
      <c r="E1275" s="36"/>
      <c r="F1275" s="131" t="s">
        <v>1574</v>
      </c>
      <c r="G1275" s="31" t="s">
        <v>1575</v>
      </c>
      <c r="H1275" s="132" t="s">
        <v>4069</v>
      </c>
      <c r="I1275" s="131" t="s">
        <v>302</v>
      </c>
      <c r="J1275" s="31" t="str">
        <f>INDEX(数据元说明!A:F,MATCH(I1275,数据元说明!C:C,0),2)</f>
        <v>001005</v>
      </c>
      <c r="K1275" s="133" t="str">
        <f>INDEX(数据元说明!A:F,MATCH(I1275,数据元说明!C:C,0),5)</f>
        <v>YYYYMMDD，默认值99991231。</v>
      </c>
      <c r="L1275" s="31" t="str">
        <f>INDEX(数据元说明!A:F,MATCH(I1275,数据元说明!C:C,0),6)</f>
        <v>C8</v>
      </c>
      <c r="M1275" s="133" t="s">
        <v>1577</v>
      </c>
      <c r="N1275" s="99"/>
      <c r="O1275" s="99"/>
      <c r="P1275" s="41"/>
    </row>
    <row r="1276" s="61" customFormat="1" ht="30" customHeight="1" spans="1:16">
      <c r="A1276" s="119" t="s">
        <v>196</v>
      </c>
      <c r="B1276" s="120" t="s">
        <v>197</v>
      </c>
      <c r="C1276" s="202"/>
      <c r="D1276" s="202"/>
      <c r="E1276" s="202"/>
      <c r="F1276" s="122"/>
      <c r="G1276" s="123"/>
      <c r="H1276" s="203"/>
      <c r="I1276" s="122"/>
      <c r="J1276" s="123"/>
      <c r="K1276" s="124"/>
      <c r="L1276" s="123"/>
      <c r="M1276" s="175"/>
      <c r="N1276" s="99"/>
      <c r="O1276" s="99"/>
      <c r="P1276" s="99"/>
    </row>
    <row r="1277" s="61" customFormat="1" ht="30" customHeight="1" spans="1:16">
      <c r="A1277" s="165"/>
      <c r="B1277" s="166"/>
      <c r="C1277" s="19" t="s">
        <v>198</v>
      </c>
      <c r="D1277" s="24" t="s">
        <v>199</v>
      </c>
      <c r="E1277" s="227" t="s">
        <v>4070</v>
      </c>
      <c r="F1277" s="127"/>
      <c r="G1277" s="126"/>
      <c r="H1277" s="227"/>
      <c r="I1277" s="127"/>
      <c r="J1277" s="126"/>
      <c r="K1277" s="152"/>
      <c r="L1277" s="126"/>
      <c r="M1277" s="128" t="str">
        <f>INDEX(表结构总览!E:H,MATCH(D1277,表结构总览!E:E,0),4)</f>
        <v>除借记卡外的其他所有卡片的信息，包括信用卡、贷记卡、准贷记卡、公务卡等，以卡号为最小粒度报送。状态为“销户”的信用卡在报送最后状态的次月不再报送。状态为“销户”的账户以及账户下所属的所有信用卡在报送最后状态的次月不再报送。</v>
      </c>
      <c r="N1277" s="237" t="s">
        <v>25</v>
      </c>
      <c r="O1277" s="237" t="s">
        <v>449</v>
      </c>
      <c r="P1277" s="204"/>
    </row>
    <row r="1278" s="61" customFormat="1" ht="30" customHeight="1" outlineLevel="1" spans="1:16">
      <c r="A1278" s="159"/>
      <c r="B1278" s="160"/>
      <c r="C1278" s="161"/>
      <c r="D1278" s="161"/>
      <c r="E1278" s="160"/>
      <c r="F1278" s="97" t="s">
        <v>325</v>
      </c>
      <c r="G1278" s="29" t="s">
        <v>1520</v>
      </c>
      <c r="H1278" s="228" t="s">
        <v>4071</v>
      </c>
      <c r="I1278" s="97" t="s">
        <v>325</v>
      </c>
      <c r="J1278" s="31" t="str">
        <f>INDEX(数据元说明!A:F,MATCH(I1278,数据元说明!C:C,0),2)</f>
        <v>001010</v>
      </c>
      <c r="K1278" s="133" t="str">
        <f>INDEX(数据元说明!A:F,MATCH(I1278,数据元说明!C:C,0),5)</f>
        <v>12位人行支付行号或SWIFT行号。</v>
      </c>
      <c r="L1278" s="31" t="str">
        <f>INDEX(数据元说明!A:F,MATCH(I1278,数据元说明!C:C,0),6)</f>
        <v>C..30</v>
      </c>
      <c r="M1278" s="98" t="s">
        <v>4072</v>
      </c>
      <c r="N1278" s="99"/>
      <c r="O1278" s="99"/>
      <c r="P1278" s="41"/>
    </row>
    <row r="1279" s="61" customFormat="1" ht="30" customHeight="1" outlineLevel="1" spans="1:16">
      <c r="A1279" s="130"/>
      <c r="B1279" s="36"/>
      <c r="C1279" s="25"/>
      <c r="D1279" s="25"/>
      <c r="E1279" s="36"/>
      <c r="F1279" s="131" t="s">
        <v>329</v>
      </c>
      <c r="G1279" s="31" t="s">
        <v>1526</v>
      </c>
      <c r="H1279" s="228" t="s">
        <v>4073</v>
      </c>
      <c r="I1279" s="131" t="s">
        <v>329</v>
      </c>
      <c r="J1279" s="31" t="str">
        <f>INDEX(数据元说明!A:F,MATCH(I1279,数据元说明!C:C,0),2)</f>
        <v>001011</v>
      </c>
      <c r="K1279" s="133" t="str">
        <f>INDEX(数据元说明!A:F,MATCH(I1279,数据元说明!C:C,0),5)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279" s="31" t="str">
        <f>INDEX(数据元说明!A:F,MATCH(I1279,数据元说明!C:C,0),6)</f>
        <v>C..30</v>
      </c>
      <c r="M1279" s="133" t="s">
        <v>4074</v>
      </c>
      <c r="N1279" s="99"/>
      <c r="O1279" s="99"/>
      <c r="P1279" s="99"/>
    </row>
    <row r="1280" s="61" customFormat="1" ht="30" customHeight="1" outlineLevel="1" spans="1:16">
      <c r="A1280" s="159"/>
      <c r="B1280" s="160"/>
      <c r="C1280" s="161"/>
      <c r="D1280" s="161"/>
      <c r="E1280" s="160"/>
      <c r="F1280" s="97" t="s">
        <v>333</v>
      </c>
      <c r="G1280" s="29" t="s">
        <v>1523</v>
      </c>
      <c r="H1280" s="228" t="s">
        <v>4075</v>
      </c>
      <c r="I1280" s="97" t="s">
        <v>333</v>
      </c>
      <c r="J1280" s="31" t="str">
        <f>INDEX(数据元说明!A:F,MATCH(I1280,数据元说明!C:C,0),2)</f>
        <v>001012</v>
      </c>
      <c r="K1280" s="133" t="str">
        <f>INDEX(数据元说明!A:F,MATCH(I1280,数据元说明!C:C,0),5)</f>
        <v>银行内部机构号。应具有标识机构的唯一性。</v>
      </c>
      <c r="L1280" s="31" t="str">
        <f>INDEX(数据元说明!A:F,MATCH(I1280,数据元说明!C:C,0),6)</f>
        <v>C..30</v>
      </c>
      <c r="M1280" s="98" t="s">
        <v>4076</v>
      </c>
      <c r="N1280" s="99"/>
      <c r="O1280" s="99"/>
      <c r="P1280" s="41"/>
    </row>
    <row r="1281" s="61" customFormat="1" ht="30" customHeight="1" outlineLevel="1" spans="1:16">
      <c r="A1281" s="238"/>
      <c r="B1281" s="198"/>
      <c r="C1281" s="198"/>
      <c r="D1281" s="198"/>
      <c r="E1281" s="198"/>
      <c r="F1281" s="135" t="s">
        <v>1532</v>
      </c>
      <c r="G1281" s="136" t="s">
        <v>1533</v>
      </c>
      <c r="H1281" s="229" t="s">
        <v>4077</v>
      </c>
      <c r="I1281" s="135" t="s">
        <v>282</v>
      </c>
      <c r="J1281" s="198" t="str">
        <f>INDEX(数据元说明!A:F,MATCH(I1281,数据元说明!C:C,0),2)</f>
        <v>001001</v>
      </c>
      <c r="K1281" s="135" t="str">
        <f>INDEX(数据元说明!A:F,MATCH(I1281,数据元说明!C:C,0),5)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281" s="198" t="str">
        <f>INDEX(数据元说明!A:F,MATCH(I1281,数据元说明!C:C,0),6)</f>
        <v>C..400</v>
      </c>
      <c r="M1281" s="138" t="s">
        <v>4078</v>
      </c>
      <c r="N1281" s="198" t="s">
        <v>57</v>
      </c>
      <c r="O1281" s="198"/>
      <c r="P1281" s="198"/>
    </row>
    <row r="1282" s="61" customFormat="1" ht="30" customHeight="1" outlineLevel="1" spans="1:16">
      <c r="A1282" s="239"/>
      <c r="B1282" s="32"/>
      <c r="C1282" s="32"/>
      <c r="D1282" s="32"/>
      <c r="E1282" s="32"/>
      <c r="F1282" s="131" t="s">
        <v>453</v>
      </c>
      <c r="G1282" s="31" t="s">
        <v>1680</v>
      </c>
      <c r="H1282" s="228" t="s">
        <v>4079</v>
      </c>
      <c r="I1282" s="131" t="s">
        <v>453</v>
      </c>
      <c r="J1282" s="32" t="str">
        <f>INDEX(数据元说明!A:F,MATCH(I1282,数据元说明!C:C,0),2)</f>
        <v>002001</v>
      </c>
      <c r="K1282" s="131" t="str">
        <f>INDEX(数据元说明!A:F,MATCH(I1282,数据元说明!C:C,0),5)</f>
        <v>银行自定义的唯一识别客户的标识。供应链融资的填写供应链融资编码。</v>
      </c>
      <c r="L1282" s="32" t="str">
        <f>INDEX(数据元说明!A:F,MATCH(I1282,数据元说明!C:C,0),6)</f>
        <v>C..60</v>
      </c>
      <c r="M1282" s="133" t="s">
        <v>4080</v>
      </c>
      <c r="N1282" s="32" t="s">
        <v>25</v>
      </c>
      <c r="O1282" s="32"/>
      <c r="P1282" s="32" t="s">
        <v>1588</v>
      </c>
    </row>
    <row r="1283" s="61" customFormat="1" ht="30" customHeight="1" outlineLevel="1" spans="1:16">
      <c r="A1283" s="238"/>
      <c r="B1283" s="198"/>
      <c r="C1283" s="198"/>
      <c r="D1283" s="198"/>
      <c r="E1283" s="198"/>
      <c r="F1283" s="135" t="s">
        <v>1864</v>
      </c>
      <c r="G1283" s="136" t="s">
        <v>1865</v>
      </c>
      <c r="H1283" s="229" t="s">
        <v>4081</v>
      </c>
      <c r="I1283" s="135" t="s">
        <v>282</v>
      </c>
      <c r="J1283" s="198" t="str">
        <f>INDEX(数据元说明!A:F,MATCH(I1283,数据元说明!C:C,0),2)</f>
        <v>001001</v>
      </c>
      <c r="K1283" s="135" t="str">
        <f>INDEX(数据元说明!A:F,MATCH(I1283,数据元说明!C:C,0),5)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283" s="198" t="str">
        <f>INDEX(数据元说明!A:F,MATCH(I1283,数据元说明!C:C,0),6)</f>
        <v>C..400</v>
      </c>
      <c r="M1283" s="138" t="s">
        <v>4082</v>
      </c>
      <c r="N1283" s="198" t="s">
        <v>57</v>
      </c>
      <c r="O1283" s="198"/>
      <c r="P1283" s="198"/>
    </row>
    <row r="1284" s="61" customFormat="1" ht="30" customHeight="1" outlineLevel="1" spans="1:16">
      <c r="A1284" s="159"/>
      <c r="B1284" s="160"/>
      <c r="C1284" s="161"/>
      <c r="D1284" s="161"/>
      <c r="E1284" s="160"/>
      <c r="F1284" s="97" t="s">
        <v>457</v>
      </c>
      <c r="G1284" s="29" t="s">
        <v>1592</v>
      </c>
      <c r="H1284" s="228" t="s">
        <v>4083</v>
      </c>
      <c r="I1284" s="97" t="s">
        <v>457</v>
      </c>
      <c r="J1284" s="31" t="str">
        <f>INDEX(数据元说明!A:F,MATCH(I1284,数据元说明!C:C,0),2)</f>
        <v>002002</v>
      </c>
      <c r="K1284" s="133" t="str">
        <f>INDEX(数据元说明!A:F,MATCH(I1284,数据元说明!C:C,0),5)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284" s="31" t="str">
        <f>INDEX(数据元说明!A:F,MATCH(I1284,数据元说明!C:C,0),6)</f>
        <v>C..60</v>
      </c>
      <c r="M1284" s="217"/>
      <c r="N1284" s="41"/>
      <c r="O1284" s="41"/>
      <c r="P1284" s="41"/>
    </row>
    <row r="1285" s="61" customFormat="1" ht="30" customHeight="1" outlineLevel="1" spans="1:16">
      <c r="A1285" s="238"/>
      <c r="B1285" s="198"/>
      <c r="C1285" s="198"/>
      <c r="D1285" s="198"/>
      <c r="E1285" s="198"/>
      <c r="F1285" s="135" t="s">
        <v>461</v>
      </c>
      <c r="G1285" s="136" t="s">
        <v>1594</v>
      </c>
      <c r="H1285" s="229" t="s">
        <v>4084</v>
      </c>
      <c r="I1285" s="135" t="s">
        <v>461</v>
      </c>
      <c r="J1285" s="198" t="str">
        <f>INDEX(数据元说明!A:F,MATCH(I1285,数据元说明!C:C,0),2)</f>
        <v>002003</v>
      </c>
      <c r="K1285" s="135" t="str">
        <f>INDEX(数据元说明!A:F,MATCH(I1285,数据元说明!C:C,0),5)</f>
        <v>与证件类别对应的证件号码。涉及个人身份证件时需按照本规范给定规则进行脱敏处理。</v>
      </c>
      <c r="L1285" s="198" t="str">
        <f>INDEX(数据元说明!A:F,MATCH(I1285,数据元说明!C:C,0),6)</f>
        <v>C..70</v>
      </c>
      <c r="M1285" s="138" t="s">
        <v>2128</v>
      </c>
      <c r="N1285" s="198" t="s">
        <v>25</v>
      </c>
      <c r="O1285" s="198" t="s">
        <v>280</v>
      </c>
      <c r="P1285" s="198"/>
    </row>
    <row r="1286" s="61" customFormat="1" ht="30" customHeight="1" outlineLevel="1" spans="1:16">
      <c r="A1286" s="238"/>
      <c r="B1286" s="198"/>
      <c r="C1286" s="198"/>
      <c r="D1286" s="198"/>
      <c r="E1286" s="198"/>
      <c r="F1286" s="135" t="s">
        <v>4085</v>
      </c>
      <c r="G1286" s="136" t="s">
        <v>4086</v>
      </c>
      <c r="H1286" s="229" t="s">
        <v>4087</v>
      </c>
      <c r="I1286" s="135" t="s">
        <v>570</v>
      </c>
      <c r="J1286" s="198" t="str">
        <f>INDEX(数据元说明!A:F,MATCH(I1286,数据元说明!C:C,0),2)</f>
        <v>003001</v>
      </c>
      <c r="K1286" s="135" t="str">
        <f>INDEX(数据元说明!A:F,MATCH(I1286,数据元说明!C:C,0),5)</f>
        <v>系统内最细一级的账号，无唯一性约束，不需要和序号、子序号等做拼接。</v>
      </c>
      <c r="L1286" s="198" t="str">
        <f>INDEX(数据元说明!A:F,MATCH(I1286,数据元说明!C:C,0),6)</f>
        <v>C..60</v>
      </c>
      <c r="M1286" s="138" t="s">
        <v>4088</v>
      </c>
      <c r="N1286" s="198" t="s">
        <v>25</v>
      </c>
      <c r="O1286" s="139" t="s">
        <v>2966</v>
      </c>
      <c r="P1286" s="198" t="s">
        <v>1588</v>
      </c>
    </row>
    <row r="1287" s="61" customFormat="1" ht="30" customHeight="1" outlineLevel="1" spans="1:16">
      <c r="A1287" s="238"/>
      <c r="B1287" s="198"/>
      <c r="C1287" s="198"/>
      <c r="D1287" s="198"/>
      <c r="E1287" s="198"/>
      <c r="F1287" s="135" t="s">
        <v>636</v>
      </c>
      <c r="G1287" s="136" t="s">
        <v>2366</v>
      </c>
      <c r="H1287" s="229" t="s">
        <v>4089</v>
      </c>
      <c r="I1287" s="135" t="s">
        <v>636</v>
      </c>
      <c r="J1287" s="198" t="str">
        <f>INDEX(数据元说明!A:F,MATCH(I1287,数据元说明!C:C,0),2)</f>
        <v>003017</v>
      </c>
      <c r="K1287" s="135" t="str">
        <f>INDEX(数据元说明!A:F,MATCH(I1287,数据元说明!C:C,0),5)</f>
        <v>正常，预销户，销户，逾期，冻结，止付，已转让，其他-银行自定义。无法以枚举类型填报的，以“其他-XX”填报，其中“XX”为银行自定义类型。</v>
      </c>
      <c r="L1287" s="198" t="str">
        <f>INDEX(数据元说明!A:F,MATCH(I1287,数据元说明!C:C,0),6)</f>
        <v>C..30</v>
      </c>
      <c r="M1287" s="138"/>
      <c r="N1287" s="240" t="s">
        <v>25</v>
      </c>
      <c r="O1287" s="198" t="s">
        <v>275</v>
      </c>
      <c r="P1287" s="240" t="s">
        <v>1606</v>
      </c>
    </row>
    <row r="1288" s="61" customFormat="1" ht="30" customHeight="1" outlineLevel="1" spans="1:16">
      <c r="A1288" s="239"/>
      <c r="B1288" s="32"/>
      <c r="C1288" s="32"/>
      <c r="D1288" s="32"/>
      <c r="E1288" s="32"/>
      <c r="F1288" s="131" t="s">
        <v>947</v>
      </c>
      <c r="G1288" s="31" t="s">
        <v>2129</v>
      </c>
      <c r="H1288" s="228" t="s">
        <v>4090</v>
      </c>
      <c r="I1288" s="131" t="s">
        <v>947</v>
      </c>
      <c r="J1288" s="32" t="str">
        <f>INDEX(数据元说明!A:F,MATCH(I1288,数据元说明!C:C,0),2)</f>
        <v>006001</v>
      </c>
      <c r="K1288" s="131" t="str">
        <f>INDEX(数据元说明!A:F,MATCH(I1288,数据元说明!C:C,0),5)</f>
        <v>卡号，可以是借记卡号，贷记卡号等。</v>
      </c>
      <c r="L1288" s="32" t="str">
        <f>INDEX(数据元说明!A:F,MATCH(I1288,数据元说明!C:C,0),6)</f>
        <v>C..60</v>
      </c>
      <c r="M1288" s="133" t="s">
        <v>1587</v>
      </c>
      <c r="N1288" s="241" t="s">
        <v>25</v>
      </c>
      <c r="O1288" s="32"/>
      <c r="P1288" s="241" t="s">
        <v>1588</v>
      </c>
    </row>
    <row r="1289" s="61" customFormat="1" ht="30" customHeight="1" outlineLevel="1" spans="1:16">
      <c r="A1289" s="159"/>
      <c r="B1289" s="160"/>
      <c r="C1289" s="161"/>
      <c r="D1289" s="161"/>
      <c r="E1289" s="160"/>
      <c r="F1289" s="97" t="s">
        <v>967</v>
      </c>
      <c r="G1289" s="29" t="s">
        <v>4091</v>
      </c>
      <c r="H1289" s="228" t="s">
        <v>4092</v>
      </c>
      <c r="I1289" s="97" t="s">
        <v>967</v>
      </c>
      <c r="J1289" s="31" t="str">
        <f>INDEX(数据元说明!A:F,MATCH(I1289,数据元说明!C:C,0),2)</f>
        <v>006006</v>
      </c>
      <c r="K1289" s="133" t="str">
        <f>INDEX(数据元说明!A:F,MATCH(I1289,数据元说明!C:C,0),5)</f>
        <v>信用卡片种类名称。</v>
      </c>
      <c r="L1289" s="31" t="str">
        <f>INDEX(数据元说明!A:F,MATCH(I1289,数据元说明!C:C,0),6)</f>
        <v>C..60</v>
      </c>
      <c r="M1289" s="217"/>
      <c r="N1289" s="41"/>
      <c r="O1289" s="41"/>
      <c r="P1289" s="41"/>
    </row>
    <row r="1290" s="61" customFormat="1" ht="30" customHeight="1" outlineLevel="1" spans="1:16">
      <c r="A1290" s="159"/>
      <c r="B1290" s="160"/>
      <c r="C1290" s="161"/>
      <c r="D1290" s="161"/>
      <c r="E1290" s="160"/>
      <c r="F1290" s="97" t="s">
        <v>971</v>
      </c>
      <c r="G1290" s="29" t="s">
        <v>4093</v>
      </c>
      <c r="H1290" s="228" t="s">
        <v>4094</v>
      </c>
      <c r="I1290" s="97" t="s">
        <v>971</v>
      </c>
      <c r="J1290" s="31" t="str">
        <f>INDEX(数据元说明!A:F,MATCH(I1290,数据元说明!C:C,0),2)</f>
        <v>006007</v>
      </c>
      <c r="K1290" s="133" t="str">
        <f>INDEX(数据元说明!A:F,MATCH(I1290,数据元说明!C:C,0),5)</f>
        <v>中文字典或中文描述，银行自定义。</v>
      </c>
      <c r="L1290" s="31" t="str">
        <f>INDEX(数据元说明!A:F,MATCH(I1290,数据元说明!C:C,0),6)</f>
        <v>C..60</v>
      </c>
      <c r="M1290" s="98"/>
      <c r="N1290" s="99"/>
      <c r="O1290" s="99"/>
      <c r="P1290" s="41"/>
    </row>
    <row r="1291" s="61" customFormat="1" ht="30" customHeight="1" outlineLevel="1" spans="1:16">
      <c r="A1291" s="184"/>
      <c r="B1291" s="185"/>
      <c r="C1291" s="186"/>
      <c r="D1291" s="186"/>
      <c r="E1291" s="185"/>
      <c r="F1291" s="131" t="s">
        <v>4095</v>
      </c>
      <c r="G1291" s="31" t="s">
        <v>4096</v>
      </c>
      <c r="H1291" s="228" t="s">
        <v>4097</v>
      </c>
      <c r="I1291" s="131" t="s">
        <v>417</v>
      </c>
      <c r="J1291" s="31" t="str">
        <f>INDEX(数据元说明!A:F,MATCH(I1291,数据元说明!C:C,0),2)</f>
        <v>001033</v>
      </c>
      <c r="K1291" s="133" t="str">
        <f>INDEX(数据元说明!A:F,MATCH(I1291,数据元说明!C:C,0),5)</f>
        <v>多个名称</v>
      </c>
      <c r="L1291" s="31" t="str">
        <f>INDEX(数据元说明!A:F,MATCH(I1291,数据元说明!C:C,0),6)</f>
        <v>C..2000</v>
      </c>
      <c r="M1291" s="133" t="s">
        <v>4098</v>
      </c>
      <c r="N1291" s="99"/>
      <c r="O1291" s="99"/>
      <c r="P1291" s="41"/>
    </row>
    <row r="1292" s="81" customFormat="1" ht="30" customHeight="1" outlineLevel="1" spans="1:16">
      <c r="A1292" s="167"/>
      <c r="B1292" s="168"/>
      <c r="C1292" s="156"/>
      <c r="D1292" s="156"/>
      <c r="E1292" s="155"/>
      <c r="F1292" s="157" t="s">
        <v>974</v>
      </c>
      <c r="G1292" s="43" t="s">
        <v>4099</v>
      </c>
      <c r="H1292" s="229" t="s">
        <v>4100</v>
      </c>
      <c r="I1292" s="157" t="s">
        <v>974</v>
      </c>
      <c r="J1292" s="136" t="str">
        <f>INDEX(数据元说明!A:F,MATCH(I1292,数据元说明!C:C,0),2)</f>
        <v>006008</v>
      </c>
      <c r="K1292" s="138" t="str">
        <f>INDEX(数据元说明!A:F,MATCH(I1292,数据元说明!C:C,0),5)</f>
        <v>银行网点、银行卡中心直销、银行官方网站（含网银渠道）、手机终端（银行APP）、合作发卡、第三方机构引流、其他-银行自定义。无法以枚举类型填报的，以“其他-XX”填报，其中XX为银行自定义类型。</v>
      </c>
      <c r="L1292" s="136" t="str">
        <f>INDEX(数据元说明!A:F,MATCH(I1292,数据元说明!C:C,0),6)</f>
        <v>C..60</v>
      </c>
      <c r="M1292" s="138" t="s">
        <v>4101</v>
      </c>
      <c r="N1292" s="242" t="s">
        <v>57</v>
      </c>
      <c r="O1292" s="140"/>
      <c r="P1292" s="205"/>
    </row>
    <row r="1293" s="61" customFormat="1" ht="30" customHeight="1" outlineLevel="1" spans="1:16">
      <c r="A1293" s="159"/>
      <c r="B1293" s="160"/>
      <c r="C1293" s="95"/>
      <c r="D1293" s="95"/>
      <c r="E1293" s="94"/>
      <c r="F1293" s="97" t="s">
        <v>2145</v>
      </c>
      <c r="G1293" s="29" t="s">
        <v>2146</v>
      </c>
      <c r="H1293" s="228" t="s">
        <v>4102</v>
      </c>
      <c r="I1293" s="97" t="s">
        <v>302</v>
      </c>
      <c r="J1293" s="31" t="str">
        <f>INDEX(数据元说明!A:F,MATCH(I1293,数据元说明!C:C,0),2)</f>
        <v>001005</v>
      </c>
      <c r="K1293" s="133" t="str">
        <f>INDEX(数据元说明!A:F,MATCH(I1293,数据元说明!C:C,0),5)</f>
        <v>YYYYMMDD，默认值99991231。</v>
      </c>
      <c r="L1293" s="31" t="str">
        <f>INDEX(数据元说明!A:F,MATCH(I1293,数据元说明!C:C,0),6)</f>
        <v>C8</v>
      </c>
      <c r="M1293" s="98"/>
      <c r="N1293" s="99"/>
      <c r="O1293" s="99"/>
      <c r="P1293" s="41"/>
    </row>
    <row r="1294" s="85" customFormat="1" ht="28" customHeight="1" outlineLevel="1" spans="1:16">
      <c r="A1294" s="243"/>
      <c r="B1294" s="244"/>
      <c r="C1294" s="209"/>
      <c r="D1294" s="209"/>
      <c r="E1294" s="208"/>
      <c r="F1294" s="98" t="s">
        <v>2148</v>
      </c>
      <c r="G1294" s="101" t="s">
        <v>4103</v>
      </c>
      <c r="H1294" s="228" t="s">
        <v>4104</v>
      </c>
      <c r="I1294" s="98" t="s">
        <v>368</v>
      </c>
      <c r="J1294" s="31" t="str">
        <f>INDEX(数据元说明!A:F,MATCH(I1294,数据元说明!C:C,0),2)</f>
        <v>001021</v>
      </c>
      <c r="K1294" s="133" t="str">
        <f>INDEX(数据元说明!A:F,MATCH(I1294,数据元说明!C:C,0),5)</f>
        <v>柜员编号，银行自定义。</v>
      </c>
      <c r="L1294" s="31" t="str">
        <f>INDEX(数据元说明!A:F,MATCH(I1294,数据元说明!C:C,0),6)</f>
        <v>C..30</v>
      </c>
      <c r="M1294" s="217" t="s">
        <v>4105</v>
      </c>
      <c r="N1294" s="198" t="s">
        <v>25</v>
      </c>
      <c r="O1294" s="139" t="s">
        <v>2966</v>
      </c>
      <c r="P1294" s="204"/>
    </row>
    <row r="1295" s="61" customFormat="1" ht="30" customHeight="1" outlineLevel="1" spans="1:16">
      <c r="A1295" s="238"/>
      <c r="B1295" s="198"/>
      <c r="C1295" s="198"/>
      <c r="D1295" s="198"/>
      <c r="E1295" s="198"/>
      <c r="F1295" s="135" t="s">
        <v>955</v>
      </c>
      <c r="G1295" s="136" t="s">
        <v>2152</v>
      </c>
      <c r="H1295" s="229" t="s">
        <v>4106</v>
      </c>
      <c r="I1295" s="135" t="s">
        <v>955</v>
      </c>
      <c r="J1295" s="198" t="str">
        <f>INDEX(数据元说明!A:F,MATCH(I1295,数据元说明!C:C,0),2)</f>
        <v>006003</v>
      </c>
      <c r="K1295" s="135" t="str">
        <f>INDEX(数据元说明!A:F,MATCH(I1295,数据元说明!C:C,0),5)</f>
        <v>未激活，正常，注销，冻结，睡眠，挂失，其他-银行自定义。以枚举类型填报，如果无法以枚举类型填报的，以“其他-XX”填报，其中XX为银行自定义的卡片状态。</v>
      </c>
      <c r="L1295" s="198" t="str">
        <f>INDEX(数据元说明!A:F,MATCH(I1295,数据元说明!C:C,0),6)</f>
        <v>C..30</v>
      </c>
      <c r="M1295" s="138" t="s">
        <v>2154</v>
      </c>
      <c r="N1295" s="198" t="s">
        <v>25</v>
      </c>
      <c r="O1295" s="198" t="s">
        <v>275</v>
      </c>
      <c r="P1295" s="198" t="s">
        <v>1606</v>
      </c>
    </row>
    <row r="1296" s="61" customFormat="1" ht="30" customHeight="1" outlineLevel="1" spans="1:16">
      <c r="A1296" s="159"/>
      <c r="B1296" s="160"/>
      <c r="C1296" s="161"/>
      <c r="D1296" s="161"/>
      <c r="E1296" s="160"/>
      <c r="F1296" s="97" t="s">
        <v>4107</v>
      </c>
      <c r="G1296" s="29" t="s">
        <v>4108</v>
      </c>
      <c r="H1296" s="228" t="s">
        <v>4109</v>
      </c>
      <c r="I1296" s="97" t="s">
        <v>287</v>
      </c>
      <c r="J1296" s="31" t="str">
        <f>INDEX(数据元说明!A:F,MATCH(I1296,数据元说明!C:C,0),2)</f>
        <v>001002</v>
      </c>
      <c r="K1296" s="133" t="str">
        <f>INDEX(数据元说明!A:F,MATCH(I1296,数据元说明!C:C,0),5)</f>
        <v>是，否。</v>
      </c>
      <c r="L1296" s="31" t="str">
        <f>INDEX(数据元说明!A:F,MATCH(I1296,数据元说明!C:C,0),6)</f>
        <v>C3</v>
      </c>
      <c r="M1296" s="98"/>
      <c r="N1296" s="99"/>
      <c r="O1296" s="99"/>
      <c r="P1296" s="41"/>
    </row>
    <row r="1297" s="61" customFormat="1" ht="30" customHeight="1" outlineLevel="1" spans="1:16">
      <c r="A1297" s="159"/>
      <c r="B1297" s="160"/>
      <c r="C1297" s="161"/>
      <c r="D1297" s="161"/>
      <c r="E1297" s="160"/>
      <c r="F1297" s="97" t="s">
        <v>4110</v>
      </c>
      <c r="G1297" s="29" t="s">
        <v>4111</v>
      </c>
      <c r="H1297" s="228" t="s">
        <v>4112</v>
      </c>
      <c r="I1297" s="97" t="s">
        <v>947</v>
      </c>
      <c r="J1297" s="31" t="str">
        <f>INDEX(数据元说明!A:F,MATCH(I1297,数据元说明!C:C,0),2)</f>
        <v>006001</v>
      </c>
      <c r="K1297" s="133" t="str">
        <f>INDEX(数据元说明!A:F,MATCH(I1297,数据元说明!C:C,0),5)</f>
        <v>卡号，可以是借记卡号，贷记卡号等。</v>
      </c>
      <c r="L1297" s="31" t="str">
        <f>INDEX(数据元说明!A:F,MATCH(I1297,数据元说明!C:C,0),6)</f>
        <v>C..60</v>
      </c>
      <c r="M1297" s="98" t="s">
        <v>4113</v>
      </c>
      <c r="N1297" s="33"/>
      <c r="O1297" s="33"/>
      <c r="P1297" s="204"/>
    </row>
    <row r="1298" s="61" customFormat="1" ht="30" customHeight="1" outlineLevel="1" spans="1:16">
      <c r="A1298" s="159"/>
      <c r="B1298" s="160"/>
      <c r="C1298" s="95"/>
      <c r="D1298" s="95"/>
      <c r="E1298" s="94"/>
      <c r="F1298" s="201" t="s">
        <v>851</v>
      </c>
      <c r="G1298" s="27" t="s">
        <v>3676</v>
      </c>
      <c r="H1298" s="228" t="s">
        <v>4114</v>
      </c>
      <c r="I1298" s="201" t="s">
        <v>731</v>
      </c>
      <c r="J1298" s="31" t="str">
        <f>INDEX(数据元说明!A:F,MATCH(I1298,数据元说明!C:C,0),2)</f>
        <v>004008</v>
      </c>
      <c r="K1298" s="133" t="str">
        <f>INDEX(数据元说明!A:F,MATCH(I1298,数据元说明!C:C,0),5)</f>
        <v>质押，抵押，保证，信用。</v>
      </c>
      <c r="L1298" s="31" t="str">
        <f>INDEX(数据元说明!A:F,MATCH(I1298,数据元说明!C:C,0),6)</f>
        <v>C6</v>
      </c>
      <c r="M1298" s="98"/>
      <c r="N1298" s="99"/>
      <c r="O1298" s="99"/>
      <c r="P1298" s="41"/>
    </row>
    <row r="1299" s="61" customFormat="1" ht="30" customHeight="1" outlineLevel="1" spans="1:16">
      <c r="A1299" s="159"/>
      <c r="B1299" s="160"/>
      <c r="C1299" s="95"/>
      <c r="D1299" s="95"/>
      <c r="E1299" s="94"/>
      <c r="F1299" s="201" t="s">
        <v>735</v>
      </c>
      <c r="G1299" s="27" t="s">
        <v>4115</v>
      </c>
      <c r="H1299" s="228" t="s">
        <v>4116</v>
      </c>
      <c r="I1299" s="201" t="s">
        <v>735</v>
      </c>
      <c r="J1299" s="31" t="str">
        <f>INDEX(数据元说明!A:F,MATCH(I1299,数据元说明!C:C,0),2)</f>
        <v>004009</v>
      </c>
      <c r="K1299" s="133" t="str">
        <f>INDEX(数据元说明!A:F,MATCH(I1299,数据元说明!C:C,0),5)</f>
        <v>中文字典或中文描述，银行自定义。</v>
      </c>
      <c r="L1299" s="31" t="str">
        <f>INDEX(数据元说明!A:F,MATCH(I1299,数据元说明!C:C,0),6)</f>
        <v>C..400</v>
      </c>
      <c r="M1299" s="158" t="s">
        <v>4117</v>
      </c>
      <c r="N1299" s="240" t="s">
        <v>25</v>
      </c>
      <c r="O1299" s="240" t="s">
        <v>449</v>
      </c>
      <c r="P1299" s="41"/>
    </row>
    <row r="1300" s="61" customFormat="1" ht="30" customHeight="1" outlineLevel="1" spans="1:16">
      <c r="A1300" s="159"/>
      <c r="B1300" s="160"/>
      <c r="C1300" s="95"/>
      <c r="D1300" s="95"/>
      <c r="E1300" s="94"/>
      <c r="F1300" s="97" t="s">
        <v>4118</v>
      </c>
      <c r="G1300" s="29" t="s">
        <v>4119</v>
      </c>
      <c r="H1300" s="228" t="s">
        <v>4120</v>
      </c>
      <c r="I1300" s="97" t="s">
        <v>287</v>
      </c>
      <c r="J1300" s="31" t="str">
        <f>INDEX(数据元说明!A:F,MATCH(I1300,数据元说明!C:C,0),2)</f>
        <v>001002</v>
      </c>
      <c r="K1300" s="133" t="str">
        <f>INDEX(数据元说明!A:F,MATCH(I1300,数据元说明!C:C,0),5)</f>
        <v>是，否。</v>
      </c>
      <c r="L1300" s="31" t="str">
        <f>INDEX(数据元说明!A:F,MATCH(I1300,数据元说明!C:C,0),6)</f>
        <v>C3</v>
      </c>
      <c r="M1300" s="98"/>
      <c r="N1300" s="99"/>
      <c r="O1300" s="99"/>
      <c r="P1300" s="41"/>
    </row>
    <row r="1301" s="61" customFormat="1" ht="30" customHeight="1" outlineLevel="1" spans="1:16">
      <c r="A1301" s="238"/>
      <c r="B1301" s="198"/>
      <c r="C1301" s="198"/>
      <c r="D1301" s="198"/>
      <c r="E1301" s="198"/>
      <c r="F1301" s="135" t="s">
        <v>4121</v>
      </c>
      <c r="G1301" s="136" t="s">
        <v>4122</v>
      </c>
      <c r="H1301" s="229" t="s">
        <v>4123</v>
      </c>
      <c r="I1301" s="135" t="s">
        <v>609</v>
      </c>
      <c r="J1301" s="198" t="str">
        <f>INDEX(数据元说明!A:F,MATCH(I1301,数据元说明!C:C,0),2)</f>
        <v>003010</v>
      </c>
      <c r="K1301" s="135" t="str">
        <f>INDEX(数据元说明!A:F,MATCH(I1301,数据元说明!C:C,0),5)</f>
        <v>与币种相对应金额。</v>
      </c>
      <c r="L1301" s="198" t="str">
        <f>INDEX(数据元说明!A:F,MATCH(I1301,数据元说明!C:C,0),6)</f>
        <v>D20.2</v>
      </c>
      <c r="M1301" s="138" t="s">
        <v>4124</v>
      </c>
      <c r="N1301" s="198" t="s">
        <v>25</v>
      </c>
      <c r="O1301" s="198" t="s">
        <v>449</v>
      </c>
      <c r="P1301" s="198"/>
    </row>
    <row r="1302" s="61" customFormat="1" ht="30" customHeight="1" outlineLevel="1" spans="1:16">
      <c r="A1302" s="159"/>
      <c r="B1302" s="160"/>
      <c r="C1302" s="95"/>
      <c r="D1302" s="95"/>
      <c r="E1302" s="94"/>
      <c r="F1302" s="97" t="s">
        <v>4125</v>
      </c>
      <c r="G1302" s="29" t="s">
        <v>4126</v>
      </c>
      <c r="H1302" s="228" t="s">
        <v>4127</v>
      </c>
      <c r="I1302" s="97" t="s">
        <v>624</v>
      </c>
      <c r="J1302" s="31" t="str">
        <f>INDEX(数据元说明!A:F,MATCH(I1302,数据元说明!C:C,0),2)</f>
        <v>003014</v>
      </c>
      <c r="K1302" s="133" t="str">
        <f>INDEX(数据元说明!A:F,MATCH(I1302,数据元说明!C:C,0),5)</f>
        <v>遵循《GB/T 12406 表示货币和资金的代码》的字母代码，如CNY。上述文件所列币种无法涵盖的，允许银行自定义填报。多个币种合计折算为人民币（本外币合计）的，填报为BWB。</v>
      </c>
      <c r="L1302" s="31" t="str">
        <f>INDEX(数据元说明!A:F,MATCH(I1302,数据元说明!C:C,0),6)</f>
        <v>C3</v>
      </c>
      <c r="M1302" s="98" t="s">
        <v>4128</v>
      </c>
      <c r="N1302" s="99"/>
      <c r="O1302" s="99"/>
      <c r="P1302" s="41"/>
    </row>
    <row r="1303" s="61" customFormat="1" ht="30" customHeight="1" outlineLevel="1" spans="1:16">
      <c r="A1303" s="238"/>
      <c r="B1303" s="198"/>
      <c r="C1303" s="198"/>
      <c r="D1303" s="198"/>
      <c r="E1303" s="198"/>
      <c r="F1303" s="135" t="s">
        <v>4129</v>
      </c>
      <c r="G1303" s="136" t="s">
        <v>4130</v>
      </c>
      <c r="H1303" s="229" t="s">
        <v>4131</v>
      </c>
      <c r="I1303" s="135" t="s">
        <v>609</v>
      </c>
      <c r="J1303" s="198" t="str">
        <f>INDEX(数据元说明!A:F,MATCH(I1303,数据元说明!C:C,0),2)</f>
        <v>003010</v>
      </c>
      <c r="K1303" s="135" t="str">
        <f>INDEX(数据元说明!A:F,MATCH(I1303,数据元说明!C:C,0),5)</f>
        <v>与币种相对应金额。</v>
      </c>
      <c r="L1303" s="198" t="str">
        <f>INDEX(数据元说明!A:F,MATCH(I1303,数据元说明!C:C,0),6)</f>
        <v>D20.2</v>
      </c>
      <c r="M1303" s="138" t="s">
        <v>4124</v>
      </c>
      <c r="N1303" s="198" t="s">
        <v>25</v>
      </c>
      <c r="O1303" s="198" t="s">
        <v>449</v>
      </c>
      <c r="P1303" s="198"/>
    </row>
    <row r="1304" s="81" customFormat="1" ht="30" customHeight="1" outlineLevel="1" spans="1:16">
      <c r="A1304" s="167"/>
      <c r="B1304" s="168"/>
      <c r="C1304" s="176"/>
      <c r="D1304" s="176"/>
      <c r="E1304" s="168"/>
      <c r="F1304" s="157" t="s">
        <v>4132</v>
      </c>
      <c r="G1304" s="43" t="s">
        <v>4133</v>
      </c>
      <c r="H1304" s="229" t="s">
        <v>4134</v>
      </c>
      <c r="I1304" s="157" t="s">
        <v>613</v>
      </c>
      <c r="J1304" s="136" t="str">
        <f>INDEX(数据元说明!A:F,MATCH(I1304,数据元说明!C:C,0),2)</f>
        <v>003011</v>
      </c>
      <c r="K1304" s="138" t="str">
        <f>INDEX(数据元说明!A:F,MATCH(I1304,数据元说明!C:C,0),5)</f>
        <v>与币种相对应金额。</v>
      </c>
      <c r="L1304" s="136" t="str">
        <f>INDEX(数据元说明!A:F,MATCH(I1304,数据元说明!C:C,0),6)</f>
        <v>D20.2</v>
      </c>
      <c r="M1304" s="158" t="s">
        <v>4135</v>
      </c>
      <c r="N1304" s="242" t="s">
        <v>57</v>
      </c>
      <c r="O1304" s="140"/>
      <c r="P1304" s="205"/>
    </row>
    <row r="1305" s="61" customFormat="1" ht="30" customHeight="1" outlineLevel="1" spans="1:16">
      <c r="A1305" s="238"/>
      <c r="B1305" s="198"/>
      <c r="C1305" s="198"/>
      <c r="D1305" s="198"/>
      <c r="E1305" s="198"/>
      <c r="F1305" s="135" t="s">
        <v>4136</v>
      </c>
      <c r="G1305" s="136" t="s">
        <v>4137</v>
      </c>
      <c r="H1305" s="229" t="s">
        <v>4138</v>
      </c>
      <c r="I1305" s="135" t="s">
        <v>613</v>
      </c>
      <c r="J1305" s="198" t="str">
        <f>INDEX(数据元说明!A:F,MATCH(I1305,数据元说明!C:C,0),2)</f>
        <v>003011</v>
      </c>
      <c r="K1305" s="135" t="str">
        <f>INDEX(数据元说明!A:F,MATCH(I1305,数据元说明!C:C,0),5)</f>
        <v>与币种相对应金额。</v>
      </c>
      <c r="L1305" s="198" t="str">
        <f>INDEX(数据元说明!A:F,MATCH(I1305,数据元说明!C:C,0),6)</f>
        <v>D20.2</v>
      </c>
      <c r="M1305" s="138" t="s">
        <v>4139</v>
      </c>
      <c r="N1305" s="242" t="s">
        <v>57</v>
      </c>
      <c r="O1305" s="198" t="s">
        <v>449</v>
      </c>
      <c r="P1305" s="198"/>
    </row>
    <row r="1306" s="61" customFormat="1" ht="30" customHeight="1" outlineLevel="1" spans="1:16">
      <c r="A1306" s="159"/>
      <c r="B1306" s="160"/>
      <c r="C1306" s="95"/>
      <c r="D1306" s="95"/>
      <c r="E1306" s="94"/>
      <c r="F1306" s="97" t="s">
        <v>4140</v>
      </c>
      <c r="G1306" s="29" t="s">
        <v>4141</v>
      </c>
      <c r="H1306" s="228" t="s">
        <v>4142</v>
      </c>
      <c r="I1306" s="97" t="s">
        <v>302</v>
      </c>
      <c r="J1306" s="31" t="str">
        <f>INDEX(数据元说明!A:F,MATCH(I1306,数据元说明!C:C,0),2)</f>
        <v>001005</v>
      </c>
      <c r="K1306" s="133" t="str">
        <f>INDEX(数据元说明!A:F,MATCH(I1306,数据元说明!C:C,0),5)</f>
        <v>YYYYMMDD，默认值99991231。</v>
      </c>
      <c r="L1306" s="31" t="str">
        <f>INDEX(数据元说明!A:F,MATCH(I1306,数据元说明!C:C,0),6)</f>
        <v>C8</v>
      </c>
      <c r="M1306" s="98"/>
      <c r="N1306" s="99"/>
      <c r="O1306" s="99"/>
      <c r="P1306" s="41"/>
    </row>
    <row r="1307" s="61" customFormat="1" ht="30" customHeight="1" outlineLevel="1" spans="1:16">
      <c r="A1307" s="238"/>
      <c r="B1307" s="198"/>
      <c r="C1307" s="198"/>
      <c r="D1307" s="198"/>
      <c r="E1307" s="198"/>
      <c r="F1307" s="135" t="s">
        <v>4143</v>
      </c>
      <c r="G1307" s="136" t="s">
        <v>4144</v>
      </c>
      <c r="H1307" s="229" t="s">
        <v>4145</v>
      </c>
      <c r="I1307" s="135" t="s">
        <v>302</v>
      </c>
      <c r="J1307" s="198" t="str">
        <f>INDEX(数据元说明!A:F,MATCH(I1307,数据元说明!C:C,0),2)</f>
        <v>001005</v>
      </c>
      <c r="K1307" s="135" t="str">
        <f>INDEX(数据元说明!A:F,MATCH(I1307,数据元说明!C:C,0),5)</f>
        <v>YYYYMMDD，默认值99991231。</v>
      </c>
      <c r="L1307" s="198" t="str">
        <f>INDEX(数据元说明!A:F,MATCH(I1307,数据元说明!C:C,0),6)</f>
        <v>C8</v>
      </c>
      <c r="M1307" s="138" t="s">
        <v>4146</v>
      </c>
      <c r="N1307" s="198" t="s">
        <v>25</v>
      </c>
      <c r="O1307" s="198"/>
      <c r="P1307" s="198" t="s">
        <v>1606</v>
      </c>
    </row>
    <row r="1308" s="61" customFormat="1" ht="30" customHeight="1" outlineLevel="1" spans="1:16">
      <c r="A1308" s="159"/>
      <c r="B1308" s="160"/>
      <c r="C1308" s="95"/>
      <c r="D1308" s="95"/>
      <c r="E1308" s="94"/>
      <c r="F1308" s="97" t="s">
        <v>4147</v>
      </c>
      <c r="G1308" s="29" t="s">
        <v>4148</v>
      </c>
      <c r="H1308" s="228" t="s">
        <v>4149</v>
      </c>
      <c r="I1308" s="97" t="s">
        <v>368</v>
      </c>
      <c r="J1308" s="31" t="str">
        <f>INDEX(数据元说明!A:F,MATCH(I1308,数据元说明!C:C,0),2)</f>
        <v>001021</v>
      </c>
      <c r="K1308" s="133" t="str">
        <f>INDEX(数据元说明!A:F,MATCH(I1308,数据元说明!C:C,0),5)</f>
        <v>柜员编号，银行自定义。</v>
      </c>
      <c r="L1308" s="31" t="str">
        <f>INDEX(数据元说明!A:F,MATCH(I1308,数据元说明!C:C,0),6)</f>
        <v>C..30</v>
      </c>
      <c r="M1308" s="158" t="s">
        <v>4150</v>
      </c>
      <c r="N1308" s="198" t="s">
        <v>25</v>
      </c>
      <c r="O1308" s="33" t="s">
        <v>2290</v>
      </c>
      <c r="P1308" s="204"/>
    </row>
    <row r="1309" s="81" customFormat="1" ht="30" customHeight="1" outlineLevel="1" spans="1:16">
      <c r="A1309" s="134"/>
      <c r="B1309" s="47"/>
      <c r="C1309" s="39"/>
      <c r="D1309" s="39"/>
      <c r="E1309" s="47"/>
      <c r="F1309" s="169" t="s">
        <v>449</v>
      </c>
      <c r="G1309" s="148" t="s">
        <v>1571</v>
      </c>
      <c r="H1309" s="148" t="s">
        <v>4151</v>
      </c>
      <c r="I1309" s="169" t="s">
        <v>449</v>
      </c>
      <c r="J1309" s="170" t="str">
        <f>INDEX(数据元说明!A:F,MATCH(I1309,数据元说明!C:C,0),2)</f>
        <v>001040</v>
      </c>
      <c r="K1309" s="171" t="str">
        <f>INDEX(数据元说明!A:F,MATCH(I1309,数据元说明!C:C,0),5)</f>
        <v>银行自定义。</v>
      </c>
      <c r="L1309" s="170" t="str">
        <f>INDEX(数据元说明!A:F,MATCH(I1309,数据元说明!C:C,0),6)</f>
        <v>C..600</v>
      </c>
      <c r="M1309" s="149" t="s">
        <v>1573</v>
      </c>
      <c r="N1309" s="172" t="s">
        <v>57</v>
      </c>
      <c r="O1309" s="173"/>
      <c r="P1309" s="173"/>
    </row>
    <row r="1310" s="61" customFormat="1" ht="30" customHeight="1" outlineLevel="1" spans="1:16">
      <c r="A1310" s="93"/>
      <c r="B1310" s="94"/>
      <c r="C1310" s="95"/>
      <c r="D1310" s="95"/>
      <c r="E1310" s="94"/>
      <c r="F1310" s="97" t="s">
        <v>1574</v>
      </c>
      <c r="G1310" s="29" t="s">
        <v>1575</v>
      </c>
      <c r="H1310" s="228" t="s">
        <v>4152</v>
      </c>
      <c r="I1310" s="97" t="s">
        <v>302</v>
      </c>
      <c r="J1310" s="31" t="str">
        <f>INDEX(数据元说明!A:F,MATCH(I1310,数据元说明!C:C,0),2)</f>
        <v>001005</v>
      </c>
      <c r="K1310" s="133" t="str">
        <f>INDEX(数据元说明!A:F,MATCH(I1310,数据元说明!C:C,0),5)</f>
        <v>YYYYMMDD，默认值99991231。</v>
      </c>
      <c r="L1310" s="31" t="str">
        <f>INDEX(数据元说明!A:F,MATCH(I1310,数据元说明!C:C,0),6)</f>
        <v>C8</v>
      </c>
      <c r="M1310" s="98" t="s">
        <v>1577</v>
      </c>
      <c r="N1310" s="99"/>
      <c r="O1310" s="99"/>
      <c r="P1310" s="41"/>
    </row>
    <row r="1311" s="61" customFormat="1" ht="30" customHeight="1" spans="1:16">
      <c r="A1311" s="165"/>
      <c r="B1311" s="166"/>
      <c r="C1311" s="19" t="s">
        <v>201</v>
      </c>
      <c r="D1311" s="24" t="s">
        <v>202</v>
      </c>
      <c r="E1311" s="227" t="s">
        <v>4153</v>
      </c>
      <c r="F1311" s="127"/>
      <c r="G1311" s="126"/>
      <c r="H1311" s="227"/>
      <c r="I1311" s="127"/>
      <c r="J1311" s="126"/>
      <c r="K1311" s="152"/>
      <c r="L1311" s="126"/>
      <c r="M1311" s="128" t="str">
        <f>INDEX(表结构总览!E:H,MATCH(D1311,表结构总览!E:E,0),4)</f>
        <v>除借记卡外的其它所有卡片影响余额变动的交易明细，包括信用卡、贷记卡、准贷记卡、公务卡等，不包括查询交易，以信用卡号为最小粒度报送。</v>
      </c>
      <c r="N1311" s="139" t="s">
        <v>25</v>
      </c>
      <c r="O1311" s="139" t="s">
        <v>449</v>
      </c>
      <c r="P1311" s="204"/>
    </row>
    <row r="1312" s="87" customFormat="1" ht="30" customHeight="1" spans="1:16">
      <c r="A1312" s="141"/>
      <c r="B1312" s="142"/>
      <c r="C1312" s="39"/>
      <c r="D1312" s="40"/>
      <c r="E1312" s="47"/>
      <c r="F1312" s="135" t="s">
        <v>702</v>
      </c>
      <c r="G1312" s="136" t="s">
        <v>2370</v>
      </c>
      <c r="H1312" s="137" t="s">
        <v>4154</v>
      </c>
      <c r="I1312" s="135" t="s">
        <v>702</v>
      </c>
      <c r="J1312" s="136" t="str">
        <f>INDEX(数据元说明!A:F,MATCH(I1312,数据元说明!C:C,0),2)</f>
        <v>004001</v>
      </c>
      <c r="K1312" s="138" t="str">
        <f>INDEX(数据元说明!A:F,MATCH(I1312,数据元说明!C:C,0),5)</f>
        <v>唯一标识该笔交易的编号，银行自定义。可以是业务编号，也可以是交易系统中使用的时间戳，如：时间戳(纳秒)：1530027865231834600。</v>
      </c>
      <c r="L1312" s="136" t="str">
        <f>INDEX(数据元说明!A:F,MATCH(I1312,数据元说明!C:C,0),6)</f>
        <v>C..100</v>
      </c>
      <c r="M1312" s="138" t="s">
        <v>1587</v>
      </c>
      <c r="N1312" s="143" t="s">
        <v>57</v>
      </c>
      <c r="O1312" s="221"/>
      <c r="P1312" s="140"/>
    </row>
    <row r="1313" s="61" customFormat="1" ht="30" customHeight="1" outlineLevel="1" spans="1:16">
      <c r="A1313" s="184"/>
      <c r="B1313" s="185"/>
      <c r="C1313" s="25"/>
      <c r="D1313" s="28"/>
      <c r="E1313" s="36"/>
      <c r="F1313" s="131" t="s">
        <v>325</v>
      </c>
      <c r="G1313" s="31" t="s">
        <v>1520</v>
      </c>
      <c r="H1313" s="132" t="s">
        <v>4155</v>
      </c>
      <c r="I1313" s="131" t="s">
        <v>325</v>
      </c>
      <c r="J1313" s="31" t="str">
        <f>INDEX(数据元说明!A:F,MATCH(I1313,数据元说明!C:C,0),2)</f>
        <v>001010</v>
      </c>
      <c r="K1313" s="133" t="str">
        <f>INDEX(数据元说明!A:F,MATCH(I1313,数据元说明!C:C,0),5)</f>
        <v>12位人行支付行号或SWIFT行号。</v>
      </c>
      <c r="L1313" s="31" t="str">
        <f>INDEX(数据元说明!A:F,MATCH(I1313,数据元说明!C:C,0),6)</f>
        <v>C..30</v>
      </c>
      <c r="M1313" s="98" t="s">
        <v>4072</v>
      </c>
      <c r="N1313" s="99"/>
      <c r="O1313" s="99"/>
      <c r="P1313" s="41"/>
    </row>
    <row r="1314" s="61" customFormat="1" ht="30" customHeight="1" outlineLevel="1" spans="1:16">
      <c r="A1314" s="130"/>
      <c r="B1314" s="36"/>
      <c r="C1314" s="25"/>
      <c r="D1314" s="25"/>
      <c r="E1314" s="36"/>
      <c r="F1314" s="131" t="s">
        <v>329</v>
      </c>
      <c r="G1314" s="31" t="s">
        <v>1526</v>
      </c>
      <c r="H1314" s="132" t="s">
        <v>4156</v>
      </c>
      <c r="I1314" s="131" t="s">
        <v>329</v>
      </c>
      <c r="J1314" s="31" t="str">
        <f>INDEX(数据元说明!A:F,MATCH(I1314,数据元说明!C:C,0),2)</f>
        <v>001011</v>
      </c>
      <c r="K1314" s="133" t="str">
        <f>INDEX(数据元说明!A:F,MATCH(I1314,数据元说明!C:C,0),5)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14" s="31" t="str">
        <f>INDEX(数据元说明!A:F,MATCH(I1314,数据元说明!C:C,0),6)</f>
        <v>C..30</v>
      </c>
      <c r="M1314" s="133" t="s">
        <v>4074</v>
      </c>
      <c r="N1314" s="99"/>
      <c r="O1314" s="99"/>
      <c r="P1314" s="99"/>
    </row>
    <row r="1315" s="61" customFormat="1" ht="30" customHeight="1" outlineLevel="1" spans="1:16">
      <c r="A1315" s="184"/>
      <c r="B1315" s="185"/>
      <c r="C1315" s="25"/>
      <c r="D1315" s="28"/>
      <c r="E1315" s="36"/>
      <c r="F1315" s="131" t="s">
        <v>333</v>
      </c>
      <c r="G1315" s="31" t="s">
        <v>1523</v>
      </c>
      <c r="H1315" s="132" t="s">
        <v>4157</v>
      </c>
      <c r="I1315" s="131" t="s">
        <v>333</v>
      </c>
      <c r="J1315" s="31" t="str">
        <f>INDEX(数据元说明!A:F,MATCH(I1315,数据元说明!C:C,0),2)</f>
        <v>001012</v>
      </c>
      <c r="K1315" s="133" t="str">
        <f>INDEX(数据元说明!A:F,MATCH(I1315,数据元说明!C:C,0),5)</f>
        <v>银行内部机构号。应具有标识机构的唯一性。</v>
      </c>
      <c r="L1315" s="31" t="str">
        <f>INDEX(数据元说明!A:F,MATCH(I1315,数据元说明!C:C,0),6)</f>
        <v>C..30</v>
      </c>
      <c r="M1315" s="98" t="s">
        <v>4076</v>
      </c>
      <c r="N1315" s="99"/>
      <c r="O1315" s="99"/>
      <c r="P1315" s="41"/>
    </row>
    <row r="1316" s="61" customFormat="1" ht="30" customHeight="1" outlineLevel="1" spans="1:16">
      <c r="A1316" s="130"/>
      <c r="B1316" s="36"/>
      <c r="C1316" s="25"/>
      <c r="D1316" s="28"/>
      <c r="E1316" s="36"/>
      <c r="F1316" s="135" t="s">
        <v>1532</v>
      </c>
      <c r="G1316" s="136" t="s">
        <v>1533</v>
      </c>
      <c r="H1316" s="137" t="s">
        <v>4158</v>
      </c>
      <c r="I1316" s="135" t="s">
        <v>282</v>
      </c>
      <c r="J1316" s="136" t="str">
        <f>INDEX(数据元说明!A:F,MATCH(I1316,数据元说明!C:C,0),2)</f>
        <v>001001</v>
      </c>
      <c r="K1316" s="138" t="str">
        <f>INDEX(数据元说明!A:F,MATCH(I1316,数据元说明!C:C,0),5)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316" s="136" t="str">
        <f>INDEX(数据元说明!A:F,MATCH(I1316,数据元说明!C:C,0),6)</f>
        <v>C..400</v>
      </c>
      <c r="M1316" s="138" t="s">
        <v>4078</v>
      </c>
      <c r="N1316" s="139" t="s">
        <v>57</v>
      </c>
      <c r="O1316" s="139"/>
      <c r="P1316" s="205"/>
    </row>
    <row r="1317" s="81" customFormat="1" ht="30" customHeight="1" outlineLevel="1" spans="1:16">
      <c r="A1317" s="141"/>
      <c r="B1317" s="142"/>
      <c r="C1317" s="39"/>
      <c r="D1317" s="42"/>
      <c r="E1317" s="47"/>
      <c r="F1317" s="135" t="s">
        <v>2325</v>
      </c>
      <c r="G1317" s="136" t="s">
        <v>2326</v>
      </c>
      <c r="H1317" s="137" t="s">
        <v>4159</v>
      </c>
      <c r="I1317" s="135" t="s">
        <v>574</v>
      </c>
      <c r="J1317" s="136" t="str">
        <f>INDEX(数据元说明!A:F,MATCH(I1317,数据元说明!C:C,0),2)</f>
        <v>003002</v>
      </c>
      <c r="K1317" s="138" t="str">
        <f>INDEX(数据元说明!A:F,MATCH(I1317,数据元说明!C:C,0),5)</f>
        <v>机构实际使用的总账会计科目编码。</v>
      </c>
      <c r="L1317" s="136" t="str">
        <f>INDEX(数据元说明!A:F,MATCH(I1317,数据元说明!C:C,0),6)</f>
        <v>C..200</v>
      </c>
      <c r="M1317" s="138" t="s">
        <v>2328</v>
      </c>
      <c r="N1317" s="139" t="s">
        <v>25</v>
      </c>
      <c r="O1317" s="139" t="s">
        <v>1516</v>
      </c>
      <c r="P1317" s="205"/>
    </row>
    <row r="1318" s="81" customFormat="1" ht="30" customHeight="1" outlineLevel="1" spans="1:16">
      <c r="A1318" s="141"/>
      <c r="B1318" s="142"/>
      <c r="C1318" s="39"/>
      <c r="D1318" s="42"/>
      <c r="E1318" s="47"/>
      <c r="F1318" s="135" t="s">
        <v>2329</v>
      </c>
      <c r="G1318" s="136" t="s">
        <v>2330</v>
      </c>
      <c r="H1318" s="137" t="s">
        <v>4160</v>
      </c>
      <c r="I1318" s="135" t="s">
        <v>578</v>
      </c>
      <c r="J1318" s="136" t="str">
        <f>INDEX(数据元说明!A:F,MATCH(I1318,数据元说明!C:C,0),2)</f>
        <v>003003</v>
      </c>
      <c r="K1318" s="138" t="str">
        <f>INDEX(数据元说明!A:F,MATCH(I1318,数据元说明!C:C,0),5)</f>
        <v>机构实际使用的总账会计科目编码对应的名称。</v>
      </c>
      <c r="L1318" s="136" t="str">
        <f>INDEX(数据元说明!A:F,MATCH(I1318,数据元说明!C:C,0),6)</f>
        <v>C..200</v>
      </c>
      <c r="M1318" s="138" t="s">
        <v>2328</v>
      </c>
      <c r="N1318" s="139" t="s">
        <v>25</v>
      </c>
      <c r="O1318" s="139" t="s">
        <v>449</v>
      </c>
      <c r="P1318" s="205"/>
    </row>
    <row r="1319" s="81" customFormat="1" ht="30" customHeight="1" outlineLevel="1" spans="1:16">
      <c r="A1319" s="141"/>
      <c r="B1319" s="142"/>
      <c r="C1319" s="176"/>
      <c r="D1319" s="42"/>
      <c r="E1319" s="168"/>
      <c r="F1319" s="157" t="s">
        <v>453</v>
      </c>
      <c r="G1319" s="43" t="s">
        <v>1680</v>
      </c>
      <c r="H1319" s="137" t="s">
        <v>4161</v>
      </c>
      <c r="I1319" s="157" t="s">
        <v>453</v>
      </c>
      <c r="J1319" s="43" t="str">
        <f>INDEX(数据元说明!A:F,MATCH(I1319,数据元说明!C:C,0),2)</f>
        <v>002001</v>
      </c>
      <c r="K1319" s="158" t="str">
        <f>INDEX(数据元说明!A:F,MATCH(I1319,数据元说明!C:C,0),5)</f>
        <v>银行自定义的唯一识别客户的标识。供应链融资的填写供应链融资编码。</v>
      </c>
      <c r="L1319" s="43" t="str">
        <f>INDEX(数据元说明!A:F,MATCH(I1319,数据元说明!C:C,0),6)</f>
        <v>C..60</v>
      </c>
      <c r="M1319" s="158" t="s">
        <v>4162</v>
      </c>
      <c r="N1319" s="140" t="s">
        <v>57</v>
      </c>
      <c r="O1319" s="140"/>
      <c r="P1319" s="205"/>
    </row>
    <row r="1320" s="81" customFormat="1" ht="31" customHeight="1" spans="1:16">
      <c r="A1320" s="134"/>
      <c r="B1320" s="47"/>
      <c r="C1320" s="39"/>
      <c r="D1320" s="28"/>
      <c r="E1320" s="47"/>
      <c r="F1320" s="135" t="s">
        <v>1864</v>
      </c>
      <c r="G1320" s="245" t="s">
        <v>1865</v>
      </c>
      <c r="H1320" s="137" t="s">
        <v>4163</v>
      </c>
      <c r="I1320" s="135" t="s">
        <v>282</v>
      </c>
      <c r="J1320" s="136" t="str">
        <f>INDEX(数据元说明!A:F,MATCH(I1320,数据元说明!C:C,0),2)</f>
        <v>001001</v>
      </c>
      <c r="K1320" s="138" t="str">
        <f>INDEX(数据元说明!A:F,MATCH(I1320,数据元说明!C:C,0),5)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320" s="136" t="str">
        <f>INDEX(数据元说明!A:F,MATCH(I1320,数据元说明!C:C,0),6)</f>
        <v>C..400</v>
      </c>
      <c r="M1320" s="158" t="s">
        <v>2894</v>
      </c>
      <c r="N1320" s="139" t="s">
        <v>57</v>
      </c>
      <c r="O1320" s="140"/>
      <c r="P1320" s="140"/>
    </row>
    <row r="1321" s="81" customFormat="1" ht="57.75" customHeight="1" spans="1:16">
      <c r="A1321" s="134"/>
      <c r="B1321" s="47"/>
      <c r="C1321" s="39"/>
      <c r="D1321" s="28"/>
      <c r="E1321" s="47"/>
      <c r="F1321" s="135" t="s">
        <v>457</v>
      </c>
      <c r="G1321" s="245" t="s">
        <v>1592</v>
      </c>
      <c r="H1321" s="137" t="s">
        <v>4164</v>
      </c>
      <c r="I1321" s="135" t="s">
        <v>457</v>
      </c>
      <c r="J1321" s="136" t="str">
        <f>INDEX(数据元说明!A:F,MATCH(I1321,数据元说明!C:C,0),2)</f>
        <v>002002</v>
      </c>
      <c r="K1321" s="138" t="str">
        <f>INDEX(数据元说明!A:F,MATCH(I1321,数据元说明!C:C,0),5)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321" s="136" t="str">
        <f>INDEX(数据元说明!A:F,MATCH(I1321,数据元说明!C:C,0),6)</f>
        <v>C..60</v>
      </c>
      <c r="M1321" s="138" t="s">
        <v>4165</v>
      </c>
      <c r="N1321" s="139" t="s">
        <v>57</v>
      </c>
      <c r="O1321" s="140"/>
      <c r="P1321" s="140"/>
    </row>
    <row r="1322" s="81" customFormat="1" ht="57.75" customHeight="1" spans="1:16">
      <c r="A1322" s="134"/>
      <c r="B1322" s="47"/>
      <c r="C1322" s="39"/>
      <c r="D1322" s="42"/>
      <c r="E1322" s="47"/>
      <c r="F1322" s="135" t="s">
        <v>461</v>
      </c>
      <c r="G1322" s="245" t="s">
        <v>1594</v>
      </c>
      <c r="H1322" s="137" t="s">
        <v>4166</v>
      </c>
      <c r="I1322" s="135" t="s">
        <v>461</v>
      </c>
      <c r="J1322" s="136" t="str">
        <f>INDEX(数据元说明!A:F,MATCH(I1322,数据元说明!C:C,0),2)</f>
        <v>002003</v>
      </c>
      <c r="K1322" s="138" t="str">
        <f>INDEX(数据元说明!A:F,MATCH(I1322,数据元说明!C:C,0),5)</f>
        <v>与证件类别对应的证件号码。涉及个人身份证件时需按照本规范给定规则进行脱敏处理。</v>
      </c>
      <c r="L1322" s="136" t="str">
        <f>INDEX(数据元说明!A:F,MATCH(I1322,数据元说明!C:C,0),6)</f>
        <v>C..70</v>
      </c>
      <c r="M1322" s="138" t="s">
        <v>4167</v>
      </c>
      <c r="N1322" s="139" t="s">
        <v>25</v>
      </c>
      <c r="O1322" s="139" t="s">
        <v>4168</v>
      </c>
      <c r="P1322" s="140" t="s">
        <v>1588</v>
      </c>
    </row>
    <row r="1323" s="81" customFormat="1" ht="30" customHeight="1" outlineLevel="1" spans="1:16">
      <c r="A1323" s="141"/>
      <c r="B1323" s="142"/>
      <c r="C1323" s="39"/>
      <c r="D1323" s="42"/>
      <c r="E1323" s="47"/>
      <c r="F1323" s="135" t="s">
        <v>4085</v>
      </c>
      <c r="G1323" s="136" t="s">
        <v>4086</v>
      </c>
      <c r="H1323" s="137" t="s">
        <v>4169</v>
      </c>
      <c r="I1323" s="135" t="s">
        <v>570</v>
      </c>
      <c r="J1323" s="136" t="str">
        <f>INDEX(数据元说明!A:F,MATCH(I1323,数据元说明!C:C,0),2)</f>
        <v>003001</v>
      </c>
      <c r="K1323" s="138" t="str">
        <f>INDEX(数据元说明!A:F,MATCH(I1323,数据元说明!C:C,0),5)</f>
        <v>系统内最细一级的账号，无唯一性约束，不需要和序号、子序号等做拼接。</v>
      </c>
      <c r="L1323" s="136" t="str">
        <f>INDEX(数据元说明!A:F,MATCH(I1323,数据元说明!C:C,0),6)</f>
        <v>C..60</v>
      </c>
      <c r="M1323" s="138" t="s">
        <v>4170</v>
      </c>
      <c r="N1323" s="139" t="s">
        <v>25</v>
      </c>
      <c r="O1323" s="139" t="s">
        <v>2966</v>
      </c>
      <c r="P1323" s="205" t="s">
        <v>1588</v>
      </c>
    </row>
    <row r="1324" s="61" customFormat="1" ht="30" customHeight="1" outlineLevel="1" spans="1:16">
      <c r="A1324" s="184"/>
      <c r="B1324" s="185"/>
      <c r="C1324" s="186"/>
      <c r="D1324" s="28"/>
      <c r="E1324" s="185"/>
      <c r="F1324" s="131" t="s">
        <v>947</v>
      </c>
      <c r="G1324" s="31" t="s">
        <v>2129</v>
      </c>
      <c r="H1324" s="132" t="s">
        <v>4171</v>
      </c>
      <c r="I1324" s="131" t="s">
        <v>947</v>
      </c>
      <c r="J1324" s="31" t="str">
        <f>INDEX(数据元说明!A:F,MATCH(I1324,数据元说明!C:C,0),2)</f>
        <v>006001</v>
      </c>
      <c r="K1324" s="133" t="str">
        <f>INDEX(数据元说明!A:F,MATCH(I1324,数据元说明!C:C,0),5)</f>
        <v>卡号，可以是借记卡号，贷记卡号等。</v>
      </c>
      <c r="L1324" s="31" t="str">
        <f>INDEX(数据元说明!A:F,MATCH(I1324,数据元说明!C:C,0),6)</f>
        <v>C..60</v>
      </c>
      <c r="M1324" s="133" t="s">
        <v>4172</v>
      </c>
      <c r="N1324" s="33" t="s">
        <v>25</v>
      </c>
      <c r="O1324" s="99"/>
      <c r="P1324" s="204" t="s">
        <v>1588</v>
      </c>
    </row>
    <row r="1325" s="61" customFormat="1" ht="30" customHeight="1" outlineLevel="1" spans="1:16">
      <c r="A1325" s="184"/>
      <c r="B1325" s="185"/>
      <c r="C1325" s="25"/>
      <c r="D1325" s="42"/>
      <c r="E1325" s="36"/>
      <c r="F1325" s="131" t="s">
        <v>727</v>
      </c>
      <c r="G1325" s="31" t="s">
        <v>4173</v>
      </c>
      <c r="H1325" s="132" t="s">
        <v>4174</v>
      </c>
      <c r="I1325" s="131" t="s">
        <v>727</v>
      </c>
      <c r="J1325" s="31" t="str">
        <f>INDEX(数据元说明!A:F,MATCH(I1325,数据元说明!C:C,0),2)</f>
        <v>004007</v>
      </c>
      <c r="K1325" s="133" t="str">
        <f>INDEX(数据元说明!A:F,MATCH(I1325,数据元说明!C:C,0),5)</f>
        <v>现金交易，还款交易，消费交易，转账交易，其他-银行自定义。以枚举类型填报，如无法以枚举类型填报，则以“其他-XX”填报，其中“XX”为银行自定义类型。</v>
      </c>
      <c r="L1325" s="31" t="str">
        <f>INDEX(数据元说明!A:F,MATCH(I1325,数据元说明!C:C,0),6)</f>
        <v>C..60</v>
      </c>
      <c r="M1325" s="133" t="s">
        <v>4175</v>
      </c>
      <c r="N1325" s="220" t="s">
        <v>25</v>
      </c>
      <c r="O1325" s="220" t="s">
        <v>1613</v>
      </c>
      <c r="P1325" s="220"/>
    </row>
    <row r="1326" s="81" customFormat="1" ht="30" customHeight="1" outlineLevel="1" spans="1:16">
      <c r="A1326" s="134"/>
      <c r="B1326" s="47"/>
      <c r="C1326" s="39"/>
      <c r="D1326" s="42"/>
      <c r="E1326" s="47"/>
      <c r="F1326" s="135" t="s">
        <v>693</v>
      </c>
      <c r="G1326" s="136" t="s">
        <v>2393</v>
      </c>
      <c r="H1326" s="137" t="s">
        <v>4176</v>
      </c>
      <c r="I1326" s="135" t="s">
        <v>693</v>
      </c>
      <c r="J1326" s="136" t="str">
        <f>INDEX(数据元说明!A:F,MATCH(I1326,数据元说明!C:C,0),2)</f>
        <v>003031</v>
      </c>
      <c r="K1326" s="138" t="str">
        <f>INDEX(数据元说明!A:F,MATCH(I1326,数据元说明!C:C,0),5)</f>
        <v>借，贷。</v>
      </c>
      <c r="L1326" s="136" t="str">
        <f>INDEX(数据元说明!A:F,MATCH(I1326,数据元说明!C:C,0),6)</f>
        <v>C3</v>
      </c>
      <c r="M1326" s="138"/>
      <c r="N1326" s="140" t="s">
        <v>25</v>
      </c>
      <c r="O1326" s="139" t="s">
        <v>280</v>
      </c>
      <c r="P1326" s="205"/>
    </row>
    <row r="1327" s="61" customFormat="1" ht="30" customHeight="1" outlineLevel="1" spans="1:16">
      <c r="A1327" s="184"/>
      <c r="B1327" s="185"/>
      <c r="C1327" s="25"/>
      <c r="D1327" s="28"/>
      <c r="E1327" s="36"/>
      <c r="F1327" s="131" t="s">
        <v>2395</v>
      </c>
      <c r="G1327" s="31" t="s">
        <v>2396</v>
      </c>
      <c r="H1327" s="132" t="s">
        <v>4177</v>
      </c>
      <c r="I1327" s="131" t="s">
        <v>302</v>
      </c>
      <c r="J1327" s="31" t="str">
        <f>INDEX(数据元说明!A:F,MATCH(I1327,数据元说明!C:C,0),2)</f>
        <v>001005</v>
      </c>
      <c r="K1327" s="133" t="str">
        <f>INDEX(数据元说明!A:F,MATCH(I1327,数据元说明!C:C,0),5)</f>
        <v>YYYYMMDD，默认值99991231。</v>
      </c>
      <c r="L1327" s="31" t="str">
        <f>INDEX(数据元说明!A:F,MATCH(I1327,数据元说明!C:C,0),6)</f>
        <v>C8</v>
      </c>
      <c r="M1327" s="133" t="s">
        <v>4178</v>
      </c>
      <c r="N1327" s="33"/>
      <c r="O1327" s="99"/>
      <c r="P1327" s="204"/>
    </row>
    <row r="1328" s="61" customFormat="1" ht="30" customHeight="1" outlineLevel="1" spans="1:16">
      <c r="A1328" s="130"/>
      <c r="B1328" s="36"/>
      <c r="C1328" s="25"/>
      <c r="D1328" s="28"/>
      <c r="E1328" s="36"/>
      <c r="F1328" s="131" t="s">
        <v>2399</v>
      </c>
      <c r="G1328" s="31" t="s">
        <v>2400</v>
      </c>
      <c r="H1328" s="132" t="s">
        <v>4179</v>
      </c>
      <c r="I1328" s="131" t="s">
        <v>312</v>
      </c>
      <c r="J1328" s="31" t="str">
        <f>INDEX(数据元说明!A:F,MATCH(I1328,数据元说明!C:C,0),2)</f>
        <v>001007</v>
      </c>
      <c r="K1328" s="133" t="str">
        <f>INDEX(数据元说明!A:F,MATCH(I1328,数据元说明!C:C,0),5)</f>
        <v>24小时制时间，精确到秒。hhmmss，默认值000000。</v>
      </c>
      <c r="L1328" s="31" t="str">
        <f>INDEX(数据元说明!A:F,MATCH(I1328,数据元说明!C:C,0),6)</f>
        <v>C6</v>
      </c>
      <c r="M1328" s="133" t="s">
        <v>2402</v>
      </c>
      <c r="N1328" s="33"/>
      <c r="O1328" s="220"/>
      <c r="P1328" s="33"/>
    </row>
    <row r="1329" s="61" customFormat="1" ht="30" customHeight="1" outlineLevel="1" spans="1:16">
      <c r="A1329" s="184"/>
      <c r="B1329" s="185"/>
      <c r="C1329" s="25"/>
      <c r="D1329" s="42"/>
      <c r="E1329" s="36"/>
      <c r="F1329" s="131" t="s">
        <v>624</v>
      </c>
      <c r="G1329" s="31" t="s">
        <v>1989</v>
      </c>
      <c r="H1329" s="132" t="s">
        <v>4180</v>
      </c>
      <c r="I1329" s="131" t="s">
        <v>624</v>
      </c>
      <c r="J1329" s="31" t="str">
        <f>INDEX(数据元说明!A:F,MATCH(I1329,数据元说明!C:C,0),2)</f>
        <v>003014</v>
      </c>
      <c r="K1329" s="133" t="str">
        <f>INDEX(数据元说明!A:F,MATCH(I1329,数据元说明!C:C,0),5)</f>
        <v>遵循《GB/T 12406 表示货币和资金的代码》的字母代码，如CNY。上述文件所列币种无法涵盖的，允许银行自定义填报。多个币种合计折算为人民币（本外币合计）的，填报为BWB。</v>
      </c>
      <c r="L1329" s="31" t="str">
        <f>INDEX(数据元说明!A:F,MATCH(I1329,数据元说明!C:C,0),6)</f>
        <v>C3</v>
      </c>
      <c r="M1329" s="133" t="s">
        <v>4181</v>
      </c>
      <c r="N1329" s="99"/>
      <c r="O1329" s="99"/>
      <c r="P1329" s="41"/>
    </row>
    <row r="1330" s="61" customFormat="1" ht="30" customHeight="1" outlineLevel="1" spans="1:16">
      <c r="A1330" s="184"/>
      <c r="B1330" s="185"/>
      <c r="C1330" s="186"/>
      <c r="D1330" s="186"/>
      <c r="E1330" s="185"/>
      <c r="F1330" s="131" t="s">
        <v>2404</v>
      </c>
      <c r="G1330" s="31" t="s">
        <v>2405</v>
      </c>
      <c r="H1330" s="132" t="s">
        <v>4182</v>
      </c>
      <c r="I1330" s="131" t="s">
        <v>609</v>
      </c>
      <c r="J1330" s="31" t="str">
        <f>INDEX(数据元说明!A:F,MATCH(I1330,数据元说明!C:C,0),2)</f>
        <v>003010</v>
      </c>
      <c r="K1330" s="133" t="str">
        <f>INDEX(数据元说明!A:F,MATCH(I1330,数据元说明!C:C,0),5)</f>
        <v>与币种相对应金额。</v>
      </c>
      <c r="L1330" s="31" t="str">
        <f>INDEX(数据元说明!A:F,MATCH(I1330,数据元说明!C:C,0),6)</f>
        <v>D20.2</v>
      </c>
      <c r="M1330" s="163"/>
      <c r="N1330" s="99"/>
      <c r="O1330" s="99"/>
      <c r="P1330" s="99"/>
    </row>
    <row r="1331" s="81" customFormat="1" ht="30" customHeight="1" outlineLevel="1" spans="1:16">
      <c r="A1331" s="141"/>
      <c r="B1331" s="142"/>
      <c r="C1331" s="177"/>
      <c r="D1331" s="177"/>
      <c r="E1331" s="142"/>
      <c r="F1331" s="135" t="s">
        <v>2407</v>
      </c>
      <c r="G1331" s="136" t="s">
        <v>2408</v>
      </c>
      <c r="H1331" s="137" t="s">
        <v>4183</v>
      </c>
      <c r="I1331" s="135" t="s">
        <v>613</v>
      </c>
      <c r="J1331" s="136" t="str">
        <f>INDEX(数据元说明!A:F,MATCH(I1331,数据元说明!C:C,0),2)</f>
        <v>003011</v>
      </c>
      <c r="K1331" s="138" t="str">
        <f>INDEX(数据元说明!A:F,MATCH(I1331,数据元说明!C:C,0),5)</f>
        <v>与币种相对应金额。</v>
      </c>
      <c r="L1331" s="136" t="str">
        <f>INDEX(数据元说明!A:F,MATCH(I1331,数据元说明!C:C,0),6)</f>
        <v>D20.2</v>
      </c>
      <c r="M1331" s="138" t="s">
        <v>4184</v>
      </c>
      <c r="N1331" s="143" t="s">
        <v>57</v>
      </c>
      <c r="O1331" s="140"/>
      <c r="P1331" s="140"/>
    </row>
    <row r="1332" s="81" customFormat="1" ht="30" customHeight="1" outlineLevel="1" spans="1:16">
      <c r="A1332" s="134"/>
      <c r="B1332" s="47"/>
      <c r="C1332" s="39"/>
      <c r="D1332" s="42"/>
      <c r="E1332" s="47"/>
      <c r="F1332" s="135" t="s">
        <v>2411</v>
      </c>
      <c r="G1332" s="136" t="s">
        <v>2412</v>
      </c>
      <c r="H1332" s="137" t="s">
        <v>4185</v>
      </c>
      <c r="I1332" s="157" t="s">
        <v>697</v>
      </c>
      <c r="J1332" s="136" t="str">
        <f>INDEX(数据元说明!A:F,MATCH(I1332,数据元说明!C:C,0),2)</f>
        <v>003032</v>
      </c>
      <c r="K1332" s="138" t="str">
        <f>INDEX(数据元说明!A:F,MATCH(I1332,数据元说明!C:C,0),5)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332" s="136" t="str">
        <f>INDEX(数据元说明!A:F,MATCH(I1332,数据元说明!C:C,0),6)</f>
        <v>C..60</v>
      </c>
      <c r="M1332" s="158" t="s">
        <v>4186</v>
      </c>
      <c r="N1332" s="139" t="s">
        <v>25</v>
      </c>
      <c r="O1332" s="139" t="s">
        <v>449</v>
      </c>
      <c r="P1332" s="206"/>
    </row>
    <row r="1333" s="81" customFormat="1" ht="30" customHeight="1" outlineLevel="1" spans="1:16">
      <c r="A1333" s="141"/>
      <c r="B1333" s="142"/>
      <c r="C1333" s="177"/>
      <c r="D1333" s="42"/>
      <c r="E1333" s="168"/>
      <c r="F1333" s="157" t="s">
        <v>2415</v>
      </c>
      <c r="G1333" s="43" t="s">
        <v>2416</v>
      </c>
      <c r="H1333" s="137" t="s">
        <v>4187</v>
      </c>
      <c r="I1333" s="157" t="s">
        <v>628</v>
      </c>
      <c r="J1333" s="43" t="str">
        <f>INDEX(数据元说明!A:F,MATCH(I1333,数据元说明!C:C,0),2)</f>
        <v>003015</v>
      </c>
      <c r="K1333" s="158" t="str">
        <f>INDEX(数据元说明!A:F,MATCH(I1333,数据元说明!C:C,0),5)</f>
        <v>账户归属者的名称。如果客户为个人，则为隐私，银行机构变形，变形规则见《采集技术接口说明》。客户是境内涉密机构的，账户名称填报为“*********”。其他情况，则为非隐私，不做变形。</v>
      </c>
      <c r="L1333" s="43" t="str">
        <f>INDEX(数据元说明!A:F,MATCH(I1333,数据元说明!C:C,0),6)</f>
        <v>C..400</v>
      </c>
      <c r="M1333" s="158" t="s">
        <v>4188</v>
      </c>
      <c r="N1333" s="139" t="s">
        <v>25</v>
      </c>
      <c r="O1333" s="139" t="s">
        <v>1613</v>
      </c>
      <c r="P1333" s="139"/>
    </row>
    <row r="1334" s="81" customFormat="1" ht="30" customHeight="1" outlineLevel="1" spans="1:16">
      <c r="A1334" s="167"/>
      <c r="B1334" s="168"/>
      <c r="C1334" s="176"/>
      <c r="D1334" s="176"/>
      <c r="E1334" s="168"/>
      <c r="F1334" s="157" t="s">
        <v>2419</v>
      </c>
      <c r="G1334" s="43" t="s">
        <v>2420</v>
      </c>
      <c r="H1334" s="137" t="s">
        <v>4189</v>
      </c>
      <c r="I1334" s="157" t="s">
        <v>325</v>
      </c>
      <c r="J1334" s="43" t="str">
        <f>INDEX(数据元说明!A:F,MATCH(I1334,数据元说明!C:C,0),2)</f>
        <v>001010</v>
      </c>
      <c r="K1334" s="158" t="str">
        <f>INDEX(数据元说明!A:F,MATCH(I1334,数据元说明!C:C,0),5)</f>
        <v>12位人行支付行号或SWIFT行号。</v>
      </c>
      <c r="L1334" s="43" t="str">
        <f>INDEX(数据元说明!A:F,MATCH(I1334,数据元说明!C:C,0),6)</f>
        <v>C..30</v>
      </c>
      <c r="M1334" s="222" t="s">
        <v>4190</v>
      </c>
      <c r="N1334" s="221" t="s">
        <v>25</v>
      </c>
      <c r="O1334" s="221" t="s">
        <v>449</v>
      </c>
      <c r="P1334" s="221"/>
    </row>
    <row r="1335" s="81" customFormat="1" ht="30" customHeight="1" outlineLevel="1" spans="1:16">
      <c r="A1335" s="167"/>
      <c r="B1335" s="168"/>
      <c r="C1335" s="176"/>
      <c r="D1335" s="176"/>
      <c r="E1335" s="168"/>
      <c r="F1335" s="157" t="s">
        <v>2423</v>
      </c>
      <c r="G1335" s="43" t="s">
        <v>2424</v>
      </c>
      <c r="H1335" s="137" t="s">
        <v>4191</v>
      </c>
      <c r="I1335" s="157" t="s">
        <v>282</v>
      </c>
      <c r="J1335" s="43" t="str">
        <f>INDEX(数据元说明!A:F,MATCH(I1335,数据元说明!C:C,0),2)</f>
        <v>001001</v>
      </c>
      <c r="K1335" s="158" t="str">
        <f>INDEX(数据元说明!A:F,MATCH(I1335,数据元说明!C:C,0),5)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335" s="43" t="str">
        <f>INDEX(数据元说明!A:F,MATCH(I1335,数据元说明!C:C,0),6)</f>
        <v>C..400</v>
      </c>
      <c r="M1335" s="222" t="s">
        <v>4192</v>
      </c>
      <c r="N1335" s="221" t="s">
        <v>25</v>
      </c>
      <c r="O1335" s="221" t="s">
        <v>1673</v>
      </c>
      <c r="P1335" s="221"/>
    </row>
    <row r="1336" s="81" customFormat="1" ht="30" customHeight="1" spans="1:16">
      <c r="A1336" s="134"/>
      <c r="B1336" s="47"/>
      <c r="C1336" s="39"/>
      <c r="D1336" s="42"/>
      <c r="E1336" s="47"/>
      <c r="F1336" s="135" t="s">
        <v>978</v>
      </c>
      <c r="G1336" s="245" t="s">
        <v>2196</v>
      </c>
      <c r="H1336" s="137" t="s">
        <v>4193</v>
      </c>
      <c r="I1336" s="135" t="s">
        <v>978</v>
      </c>
      <c r="J1336" s="136" t="str">
        <f>INDEX(数据元说明!A:F,MATCH(I1336,数据元说明!C:C,0),2)</f>
        <v>006009</v>
      </c>
      <c r="K1336" s="246" t="str">
        <f>INDEX(数据元说明!A:F,MATCH(I1336,数据元说明!C:C,0),5)</f>
        <v>唯一识别商户的编码。可以是商业银行自有商户编号，也可以是第三方支付机构收单交易显示的商户编号。</v>
      </c>
      <c r="L1336" s="136" t="str">
        <f>INDEX(数据元说明!A:F,MATCH(I1336,数据元说明!C:C,0),6)</f>
        <v>C..200</v>
      </c>
      <c r="M1336" s="138" t="s">
        <v>4194</v>
      </c>
      <c r="N1336" s="139" t="s">
        <v>25</v>
      </c>
      <c r="O1336" s="139" t="s">
        <v>449</v>
      </c>
      <c r="P1336" s="140"/>
    </row>
    <row r="1337" s="81" customFormat="1" ht="30" customHeight="1" spans="1:16">
      <c r="A1337" s="134"/>
      <c r="B1337" s="47"/>
      <c r="C1337" s="39"/>
      <c r="D1337" s="42"/>
      <c r="E1337" s="47"/>
      <c r="F1337" s="135" t="s">
        <v>982</v>
      </c>
      <c r="G1337" s="245" t="s">
        <v>2199</v>
      </c>
      <c r="H1337" s="137" t="s">
        <v>4195</v>
      </c>
      <c r="I1337" s="135" t="s">
        <v>982</v>
      </c>
      <c r="J1337" s="136" t="str">
        <f>INDEX(数据元说明!A:F,MATCH(I1337,数据元说明!C:C,0),2)</f>
        <v>006010</v>
      </c>
      <c r="K1337" s="246" t="str">
        <f>INDEX(数据元说明!A:F,MATCH(I1337,数据元说明!C:C,0),5)</f>
        <v>商户注册登记的名称。</v>
      </c>
      <c r="L1337" s="136" t="str">
        <f>INDEX(数据元说明!A:F,MATCH(I1337,数据元说明!C:C,0),6)</f>
        <v>C..400</v>
      </c>
      <c r="M1337" s="138" t="s">
        <v>4196</v>
      </c>
      <c r="N1337" s="139" t="s">
        <v>25</v>
      </c>
      <c r="O1337" s="139" t="s">
        <v>449</v>
      </c>
      <c r="P1337" s="140"/>
    </row>
    <row r="1338" s="81" customFormat="1" ht="30" customHeight="1" outlineLevel="1" spans="1:16">
      <c r="A1338" s="134"/>
      <c r="B1338" s="47"/>
      <c r="C1338" s="39"/>
      <c r="D1338" s="39"/>
      <c r="E1338" s="47"/>
      <c r="F1338" s="135" t="s">
        <v>718</v>
      </c>
      <c r="G1338" s="136" t="s">
        <v>1779</v>
      </c>
      <c r="H1338" s="137" t="s">
        <v>4197</v>
      </c>
      <c r="I1338" s="135" t="s">
        <v>718</v>
      </c>
      <c r="J1338" s="136" t="str">
        <f>INDEX(数据元说明!A:F,MATCH(I1338,数据元说明!C:C,0),2)</f>
        <v>004005</v>
      </c>
      <c r="K1338" s="138" t="str">
        <f>INDEX(数据元说明!A:F,MATCH(I1338,数据元说明!C:C,0),5)</f>
        <v>银行自定义交易内容的简要描述。可以是转账凭证上的备注、附言。</v>
      </c>
      <c r="L1338" s="136" t="str">
        <f>INDEX(数据元说明!A:F,MATCH(I1338,数据元说明!C:C,0),6)</f>
        <v>C..400</v>
      </c>
      <c r="M1338" s="138"/>
      <c r="N1338" s="140" t="s">
        <v>25</v>
      </c>
      <c r="O1338" s="140" t="s">
        <v>275</v>
      </c>
      <c r="P1338" s="140"/>
    </row>
    <row r="1339" s="81" customFormat="1" ht="30" customHeight="1" spans="1:16">
      <c r="A1339" s="134"/>
      <c r="B1339" s="47"/>
      <c r="C1339" s="39"/>
      <c r="D1339" s="42"/>
      <c r="E1339" s="47"/>
      <c r="F1339" s="135" t="s">
        <v>1003</v>
      </c>
      <c r="G1339" s="245" t="s">
        <v>4198</v>
      </c>
      <c r="H1339" s="137" t="s">
        <v>4199</v>
      </c>
      <c r="I1339" s="135" t="s">
        <v>1003</v>
      </c>
      <c r="J1339" s="136" t="str">
        <f>INDEX(数据元说明!A:F,MATCH(I1339,数据元说明!C:C,0),2)</f>
        <v>006015</v>
      </c>
      <c r="K1339" s="138" t="str">
        <f>INDEX(数据元说明!A:F,MATCH(I1339,数据元说明!C:C,0),5)</f>
        <v>线上，线下</v>
      </c>
      <c r="L1339" s="136" t="str">
        <f>INDEX(数据元说明!A:F,MATCH(I1339,数据元说明!C:C,0),6)</f>
        <v>C6</v>
      </c>
      <c r="M1339" s="138" t="s">
        <v>4200</v>
      </c>
      <c r="N1339" s="143" t="s">
        <v>57</v>
      </c>
      <c r="O1339" s="140"/>
      <c r="P1339" s="140"/>
    </row>
    <row r="1340" s="35" customFormat="1" ht="30" customHeight="1" outlineLevel="1" spans="1:16">
      <c r="A1340" s="93"/>
      <c r="B1340" s="94"/>
      <c r="C1340" s="95"/>
      <c r="D1340" s="95"/>
      <c r="E1340" s="94"/>
      <c r="F1340" s="158" t="s">
        <v>3534</v>
      </c>
      <c r="G1340" s="43" t="s">
        <v>3535</v>
      </c>
      <c r="H1340" s="137" t="s">
        <v>4201</v>
      </c>
      <c r="I1340" s="158" t="s">
        <v>624</v>
      </c>
      <c r="J1340" s="213" t="str">
        <f>INDEX(数据元说明!A:F,MATCH(I1340,数据元说明!C:C,0),2)</f>
        <v>003014</v>
      </c>
      <c r="K1340" s="158" t="str">
        <f>INDEX(数据元说明!A:F,MATCH(I1340,数据元说明!C:C,0),5)</f>
        <v>遵循《GB/T 12406 表示货币和资金的代码》的字母代码，如CNY。上述文件所列币种无法涵盖的，允许银行自定义填报。多个币种合计折算为人民币（本外币合计）的，填报为BWB。</v>
      </c>
      <c r="L1340" s="213" t="str">
        <f>INDEX(数据元说明!A:F,MATCH(I1340,数据元说明!C:C,0),6)</f>
        <v>C3</v>
      </c>
      <c r="M1340" s="138" t="s">
        <v>3537</v>
      </c>
      <c r="N1340" s="143" t="s">
        <v>57</v>
      </c>
      <c r="O1340" s="44"/>
      <c r="P1340" s="99"/>
    </row>
    <row r="1341" s="81" customFormat="1" ht="30" customHeight="1" outlineLevel="1" spans="1:16">
      <c r="A1341" s="134"/>
      <c r="B1341" s="47"/>
      <c r="C1341" s="39"/>
      <c r="D1341" s="42"/>
      <c r="E1341" s="47"/>
      <c r="F1341" s="135" t="s">
        <v>3538</v>
      </c>
      <c r="G1341" s="136" t="s">
        <v>3539</v>
      </c>
      <c r="H1341" s="137" t="s">
        <v>4202</v>
      </c>
      <c r="I1341" s="135" t="s">
        <v>609</v>
      </c>
      <c r="J1341" s="136" t="str">
        <f>INDEX(数据元说明!A:F,MATCH(I1341,数据元说明!C:C,0),2)</f>
        <v>003010</v>
      </c>
      <c r="K1341" s="138" t="str">
        <f>INDEX(数据元说明!A:F,MATCH(I1341,数据元说明!C:C,0),5)</f>
        <v>与币种相对应金额。</v>
      </c>
      <c r="L1341" s="136" t="str">
        <f>INDEX(数据元说明!A:F,MATCH(I1341,数据元说明!C:C,0),6)</f>
        <v>D20.2</v>
      </c>
      <c r="M1341" s="138" t="s">
        <v>3541</v>
      </c>
      <c r="N1341" s="129" t="s">
        <v>25</v>
      </c>
      <c r="O1341" s="129" t="s">
        <v>449</v>
      </c>
      <c r="P1341" s="129" t="s">
        <v>1588</v>
      </c>
    </row>
    <row r="1342" s="81" customFormat="1" ht="30" customHeight="1" outlineLevel="1" spans="1:16">
      <c r="A1342" s="134"/>
      <c r="B1342" s="47"/>
      <c r="C1342" s="39"/>
      <c r="D1342" s="42"/>
      <c r="E1342" s="47"/>
      <c r="F1342" s="135" t="s">
        <v>4203</v>
      </c>
      <c r="G1342" s="136" t="s">
        <v>4204</v>
      </c>
      <c r="H1342" s="137" t="s">
        <v>4205</v>
      </c>
      <c r="I1342" s="135" t="s">
        <v>302</v>
      </c>
      <c r="J1342" s="136" t="str">
        <f>INDEX(数据元说明!A:F,MATCH(I1342,数据元说明!C:C,0),2)</f>
        <v>001005</v>
      </c>
      <c r="K1342" s="138" t="str">
        <f>INDEX(数据元说明!A:F,MATCH(I1342,数据元说明!C:C,0),5)</f>
        <v>YYYYMMDD，默认值99991231。</v>
      </c>
      <c r="L1342" s="136" t="str">
        <f>INDEX(数据元说明!A:F,MATCH(I1342,数据元说明!C:C,0),6)</f>
        <v>C8</v>
      </c>
      <c r="M1342" s="138" t="s">
        <v>4206</v>
      </c>
      <c r="N1342" s="139" t="s">
        <v>25</v>
      </c>
      <c r="O1342" s="139" t="s">
        <v>449</v>
      </c>
      <c r="P1342" s="205"/>
    </row>
    <row r="1343" s="81" customFormat="1" ht="30" customHeight="1" outlineLevel="1" spans="1:16">
      <c r="A1343" s="134"/>
      <c r="B1343" s="47"/>
      <c r="C1343" s="39"/>
      <c r="D1343" s="42"/>
      <c r="E1343" s="47"/>
      <c r="F1343" s="135" t="s">
        <v>4207</v>
      </c>
      <c r="G1343" s="136" t="s">
        <v>4208</v>
      </c>
      <c r="H1343" s="137" t="s">
        <v>4209</v>
      </c>
      <c r="I1343" s="135" t="s">
        <v>302</v>
      </c>
      <c r="J1343" s="136" t="str">
        <f>INDEX(数据元说明!A:F,MATCH(I1343,数据元说明!C:C,0),2)</f>
        <v>001005</v>
      </c>
      <c r="K1343" s="138" t="str">
        <f>INDEX(数据元说明!A:F,MATCH(I1343,数据元说明!C:C,0),5)</f>
        <v>YYYYMMDD，默认值99991231。</v>
      </c>
      <c r="L1343" s="136" t="str">
        <f>INDEX(数据元说明!A:F,MATCH(I1343,数据元说明!C:C,0),6)</f>
        <v>C8</v>
      </c>
      <c r="M1343" s="138" t="s">
        <v>4210</v>
      </c>
      <c r="N1343" s="139" t="s">
        <v>25</v>
      </c>
      <c r="O1343" s="139" t="s">
        <v>449</v>
      </c>
      <c r="P1343" s="205"/>
    </row>
    <row r="1344" s="81" customFormat="1" ht="30" customHeight="1" outlineLevel="1" spans="1:16">
      <c r="A1344" s="134"/>
      <c r="B1344" s="47"/>
      <c r="C1344" s="39"/>
      <c r="D1344" s="198"/>
      <c r="E1344" s="47"/>
      <c r="F1344" s="135" t="s">
        <v>4211</v>
      </c>
      <c r="G1344" s="136" t="s">
        <v>4212</v>
      </c>
      <c r="H1344" s="137" t="s">
        <v>4213</v>
      </c>
      <c r="I1344" s="135" t="s">
        <v>287</v>
      </c>
      <c r="J1344" s="136" t="str">
        <f>INDEX(数据元说明!A:F,MATCH(I1344,数据元说明!C:C,0),2)</f>
        <v>001002</v>
      </c>
      <c r="K1344" s="138" t="str">
        <f>INDEX(数据元说明!A:F,MATCH(I1344,数据元说明!C:C,0),5)</f>
        <v>是，否。</v>
      </c>
      <c r="L1344" s="136" t="str">
        <f>INDEX(数据元说明!A:F,MATCH(I1344,数据元说明!C:C,0),6)</f>
        <v>C3</v>
      </c>
      <c r="M1344" s="138" t="s">
        <v>4214</v>
      </c>
      <c r="N1344" s="139" t="s">
        <v>25</v>
      </c>
      <c r="O1344" s="139" t="s">
        <v>1516</v>
      </c>
      <c r="P1344" s="139"/>
    </row>
    <row r="1345" s="81" customFormat="1" ht="30" customHeight="1" outlineLevel="1" spans="1:16">
      <c r="A1345" s="134"/>
      <c r="B1345" s="47"/>
      <c r="C1345" s="39"/>
      <c r="D1345" s="42"/>
      <c r="E1345" s="47"/>
      <c r="F1345" s="135" t="s">
        <v>710</v>
      </c>
      <c r="G1345" s="136" t="s">
        <v>2434</v>
      </c>
      <c r="H1345" s="137" t="s">
        <v>4215</v>
      </c>
      <c r="I1345" s="135" t="s">
        <v>710</v>
      </c>
      <c r="J1345" s="136" t="str">
        <f>INDEX(数据元说明!A:F,MATCH(I1345,数据元说明!C:C,0),2)</f>
        <v>004003</v>
      </c>
      <c r="K1345" s="138" t="str">
        <f>INDEX(数据元说明!A:F,MATCH(I1345,数据元说明!C:C,0),5)</f>
        <v>柜面，ATM，VTM，POS，网银，手机银行，银联交易，三方支付-银行自定义，其他-银行自定义。交易类型为三方支付的，以“三方支付-XX”填报，其中“XX”为第三方支付平台名称。如无法以枚举类型填报，则以“其他-XX”填报，其中“XX”为银行自定义类型。</v>
      </c>
      <c r="L1345" s="136" t="str">
        <f>INDEX(数据元说明!A:F,MATCH(I1345,数据元说明!C:C,0),6)</f>
        <v>C..60</v>
      </c>
      <c r="M1345" s="162" t="s">
        <v>2436</v>
      </c>
      <c r="N1345" s="140" t="s">
        <v>25</v>
      </c>
      <c r="O1345" s="139" t="s">
        <v>275</v>
      </c>
      <c r="P1345" s="140" t="s">
        <v>1606</v>
      </c>
    </row>
    <row r="1346" s="81" customFormat="1" ht="30" customHeight="1" outlineLevel="1" spans="1:16">
      <c r="A1346" s="167"/>
      <c r="B1346" s="168"/>
      <c r="C1346" s="176"/>
      <c r="D1346" s="176"/>
      <c r="E1346" s="168"/>
      <c r="F1346" s="157" t="s">
        <v>440</v>
      </c>
      <c r="G1346" s="43" t="s">
        <v>2437</v>
      </c>
      <c r="H1346" s="137" t="s">
        <v>4216</v>
      </c>
      <c r="I1346" s="157" t="s">
        <v>440</v>
      </c>
      <c r="J1346" s="43" t="str">
        <f>INDEX(数据元说明!A:F,MATCH(I1346,数据元说明!C:C,0),2)</f>
        <v>001038</v>
      </c>
      <c r="K1346" s="158" t="str">
        <f>INDEX(数据元说明!A:F,MATCH(I1346,数据元说明!C:C,0),5)</f>
        <v>点分十进制格式表示的IPV4地址或者IPV6地址。</v>
      </c>
      <c r="L1346" s="43" t="str">
        <f>INDEX(数据元说明!A:F,MATCH(I1346,数据元说明!C:C,0),6)</f>
        <v>C..40</v>
      </c>
      <c r="M1346" s="162" t="s">
        <v>4217</v>
      </c>
      <c r="N1346" s="143" t="s">
        <v>57</v>
      </c>
      <c r="O1346" s="139"/>
      <c r="P1346" s="140"/>
    </row>
    <row r="1347" s="81" customFormat="1" ht="88" outlineLevel="1" spans="1:16">
      <c r="A1347" s="167"/>
      <c r="B1347" s="168"/>
      <c r="C1347" s="176"/>
      <c r="D1347" s="176"/>
      <c r="E1347" s="168"/>
      <c r="F1347" s="157" t="s">
        <v>445</v>
      </c>
      <c r="G1347" s="43" t="s">
        <v>2440</v>
      </c>
      <c r="H1347" s="137" t="s">
        <v>4218</v>
      </c>
      <c r="I1347" s="157" t="s">
        <v>445</v>
      </c>
      <c r="J1347" s="43" t="str">
        <f>INDEX(数据元说明!A:F,MATCH(I1347,数据元说明!C:C,0),2)</f>
        <v>001039</v>
      </c>
      <c r="K1347" s="158" t="str">
        <f>INDEX(数据元说明!A:F,MATCH(I1347,数据元说明!C:C,0),5)</f>
        <v>网络设备唯一的网络标识：
1.可以是MAC地址，以12个16进制数表示（6个字节），每个字节以英文半角冒号（:）隔开。
2.若交易渠道为网银、手机银行，Android7.0以上系统可填报设备IMEI码；IOS7以上系统科填报UUID码，唯一对应设备即可。</v>
      </c>
      <c r="L1347" s="43" t="str">
        <f>INDEX(数据元说明!A:F,MATCH(I1347,数据元说明!C:C,0),6)</f>
        <v>C..60</v>
      </c>
      <c r="M1347" s="162" t="s">
        <v>4219</v>
      </c>
      <c r="N1347" s="143" t="s">
        <v>57</v>
      </c>
      <c r="O1347" s="139"/>
      <c r="P1347" s="140"/>
    </row>
    <row r="1348" s="81" customFormat="1" ht="30" customHeight="1" outlineLevel="1" spans="1:16">
      <c r="A1348" s="134"/>
      <c r="B1348" s="47"/>
      <c r="C1348" s="39"/>
      <c r="D1348" s="39"/>
      <c r="E1348" s="47"/>
      <c r="F1348" s="169" t="s">
        <v>449</v>
      </c>
      <c r="G1348" s="148" t="s">
        <v>1571</v>
      </c>
      <c r="H1348" s="148" t="s">
        <v>4220</v>
      </c>
      <c r="I1348" s="135" t="s">
        <v>449</v>
      </c>
      <c r="J1348" s="136" t="str">
        <f>INDEX(数据元说明!A:F,MATCH(I1348,数据元说明!C:C,0),2)</f>
        <v>001040</v>
      </c>
      <c r="K1348" s="138" t="str">
        <f>INDEX(数据元说明!A:F,MATCH(I1348,数据元说明!C:C,0),5)</f>
        <v>银行自定义。</v>
      </c>
      <c r="L1348" s="136" t="str">
        <f>INDEX(数据元说明!A:F,MATCH(I1348,数据元说明!C:C,0),6)</f>
        <v>C..600</v>
      </c>
      <c r="M1348" s="149" t="s">
        <v>1573</v>
      </c>
      <c r="N1348" s="187" t="s">
        <v>25</v>
      </c>
      <c r="O1348" s="140"/>
      <c r="P1348" s="140" t="s">
        <v>1606</v>
      </c>
    </row>
    <row r="1349" s="61" customFormat="1" ht="30" customHeight="1" outlineLevel="1" spans="1:16">
      <c r="A1349" s="130"/>
      <c r="B1349" s="36"/>
      <c r="C1349" s="25"/>
      <c r="D1349" s="25"/>
      <c r="E1349" s="36"/>
      <c r="F1349" s="131" t="s">
        <v>1574</v>
      </c>
      <c r="G1349" s="31" t="s">
        <v>1575</v>
      </c>
      <c r="H1349" s="132" t="s">
        <v>4221</v>
      </c>
      <c r="I1349" s="131" t="s">
        <v>302</v>
      </c>
      <c r="J1349" s="31" t="str">
        <f>INDEX(数据元说明!A:F,MATCH(I1349,数据元说明!C:C,0),2)</f>
        <v>001005</v>
      </c>
      <c r="K1349" s="133" t="str">
        <f>INDEX(数据元说明!A:F,MATCH(I1349,数据元说明!C:C,0),5)</f>
        <v>YYYYMMDD，默认值99991231。</v>
      </c>
      <c r="L1349" s="31" t="str">
        <f>INDEX(数据元说明!A:F,MATCH(I1349,数据元说明!C:C,0),6)</f>
        <v>C8</v>
      </c>
      <c r="M1349" s="133" t="s">
        <v>1577</v>
      </c>
      <c r="N1349" s="99"/>
      <c r="O1349" s="99"/>
      <c r="P1349" s="99"/>
    </row>
    <row r="1350" s="81" customFormat="1" ht="30" customHeight="1" spans="1:16">
      <c r="A1350" s="179"/>
      <c r="B1350" s="180"/>
      <c r="C1350" s="37" t="s">
        <v>204</v>
      </c>
      <c r="D1350" s="38" t="s">
        <v>205</v>
      </c>
      <c r="E1350" s="181" t="s">
        <v>4222</v>
      </c>
      <c r="F1350" s="182"/>
      <c r="G1350" s="183"/>
      <c r="H1350" s="181"/>
      <c r="I1350" s="182"/>
      <c r="J1350" s="183"/>
      <c r="K1350" s="128"/>
      <c r="L1350" s="183"/>
      <c r="M1350" s="128" t="str">
        <f>INDEX(表结构总览!E:H,MATCH(D1350,表结构总览!E:E,0),4)</f>
        <v>报送信用卡持卡人当月授信情况，报送范围：本表中[透支金额]数据项与1104报表G01_VII中[2.21.1信用卡]报送口径一致。客户额度按同一账户下的总额度报送，不以单张信用卡额度报送。对主副卡客户（一账户多个客户）的情况，本表只报送主卡人的授信信息。同一客户多个账户的，按多条分别报送。同一账户多个币种共享额度的，按记账币种统一折算填报。状态为“销户”的账户在报送最后状态的次月可不再报送。</v>
      </c>
      <c r="N1350" s="139" t="s">
        <v>25</v>
      </c>
      <c r="O1350" s="139" t="s">
        <v>4223</v>
      </c>
      <c r="P1350" s="206"/>
    </row>
    <row r="1351" s="61" customFormat="1" ht="30" customHeight="1" spans="1:16">
      <c r="A1351" s="130"/>
      <c r="B1351" s="36"/>
      <c r="C1351" s="25"/>
      <c r="D1351" s="25"/>
      <c r="E1351" s="36"/>
      <c r="F1351" s="131" t="s">
        <v>325</v>
      </c>
      <c r="G1351" s="59" t="s">
        <v>1520</v>
      </c>
      <c r="H1351" s="132" t="s">
        <v>4224</v>
      </c>
      <c r="I1351" s="131" t="s">
        <v>325</v>
      </c>
      <c r="J1351" s="31" t="str">
        <f>INDEX(数据元说明!A:F,MATCH(I1351,数据元说明!C:C,0),2)</f>
        <v>001010</v>
      </c>
      <c r="K1351" s="133" t="str">
        <f>INDEX(数据元说明!A:F,MATCH(I1351,数据元说明!C:C,0),5)</f>
        <v>12位人行支付行号或SWIFT行号。</v>
      </c>
      <c r="L1351" s="31" t="str">
        <f>INDEX(数据元说明!A:F,MATCH(I1351,数据元说明!C:C,0),6)</f>
        <v>C..30</v>
      </c>
      <c r="M1351" s="133" t="s">
        <v>1728</v>
      </c>
      <c r="N1351" s="33"/>
      <c r="O1351" s="99"/>
      <c r="P1351" s="99"/>
    </row>
    <row r="1352" s="61" customFormat="1" ht="30" customHeight="1" outlineLevel="1" spans="1:16">
      <c r="A1352" s="130"/>
      <c r="B1352" s="36"/>
      <c r="C1352" s="25"/>
      <c r="D1352" s="25"/>
      <c r="E1352" s="36"/>
      <c r="F1352" s="131" t="s">
        <v>329</v>
      </c>
      <c r="G1352" s="31" t="s">
        <v>1526</v>
      </c>
      <c r="H1352" s="132" t="s">
        <v>4225</v>
      </c>
      <c r="I1352" s="131" t="s">
        <v>329</v>
      </c>
      <c r="J1352" s="31" t="str">
        <f>INDEX(数据元说明!A:F,MATCH(I1352,数据元说明!C:C,0),2)</f>
        <v>001011</v>
      </c>
      <c r="K1352" s="133" t="str">
        <f>INDEX(数据元说明!A:F,MATCH(I1352,数据元说明!C:C,0),5)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52" s="31" t="str">
        <f>INDEX(数据元说明!A:F,MATCH(I1352,数据元说明!C:C,0),6)</f>
        <v>C..30</v>
      </c>
      <c r="M1352" s="133" t="s">
        <v>4226</v>
      </c>
      <c r="N1352" s="99"/>
      <c r="O1352" s="99"/>
      <c r="P1352" s="99"/>
    </row>
    <row r="1353" s="61" customFormat="1" ht="30" customHeight="1" spans="1:16">
      <c r="A1353" s="130"/>
      <c r="B1353" s="36"/>
      <c r="C1353" s="25"/>
      <c r="D1353" s="25"/>
      <c r="E1353" s="36"/>
      <c r="F1353" s="131" t="s">
        <v>333</v>
      </c>
      <c r="G1353" s="59" t="s">
        <v>1523</v>
      </c>
      <c r="H1353" s="132" t="s">
        <v>4227</v>
      </c>
      <c r="I1353" s="131" t="s">
        <v>333</v>
      </c>
      <c r="J1353" s="31" t="str">
        <f>INDEX(数据元说明!A:F,MATCH(I1353,数据元说明!C:C,0),2)</f>
        <v>001012</v>
      </c>
      <c r="K1353" s="133" t="str">
        <f>INDEX(数据元说明!A:F,MATCH(I1353,数据元说明!C:C,0),5)</f>
        <v>银行内部机构号。应具有标识机构的唯一性。</v>
      </c>
      <c r="L1353" s="31" t="str">
        <f>INDEX(数据元说明!A:F,MATCH(I1353,数据元说明!C:C,0),6)</f>
        <v>C..30</v>
      </c>
      <c r="M1353" s="133" t="s">
        <v>1732</v>
      </c>
      <c r="N1353" s="33"/>
      <c r="O1353" s="99"/>
      <c r="P1353" s="99"/>
    </row>
    <row r="1354" s="61" customFormat="1" ht="30" customHeight="1" spans="1:16">
      <c r="A1354" s="130"/>
      <c r="B1354" s="36"/>
      <c r="C1354" s="25"/>
      <c r="D1354" s="25"/>
      <c r="E1354" s="36"/>
      <c r="F1354" s="135" t="s">
        <v>1532</v>
      </c>
      <c r="G1354" s="245" t="s">
        <v>1533</v>
      </c>
      <c r="H1354" s="137" t="s">
        <v>4228</v>
      </c>
      <c r="I1354" s="135" t="s">
        <v>282</v>
      </c>
      <c r="J1354" s="136" t="str">
        <f>INDEX(数据元说明!A:F,MATCH(I1354,数据元说明!C:C,0),2)</f>
        <v>001001</v>
      </c>
      <c r="K1354" s="138" t="str">
        <f>INDEX(数据元说明!A:F,MATCH(I1354,数据元说明!C:C,0),5)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354" s="136" t="str">
        <f>INDEX(数据元说明!A:F,MATCH(I1354,数据元说明!C:C,0),6)</f>
        <v>C..400</v>
      </c>
      <c r="M1354" s="138" t="s">
        <v>1734</v>
      </c>
      <c r="N1354" s="139" t="s">
        <v>25</v>
      </c>
      <c r="O1354" s="139" t="s">
        <v>280</v>
      </c>
      <c r="P1354" s="140"/>
    </row>
    <row r="1355" s="61" customFormat="1" ht="30" customHeight="1" spans="1:16">
      <c r="A1355" s="130"/>
      <c r="B1355" s="36"/>
      <c r="C1355" s="25"/>
      <c r="D1355" s="25"/>
      <c r="E1355" s="36"/>
      <c r="F1355" s="131" t="s">
        <v>453</v>
      </c>
      <c r="G1355" s="59" t="s">
        <v>1680</v>
      </c>
      <c r="H1355" s="132" t="s">
        <v>4229</v>
      </c>
      <c r="I1355" s="131" t="s">
        <v>453</v>
      </c>
      <c r="J1355" s="31" t="str">
        <f>INDEX(数据元说明!A:F,MATCH(I1355,数据元说明!C:C,0),2)</f>
        <v>002001</v>
      </c>
      <c r="K1355" s="133" t="str">
        <f>INDEX(数据元说明!A:F,MATCH(I1355,数据元说明!C:C,0),5)</f>
        <v>银行自定义的唯一识别客户的标识。供应链融资的填写供应链融资编码。</v>
      </c>
      <c r="L1355" s="31" t="str">
        <f>INDEX(数据元说明!A:F,MATCH(I1355,数据元说明!C:C,0),6)</f>
        <v>C..60</v>
      </c>
      <c r="M1355" s="133" t="s">
        <v>4230</v>
      </c>
      <c r="N1355" s="33"/>
      <c r="O1355" s="99"/>
      <c r="P1355" s="99"/>
    </row>
    <row r="1356" s="81" customFormat="1" ht="28" customHeight="1" spans="1:16">
      <c r="A1356" s="134"/>
      <c r="B1356" s="47"/>
      <c r="C1356" s="39"/>
      <c r="D1356" s="39"/>
      <c r="E1356" s="47"/>
      <c r="F1356" s="135" t="s">
        <v>1864</v>
      </c>
      <c r="G1356" s="245" t="s">
        <v>1865</v>
      </c>
      <c r="H1356" s="137" t="s">
        <v>4231</v>
      </c>
      <c r="I1356" s="135" t="s">
        <v>282</v>
      </c>
      <c r="J1356" s="136" t="str">
        <f>INDEX(数据元说明!A:F,MATCH(I1356,数据元说明!C:C,0),2)</f>
        <v>001001</v>
      </c>
      <c r="K1356" s="138" t="str">
        <f>INDEX(数据元说明!A:F,MATCH(I1356,数据元说明!C:C,0),5)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356" s="136" t="str">
        <f>INDEX(数据元说明!A:F,MATCH(I1356,数据元说明!C:C,0),6)</f>
        <v>C..400</v>
      </c>
      <c r="M1356" s="158" t="s">
        <v>2894</v>
      </c>
      <c r="N1356" s="139" t="s">
        <v>57</v>
      </c>
      <c r="O1356" s="140"/>
      <c r="P1356" s="140"/>
    </row>
    <row r="1357" s="81" customFormat="1" ht="57.75" customHeight="1" spans="1:16">
      <c r="A1357" s="134"/>
      <c r="B1357" s="47"/>
      <c r="C1357" s="39"/>
      <c r="D1357" s="39"/>
      <c r="E1357" s="47"/>
      <c r="F1357" s="135" t="s">
        <v>457</v>
      </c>
      <c r="G1357" s="245" t="s">
        <v>1592</v>
      </c>
      <c r="H1357" s="137" t="s">
        <v>4232</v>
      </c>
      <c r="I1357" s="135" t="s">
        <v>457</v>
      </c>
      <c r="J1357" s="136" t="str">
        <f>INDEX(数据元说明!A:F,MATCH(I1357,数据元说明!C:C,0),2)</f>
        <v>002002</v>
      </c>
      <c r="K1357" s="138" t="str">
        <f>INDEX(数据元说明!A:F,MATCH(I1357,数据元说明!C:C,0),5)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357" s="136" t="str">
        <f>INDEX(数据元说明!A:F,MATCH(I1357,数据元说明!C:C,0),6)</f>
        <v>C..60</v>
      </c>
      <c r="M1357" s="138" t="s">
        <v>4233</v>
      </c>
      <c r="N1357" s="139" t="s">
        <v>57</v>
      </c>
      <c r="O1357" s="140"/>
      <c r="P1357" s="140"/>
    </row>
    <row r="1358" s="81" customFormat="1" ht="39" customHeight="1" spans="1:16">
      <c r="A1358" s="134"/>
      <c r="B1358" s="47"/>
      <c r="C1358" s="39"/>
      <c r="D1358" s="39"/>
      <c r="E1358" s="47"/>
      <c r="F1358" s="135" t="s">
        <v>461</v>
      </c>
      <c r="G1358" s="245" t="s">
        <v>1594</v>
      </c>
      <c r="H1358" s="137" t="s">
        <v>4234</v>
      </c>
      <c r="I1358" s="135" t="s">
        <v>461</v>
      </c>
      <c r="J1358" s="136" t="str">
        <f>INDEX(数据元说明!A:F,MATCH(I1358,数据元说明!C:C,0),2)</f>
        <v>002003</v>
      </c>
      <c r="K1358" s="138" t="str">
        <f>INDEX(数据元说明!A:F,MATCH(I1358,数据元说明!C:C,0),5)</f>
        <v>与证件类别对应的证件号码。涉及个人身份证件时需按照本规范给定规则进行脱敏处理。</v>
      </c>
      <c r="L1358" s="136" t="str">
        <f>INDEX(数据元说明!A:F,MATCH(I1358,数据元说明!C:C,0),6)</f>
        <v>C..70</v>
      </c>
      <c r="M1358" s="138" t="s">
        <v>4235</v>
      </c>
      <c r="N1358" s="139" t="s">
        <v>25</v>
      </c>
      <c r="O1358" s="140" t="s">
        <v>4168</v>
      </c>
      <c r="P1358" s="140"/>
    </row>
    <row r="1359" s="61" customFormat="1" ht="30" customHeight="1" outlineLevel="1" spans="1:16">
      <c r="A1359" s="238"/>
      <c r="B1359" s="198"/>
      <c r="C1359" s="198"/>
      <c r="D1359" s="198"/>
      <c r="E1359" s="198"/>
      <c r="F1359" s="135" t="s">
        <v>4085</v>
      </c>
      <c r="G1359" s="136" t="s">
        <v>4086</v>
      </c>
      <c r="H1359" s="137" t="s">
        <v>4236</v>
      </c>
      <c r="I1359" s="135" t="s">
        <v>570</v>
      </c>
      <c r="J1359" s="198" t="str">
        <f>INDEX(数据元说明!A:F,MATCH(I1359,数据元说明!C:C,0),2)</f>
        <v>003001</v>
      </c>
      <c r="K1359" s="135" t="str">
        <f>INDEX(数据元说明!A:F,MATCH(I1359,数据元说明!C:C,0),5)</f>
        <v>系统内最细一级的账号，无唯一性约束，不需要和序号、子序号等做拼接。</v>
      </c>
      <c r="L1359" s="136" t="str">
        <f>INDEX(数据元说明!A:F,MATCH(I1359,数据元说明!C:C,0),6)</f>
        <v>C..60</v>
      </c>
      <c r="M1359" s="138" t="s">
        <v>4237</v>
      </c>
      <c r="N1359" s="198" t="s">
        <v>25</v>
      </c>
      <c r="O1359" s="198" t="s">
        <v>449</v>
      </c>
      <c r="P1359" s="198"/>
    </row>
    <row r="1360" s="61" customFormat="1" ht="30" customHeight="1" outlineLevel="1" spans="1:16">
      <c r="A1360" s="238"/>
      <c r="B1360" s="198"/>
      <c r="C1360" s="198"/>
      <c r="D1360" s="198"/>
      <c r="E1360" s="198"/>
      <c r="F1360" s="135" t="s">
        <v>636</v>
      </c>
      <c r="G1360" s="136" t="s">
        <v>2366</v>
      </c>
      <c r="H1360" s="137" t="s">
        <v>4238</v>
      </c>
      <c r="I1360" s="135" t="s">
        <v>636</v>
      </c>
      <c r="J1360" s="198" t="str">
        <f>INDEX(数据元说明!A:F,MATCH(I1360,数据元说明!C:C,0),2)</f>
        <v>003017</v>
      </c>
      <c r="K1360" s="135" t="str">
        <f>INDEX(数据元说明!A:F,MATCH(I1360,数据元说明!C:C,0),5)</f>
        <v>正常，预销户，销户，逾期，冻结，止付，已转让，其他-银行自定义。无法以枚举类型填报的，以“其他-XX”填报，其中“XX”为银行自定义类型。</v>
      </c>
      <c r="L1360" s="136" t="str">
        <f>INDEX(数据元说明!A:F,MATCH(I1360,数据元说明!C:C,0),6)</f>
        <v>C..30</v>
      </c>
      <c r="M1360" s="138"/>
      <c r="N1360" s="198" t="s">
        <v>25</v>
      </c>
      <c r="O1360" s="198" t="s">
        <v>1516</v>
      </c>
      <c r="P1360" s="198"/>
    </row>
    <row r="1361" s="81" customFormat="1" ht="30" customHeight="1" spans="1:16">
      <c r="A1361" s="134"/>
      <c r="B1361" s="47"/>
      <c r="C1361" s="39"/>
      <c r="D1361" s="39"/>
      <c r="E1361" s="47"/>
      <c r="F1361" s="135" t="s">
        <v>624</v>
      </c>
      <c r="G1361" s="245" t="s">
        <v>1989</v>
      </c>
      <c r="H1361" s="137" t="s">
        <v>4239</v>
      </c>
      <c r="I1361" s="135" t="s">
        <v>624</v>
      </c>
      <c r="J1361" s="136" t="str">
        <f>INDEX(数据元说明!A:F,MATCH(I1361,数据元说明!C:C,0),2)</f>
        <v>003014</v>
      </c>
      <c r="K1361" s="138" t="str">
        <f>INDEX(数据元说明!A:F,MATCH(I1361,数据元说明!C:C,0),5)</f>
        <v>遵循《GB/T 12406 表示货币和资金的代码》的字母代码，如CNY。上述文件所列币种无法涵盖的，允许银行自定义填报。多个币种合计折算为人民币（本外币合计）的，填报为BWB。</v>
      </c>
      <c r="L1361" s="136" t="str">
        <f>INDEX(数据元说明!A:F,MATCH(I1361,数据元说明!C:C,0),6)</f>
        <v>C3</v>
      </c>
      <c r="M1361" s="138" t="s">
        <v>4240</v>
      </c>
      <c r="N1361" s="139" t="s">
        <v>57</v>
      </c>
      <c r="O1361" s="140"/>
      <c r="P1361" s="140"/>
    </row>
    <row r="1362" s="81" customFormat="1" ht="30" customHeight="1" outlineLevel="1" spans="1:16">
      <c r="A1362" s="141"/>
      <c r="B1362" s="142"/>
      <c r="C1362" s="177"/>
      <c r="D1362" s="177"/>
      <c r="E1362" s="142"/>
      <c r="F1362" s="135" t="s">
        <v>2407</v>
      </c>
      <c r="G1362" s="136" t="s">
        <v>2408</v>
      </c>
      <c r="H1362" s="137" t="s">
        <v>4241</v>
      </c>
      <c r="I1362" s="135" t="s">
        <v>613</v>
      </c>
      <c r="J1362" s="136" t="str">
        <f>INDEX(数据元说明!A:F,MATCH(I1362,数据元说明!C:C,0),2)</f>
        <v>003011</v>
      </c>
      <c r="K1362" s="138" t="str">
        <f>INDEX(数据元说明!A:F,MATCH(I1362,数据元说明!C:C,0),5)</f>
        <v>与币种相对应金额。</v>
      </c>
      <c r="L1362" s="136" t="str">
        <f>INDEX(数据元说明!A:F,MATCH(I1362,数据元说明!C:C,0),6)</f>
        <v>D20.2</v>
      </c>
      <c r="M1362" s="138" t="s">
        <v>4242</v>
      </c>
      <c r="N1362" s="143" t="s">
        <v>57</v>
      </c>
      <c r="O1362" s="140"/>
      <c r="P1362" s="140"/>
    </row>
    <row r="1363" s="61" customFormat="1" ht="30" customHeight="1" outlineLevel="1" spans="1:16">
      <c r="A1363" s="238"/>
      <c r="B1363" s="198"/>
      <c r="C1363" s="198"/>
      <c r="D1363" s="198"/>
      <c r="E1363" s="198"/>
      <c r="F1363" s="135" t="s">
        <v>4243</v>
      </c>
      <c r="G1363" s="136" t="s">
        <v>4244</v>
      </c>
      <c r="H1363" s="137" t="s">
        <v>4245</v>
      </c>
      <c r="I1363" s="135" t="s">
        <v>609</v>
      </c>
      <c r="J1363" s="198" t="str">
        <f>INDEX(数据元说明!A:F,MATCH(I1363,数据元说明!C:C,0),2)</f>
        <v>003010</v>
      </c>
      <c r="K1363" s="135" t="str">
        <f>INDEX(数据元说明!A:F,MATCH(I1363,数据元说明!C:C,0),5)</f>
        <v>与币种相对应金额。</v>
      </c>
      <c r="L1363" s="136" t="str">
        <f>INDEX(数据元说明!A:F,MATCH(I1363,数据元说明!C:C,0),6)</f>
        <v>D20.2</v>
      </c>
      <c r="M1363" s="138" t="s">
        <v>4246</v>
      </c>
      <c r="N1363" s="198" t="s">
        <v>25</v>
      </c>
      <c r="O1363" s="198" t="s">
        <v>449</v>
      </c>
      <c r="P1363" s="198"/>
    </row>
    <row r="1364" s="81" customFormat="1" ht="30" customHeight="1" outlineLevel="1" spans="1:16">
      <c r="A1364" s="167"/>
      <c r="B1364" s="168"/>
      <c r="C1364" s="176"/>
      <c r="D1364" s="176"/>
      <c r="E1364" s="168"/>
      <c r="F1364" s="157" t="s">
        <v>4247</v>
      </c>
      <c r="G1364" s="43" t="s">
        <v>4248</v>
      </c>
      <c r="H1364" s="137" t="s">
        <v>4249</v>
      </c>
      <c r="I1364" s="135" t="s">
        <v>609</v>
      </c>
      <c r="J1364" s="136" t="str">
        <f>INDEX(数据元说明!A:F,MATCH(I1364,数据元说明!C:C,0),2)</f>
        <v>003010</v>
      </c>
      <c r="K1364" s="138" t="str">
        <f>INDEX(数据元说明!A:F,MATCH(I1364,数据元说明!C:C,0),5)</f>
        <v>与币种相对应金额。</v>
      </c>
      <c r="L1364" s="136" t="str">
        <f>INDEX(数据元说明!A:F,MATCH(I1364,数据元说明!C:C,0),6)</f>
        <v>D20.2</v>
      </c>
      <c r="M1364" s="158" t="s">
        <v>4250</v>
      </c>
      <c r="N1364" s="129" t="s">
        <v>25</v>
      </c>
      <c r="O1364" s="198" t="s">
        <v>449</v>
      </c>
      <c r="P1364" s="205"/>
    </row>
    <row r="1365" s="61" customFormat="1" ht="30" customHeight="1" outlineLevel="1" spans="1:16">
      <c r="A1365" s="238"/>
      <c r="B1365" s="198"/>
      <c r="C1365" s="198"/>
      <c r="D1365" s="198"/>
      <c r="E1365" s="198"/>
      <c r="F1365" s="135" t="s">
        <v>4251</v>
      </c>
      <c r="G1365" s="136" t="s">
        <v>4252</v>
      </c>
      <c r="H1365" s="137" t="s">
        <v>4253</v>
      </c>
      <c r="I1365" s="135" t="s">
        <v>609</v>
      </c>
      <c r="J1365" s="198" t="str">
        <f>INDEX(数据元说明!A:F,MATCH(I1365,数据元说明!C:C,0),2)</f>
        <v>003010</v>
      </c>
      <c r="K1365" s="135" t="str">
        <f>INDEX(数据元说明!A:F,MATCH(I1365,数据元说明!C:C,0),5)</f>
        <v>与币种相对应金额。</v>
      </c>
      <c r="L1365" s="136" t="str">
        <f>INDEX(数据元说明!A:F,MATCH(I1365,数据元说明!C:C,0),6)</f>
        <v>D20.2</v>
      </c>
      <c r="M1365" s="138" t="s">
        <v>4254</v>
      </c>
      <c r="N1365" s="240" t="s">
        <v>57</v>
      </c>
      <c r="O1365" s="198" t="s">
        <v>449</v>
      </c>
      <c r="P1365" s="198"/>
    </row>
    <row r="1366" s="81" customFormat="1" ht="30" customHeight="1" spans="1:16">
      <c r="A1366" s="134"/>
      <c r="B1366" s="47"/>
      <c r="C1366" s="39"/>
      <c r="D1366" s="39"/>
      <c r="E1366" s="47"/>
      <c r="F1366" s="135" t="s">
        <v>4255</v>
      </c>
      <c r="G1366" s="245" t="s">
        <v>4256</v>
      </c>
      <c r="H1366" s="137" t="s">
        <v>4257</v>
      </c>
      <c r="I1366" s="135" t="s">
        <v>609</v>
      </c>
      <c r="J1366" s="136" t="str">
        <f>INDEX(数据元说明!A:F,MATCH(I1366,数据元说明!C:C,0),2)</f>
        <v>003010</v>
      </c>
      <c r="K1366" s="138" t="str">
        <f>INDEX(数据元说明!A:F,MATCH(I1366,数据元说明!C:C,0),5)</f>
        <v>与币种相对应金额。</v>
      </c>
      <c r="L1366" s="136" t="str">
        <f>INDEX(数据元说明!A:F,MATCH(I1366,数据元说明!C:C,0),6)</f>
        <v>D20.2</v>
      </c>
      <c r="M1366" s="138" t="s">
        <v>4258</v>
      </c>
      <c r="N1366" s="139" t="s">
        <v>25</v>
      </c>
      <c r="O1366" s="140" t="s">
        <v>1513</v>
      </c>
      <c r="P1366" s="140"/>
    </row>
    <row r="1367" s="61" customFormat="1" ht="30" customHeight="1" outlineLevel="1" spans="1:16">
      <c r="A1367" s="184"/>
      <c r="B1367" s="185"/>
      <c r="C1367" s="186"/>
      <c r="D1367" s="186"/>
      <c r="E1367" s="185"/>
      <c r="F1367" s="131" t="s">
        <v>4259</v>
      </c>
      <c r="G1367" s="31" t="s">
        <v>4260</v>
      </c>
      <c r="H1367" s="132" t="s">
        <v>4261</v>
      </c>
      <c r="I1367" s="131" t="s">
        <v>613</v>
      </c>
      <c r="J1367" s="31" t="str">
        <f>INDEX(数据元说明!A:F,MATCH(I1367,数据元说明!C:C,0),2)</f>
        <v>003011</v>
      </c>
      <c r="K1367" s="133" t="str">
        <f>INDEX(数据元说明!A:F,MATCH(I1367,数据元说明!C:C,0),5)</f>
        <v>与币种相对应金额。</v>
      </c>
      <c r="L1367" s="31" t="str">
        <f>INDEX(数据元说明!A:F,MATCH(I1367,数据元说明!C:C,0),6)</f>
        <v>D20.2</v>
      </c>
      <c r="M1367" s="133" t="s">
        <v>4262</v>
      </c>
      <c r="N1367" s="33"/>
      <c r="O1367" s="33"/>
      <c r="P1367" s="204"/>
    </row>
    <row r="1368" s="61" customFormat="1" ht="30" customHeight="1" outlineLevel="1" spans="1:16">
      <c r="A1368" s="159"/>
      <c r="B1368" s="160"/>
      <c r="C1368" s="161"/>
      <c r="D1368" s="161"/>
      <c r="E1368" s="160"/>
      <c r="F1368" s="135" t="s">
        <v>4263</v>
      </c>
      <c r="G1368" s="29" t="s">
        <v>4264</v>
      </c>
      <c r="H1368" s="132" t="s">
        <v>4265</v>
      </c>
      <c r="I1368" s="97" t="s">
        <v>613</v>
      </c>
      <c r="J1368" s="198" t="str">
        <f>INDEX(数据元说明!A:F,MATCH(I1368,数据元说明!C:C,0),2)</f>
        <v>003011</v>
      </c>
      <c r="K1368" s="135" t="str">
        <f>INDEX(数据元说明!A:F,MATCH(I1368,数据元说明!C:C,0),5)</f>
        <v>与币种相对应金额。</v>
      </c>
      <c r="L1368" s="136" t="str">
        <f>INDEX(数据元说明!A:F,MATCH(I1368,数据元说明!C:C,0),6)</f>
        <v>D20.2</v>
      </c>
      <c r="M1368" s="138" t="s">
        <v>4266</v>
      </c>
      <c r="N1368" s="198" t="s">
        <v>25</v>
      </c>
      <c r="O1368" s="198" t="s">
        <v>449</v>
      </c>
      <c r="P1368" s="41"/>
    </row>
    <row r="1369" s="81" customFormat="1" ht="30" customHeight="1" spans="1:16">
      <c r="A1369" s="134"/>
      <c r="B1369" s="47"/>
      <c r="C1369" s="39"/>
      <c r="D1369" s="39"/>
      <c r="E1369" s="47"/>
      <c r="F1369" s="135" t="s">
        <v>4267</v>
      </c>
      <c r="G1369" s="245" t="s">
        <v>4268</v>
      </c>
      <c r="H1369" s="137" t="s">
        <v>4269</v>
      </c>
      <c r="I1369" s="135" t="s">
        <v>609</v>
      </c>
      <c r="J1369" s="136" t="str">
        <f>INDEX(数据元说明!A:F,MATCH(I1369,数据元说明!C:C,0),2)</f>
        <v>003010</v>
      </c>
      <c r="K1369" s="138" t="str">
        <f>INDEX(数据元说明!A:F,MATCH(I1369,数据元说明!C:C,0),5)</f>
        <v>与币种相对应金额。</v>
      </c>
      <c r="L1369" s="136" t="str">
        <f>INDEX(数据元说明!A:F,MATCH(I1369,数据元说明!C:C,0),6)</f>
        <v>D20.2</v>
      </c>
      <c r="M1369" s="138" t="s">
        <v>4270</v>
      </c>
      <c r="N1369" s="139" t="s">
        <v>25</v>
      </c>
      <c r="O1369" s="139" t="s">
        <v>1513</v>
      </c>
      <c r="P1369" s="140"/>
    </row>
    <row r="1370" s="81" customFormat="1" ht="30" customHeight="1" spans="1:16">
      <c r="A1370" s="134"/>
      <c r="B1370" s="47"/>
      <c r="C1370" s="39"/>
      <c r="D1370" s="39"/>
      <c r="E1370" s="47"/>
      <c r="F1370" s="135" t="s">
        <v>4271</v>
      </c>
      <c r="G1370" s="245" t="s">
        <v>4272</v>
      </c>
      <c r="H1370" s="137" t="s">
        <v>4273</v>
      </c>
      <c r="I1370" s="135" t="s">
        <v>302</v>
      </c>
      <c r="J1370" s="136" t="str">
        <f>INDEX(数据元说明!A:F,MATCH(I1370,数据元说明!C:C,0),2)</f>
        <v>001005</v>
      </c>
      <c r="K1370" s="138" t="str">
        <f>INDEX(数据元说明!A:F,MATCH(I1370,数据元说明!C:C,0),5)</f>
        <v>YYYYMMDD，默认值99991231。</v>
      </c>
      <c r="L1370" s="136" t="str">
        <f>INDEX(数据元说明!A:F,MATCH(I1370,数据元说明!C:C,0),6)</f>
        <v>C8</v>
      </c>
      <c r="M1370" s="138" t="s">
        <v>4274</v>
      </c>
      <c r="N1370" s="198" t="s">
        <v>25</v>
      </c>
      <c r="O1370" s="198" t="s">
        <v>449</v>
      </c>
      <c r="P1370" s="140"/>
    </row>
    <row r="1371" s="61" customFormat="1" ht="30" customHeight="1" outlineLevel="1" spans="1:16">
      <c r="A1371" s="130"/>
      <c r="B1371" s="36"/>
      <c r="C1371" s="25"/>
      <c r="D1371" s="25"/>
      <c r="E1371" s="36"/>
      <c r="F1371" s="135" t="s">
        <v>4275</v>
      </c>
      <c r="G1371" s="136" t="s">
        <v>4276</v>
      </c>
      <c r="H1371" s="137" t="s">
        <v>4277</v>
      </c>
      <c r="I1371" s="135" t="s">
        <v>609</v>
      </c>
      <c r="J1371" s="136" t="str">
        <f>INDEX(数据元说明!A:F,MATCH(I1371,数据元说明!C:C,0),2)</f>
        <v>003010</v>
      </c>
      <c r="K1371" s="138" t="str">
        <f>INDEX(数据元说明!A:F,MATCH(I1371,数据元说明!C:C,0),5)</f>
        <v>与币种相对应金额。</v>
      </c>
      <c r="L1371" s="136" t="str">
        <f>INDEX(数据元说明!A:F,MATCH(I1371,数据元说明!C:C,0),6)</f>
        <v>D20.2</v>
      </c>
      <c r="M1371" s="138" t="s">
        <v>4278</v>
      </c>
      <c r="N1371" s="164" t="s">
        <v>57</v>
      </c>
      <c r="O1371" s="140"/>
      <c r="P1371" s="41"/>
    </row>
    <row r="1372" s="81" customFormat="1" ht="30" customHeight="1" spans="1:16">
      <c r="A1372" s="134"/>
      <c r="B1372" s="47"/>
      <c r="C1372" s="39"/>
      <c r="D1372" s="39"/>
      <c r="E1372" s="47"/>
      <c r="F1372" s="135" t="s">
        <v>4279</v>
      </c>
      <c r="G1372" s="245" t="s">
        <v>4280</v>
      </c>
      <c r="H1372" s="137" t="s">
        <v>4281</v>
      </c>
      <c r="I1372" s="135" t="s">
        <v>685</v>
      </c>
      <c r="J1372" s="136" t="str">
        <f>INDEX(数据元说明!A:F,MATCH(I1372,数据元说明!C:C,0),2)</f>
        <v>003029</v>
      </c>
      <c r="K1372" s="138" t="str">
        <f>INDEX(数据元说明!A:F,MATCH(I1372,数据元说明!C:C,0),5)</f>
        <v>正常，关注，次级，可疑，损失。</v>
      </c>
      <c r="L1372" s="136" t="str">
        <f>INDEX(数据元说明!A:F,MATCH(I1372,数据元说明!C:C,0),6)</f>
        <v>C6</v>
      </c>
      <c r="M1372" s="138"/>
      <c r="N1372" s="129" t="s">
        <v>25</v>
      </c>
      <c r="O1372" s="164" t="s">
        <v>1550</v>
      </c>
      <c r="P1372" s="140"/>
    </row>
    <row r="1373" s="61" customFormat="1" ht="30" customHeight="1" outlineLevel="1" spans="1:16">
      <c r="A1373" s="184"/>
      <c r="B1373" s="185"/>
      <c r="C1373" s="186"/>
      <c r="D1373" s="186"/>
      <c r="E1373" s="185"/>
      <c r="F1373" s="131" t="s">
        <v>4282</v>
      </c>
      <c r="G1373" s="31" t="s">
        <v>4283</v>
      </c>
      <c r="H1373" s="132" t="s">
        <v>4284</v>
      </c>
      <c r="I1373" s="131" t="s">
        <v>412</v>
      </c>
      <c r="J1373" s="31" t="str">
        <f>INDEX(数据元说明!A:F,MATCH(I1373,数据元说明!C:C,0),2)</f>
        <v>001032</v>
      </c>
      <c r="K1373" s="133" t="str">
        <f>INDEX(数据元说明!A:F,MATCH(I1373,数据元说明!C:C,0),5)</f>
        <v>数量。</v>
      </c>
      <c r="L1373" s="31" t="str">
        <f>INDEX(数据元说明!A:F,MATCH(I1373,数据元说明!C:C,0),6)</f>
        <v>D20</v>
      </c>
      <c r="M1373" s="133" t="s">
        <v>4285</v>
      </c>
      <c r="N1373" s="139" t="s">
        <v>25</v>
      </c>
      <c r="O1373" s="139" t="s">
        <v>449</v>
      </c>
      <c r="P1373" s="204"/>
    </row>
    <row r="1374" s="81" customFormat="1" ht="30" customHeight="1" spans="1:16">
      <c r="A1374" s="134"/>
      <c r="B1374" s="47"/>
      <c r="C1374" s="39"/>
      <c r="D1374" s="39"/>
      <c r="E1374" s="47"/>
      <c r="F1374" s="247" t="s">
        <v>4286</v>
      </c>
      <c r="G1374" s="27" t="s">
        <v>4287</v>
      </c>
      <c r="H1374" s="132" t="s">
        <v>4288</v>
      </c>
      <c r="I1374" s="201" t="s">
        <v>609</v>
      </c>
      <c r="J1374" s="27" t="s">
        <v>612</v>
      </c>
      <c r="K1374" s="201" t="s">
        <v>611</v>
      </c>
      <c r="L1374" s="27" t="s">
        <v>295</v>
      </c>
      <c r="M1374" s="133" t="s">
        <v>4289</v>
      </c>
      <c r="N1374" s="139" t="s">
        <v>25</v>
      </c>
      <c r="O1374" s="139" t="s">
        <v>449</v>
      </c>
      <c r="P1374" s="140"/>
    </row>
    <row r="1375" s="81" customFormat="1" ht="30" customHeight="1" spans="1:16">
      <c r="A1375" s="134"/>
      <c r="B1375" s="47"/>
      <c r="C1375" s="39"/>
      <c r="D1375" s="39"/>
      <c r="E1375" s="47"/>
      <c r="F1375" s="247" t="s">
        <v>4290</v>
      </c>
      <c r="G1375" s="27" t="s">
        <v>4291</v>
      </c>
      <c r="H1375" s="132" t="s">
        <v>4292</v>
      </c>
      <c r="I1375" s="201" t="s">
        <v>609</v>
      </c>
      <c r="J1375" s="27" t="s">
        <v>612</v>
      </c>
      <c r="K1375" s="201" t="s">
        <v>611</v>
      </c>
      <c r="L1375" s="27" t="s">
        <v>295</v>
      </c>
      <c r="M1375" s="133" t="s">
        <v>4293</v>
      </c>
      <c r="N1375" s="139" t="s">
        <v>25</v>
      </c>
      <c r="O1375" s="139" t="s">
        <v>449</v>
      </c>
      <c r="P1375" s="140"/>
    </row>
    <row r="1376" s="81" customFormat="1" ht="30" customHeight="1" spans="1:16">
      <c r="A1376" s="134"/>
      <c r="B1376" s="47"/>
      <c r="C1376" s="39"/>
      <c r="D1376" s="39"/>
      <c r="E1376" s="47"/>
      <c r="F1376" s="247" t="s">
        <v>4294</v>
      </c>
      <c r="G1376" s="27" t="s">
        <v>4295</v>
      </c>
      <c r="H1376" s="132" t="s">
        <v>4296</v>
      </c>
      <c r="I1376" s="201" t="s">
        <v>609</v>
      </c>
      <c r="J1376" s="27" t="s">
        <v>612</v>
      </c>
      <c r="K1376" s="201" t="s">
        <v>611</v>
      </c>
      <c r="L1376" s="27" t="s">
        <v>295</v>
      </c>
      <c r="M1376" s="133" t="s">
        <v>4297</v>
      </c>
      <c r="N1376" s="139" t="s">
        <v>25</v>
      </c>
      <c r="O1376" s="139" t="s">
        <v>449</v>
      </c>
      <c r="P1376" s="140"/>
    </row>
    <row r="1377" s="81" customFormat="1" ht="30" customHeight="1" spans="1:16">
      <c r="A1377" s="134"/>
      <c r="B1377" s="47"/>
      <c r="C1377" s="39"/>
      <c r="D1377" s="39"/>
      <c r="E1377" s="47"/>
      <c r="F1377" s="247" t="s">
        <v>4298</v>
      </c>
      <c r="G1377" s="27" t="s">
        <v>4299</v>
      </c>
      <c r="H1377" s="132" t="s">
        <v>4300</v>
      </c>
      <c r="I1377" s="201" t="s">
        <v>609</v>
      </c>
      <c r="J1377" s="27" t="s">
        <v>612</v>
      </c>
      <c r="K1377" s="201" t="s">
        <v>611</v>
      </c>
      <c r="L1377" s="27" t="s">
        <v>295</v>
      </c>
      <c r="M1377" s="133" t="s">
        <v>4301</v>
      </c>
      <c r="N1377" s="139" t="s">
        <v>25</v>
      </c>
      <c r="O1377" s="139" t="s">
        <v>449</v>
      </c>
      <c r="P1377" s="140"/>
    </row>
    <row r="1378" s="81" customFormat="1" ht="40" customHeight="1" spans="1:16">
      <c r="A1378" s="134"/>
      <c r="B1378" s="47"/>
      <c r="C1378" s="39"/>
      <c r="D1378" s="39"/>
      <c r="E1378" s="47"/>
      <c r="F1378" s="247" t="s">
        <v>4302</v>
      </c>
      <c r="G1378" s="27" t="s">
        <v>4303</v>
      </c>
      <c r="H1378" s="132" t="s">
        <v>4304</v>
      </c>
      <c r="I1378" s="201" t="s">
        <v>609</v>
      </c>
      <c r="J1378" s="27" t="s">
        <v>612</v>
      </c>
      <c r="K1378" s="201" t="s">
        <v>611</v>
      </c>
      <c r="L1378" s="27" t="s">
        <v>295</v>
      </c>
      <c r="M1378" s="133" t="s">
        <v>4305</v>
      </c>
      <c r="N1378" s="139" t="s">
        <v>25</v>
      </c>
      <c r="O1378" s="139" t="s">
        <v>449</v>
      </c>
      <c r="P1378" s="140"/>
    </row>
    <row r="1379" s="81" customFormat="1" ht="30" customHeight="1" spans="1:16">
      <c r="A1379" s="134"/>
      <c r="B1379" s="47"/>
      <c r="C1379" s="39"/>
      <c r="D1379" s="39"/>
      <c r="E1379" s="47"/>
      <c r="F1379" s="248" t="s">
        <v>4306</v>
      </c>
      <c r="G1379" s="91" t="s">
        <v>4307</v>
      </c>
      <c r="H1379" s="137" t="s">
        <v>4308</v>
      </c>
      <c r="I1379" s="178" t="s">
        <v>302</v>
      </c>
      <c r="J1379" s="136" t="str">
        <f>INDEX(数据元说明!A:F,MATCH(I1379,数据元说明!C:C,0),2)</f>
        <v>001005</v>
      </c>
      <c r="K1379" s="138" t="str">
        <f>INDEX(数据元说明!A:F,MATCH(I1379,数据元说明!C:C,0),5)</f>
        <v>YYYYMMDD，默认值99991231。</v>
      </c>
      <c r="L1379" s="136" t="str">
        <f>INDEX(数据元说明!A:F,MATCH(I1379,数据元说明!C:C,0),6)</f>
        <v>C8</v>
      </c>
      <c r="M1379" s="138" t="s">
        <v>4309</v>
      </c>
      <c r="N1379" s="139" t="s">
        <v>25</v>
      </c>
      <c r="O1379" s="139" t="s">
        <v>4310</v>
      </c>
      <c r="P1379" s="140"/>
    </row>
    <row r="1380" s="81" customFormat="1" ht="30" customHeight="1" spans="1:16">
      <c r="A1380" s="134"/>
      <c r="B1380" s="47"/>
      <c r="C1380" s="39"/>
      <c r="D1380" s="39"/>
      <c r="E1380" s="47"/>
      <c r="F1380" s="248" t="s">
        <v>4311</v>
      </c>
      <c r="G1380" s="91" t="s">
        <v>4312</v>
      </c>
      <c r="H1380" s="137" t="s">
        <v>4313</v>
      </c>
      <c r="I1380" s="178" t="s">
        <v>412</v>
      </c>
      <c r="J1380" s="136" t="str">
        <f>INDEX(数据元说明!A:F,MATCH(I1380,数据元说明!C:C,0),2)</f>
        <v>001032</v>
      </c>
      <c r="K1380" s="138" t="str">
        <f>INDEX(数据元说明!A:F,MATCH(I1380,数据元说明!C:C,0),5)</f>
        <v>数量。</v>
      </c>
      <c r="L1380" s="136" t="str">
        <f>INDEX(数据元说明!A:F,MATCH(I1380,数据元说明!C:C,0),6)</f>
        <v>D20</v>
      </c>
      <c r="M1380" s="138" t="s">
        <v>4314</v>
      </c>
      <c r="N1380" s="139" t="s">
        <v>25</v>
      </c>
      <c r="O1380" s="139" t="s">
        <v>4310</v>
      </c>
      <c r="P1380" s="140"/>
    </row>
    <row r="1381" s="81" customFormat="1" ht="30" customHeight="1" spans="1:16">
      <c r="A1381" s="134"/>
      <c r="B1381" s="47"/>
      <c r="C1381" s="39"/>
      <c r="D1381" s="39"/>
      <c r="E1381" s="47"/>
      <c r="F1381" s="248" t="s">
        <v>4315</v>
      </c>
      <c r="G1381" s="91" t="s">
        <v>4316</v>
      </c>
      <c r="H1381" s="137" t="s">
        <v>4317</v>
      </c>
      <c r="I1381" s="135" t="s">
        <v>609</v>
      </c>
      <c r="J1381" s="136" t="str">
        <f>INDEX(数据元说明!A:F,MATCH(I1381,数据元说明!C:C,0),2)</f>
        <v>003010</v>
      </c>
      <c r="K1381" s="138" t="str">
        <f>INDEX(数据元说明!A:F,MATCH(I1381,数据元说明!C:C,0),5)</f>
        <v>与币种相对应金额。</v>
      </c>
      <c r="L1381" s="136" t="str">
        <f>INDEX(数据元说明!A:F,MATCH(I1381,数据元说明!C:C,0),6)</f>
        <v>D20.2</v>
      </c>
      <c r="M1381" s="138" t="s">
        <v>4318</v>
      </c>
      <c r="N1381" s="139" t="s">
        <v>25</v>
      </c>
      <c r="O1381" s="139" t="s">
        <v>4310</v>
      </c>
      <c r="P1381" s="140"/>
    </row>
    <row r="1382" s="81" customFormat="1" ht="30" customHeight="1" spans="1:16">
      <c r="A1382" s="134"/>
      <c r="B1382" s="47"/>
      <c r="C1382" s="39"/>
      <c r="D1382" s="39"/>
      <c r="E1382" s="47"/>
      <c r="F1382" s="248" t="s">
        <v>4319</v>
      </c>
      <c r="G1382" s="91" t="s">
        <v>4320</v>
      </c>
      <c r="H1382" s="137" t="s">
        <v>4321</v>
      </c>
      <c r="I1382" s="178" t="s">
        <v>302</v>
      </c>
      <c r="J1382" s="136" t="str">
        <f>INDEX(数据元说明!A:F,MATCH(I1382,数据元说明!C:C,0),2)</f>
        <v>001005</v>
      </c>
      <c r="K1382" s="138" t="str">
        <f>INDEX(数据元说明!A:F,MATCH(I1382,数据元说明!C:C,0),5)</f>
        <v>YYYYMMDD，默认值99991231。</v>
      </c>
      <c r="L1382" s="136" t="str">
        <f>INDEX(数据元说明!A:F,MATCH(I1382,数据元说明!C:C,0),6)</f>
        <v>C8</v>
      </c>
      <c r="M1382" s="138" t="s">
        <v>4322</v>
      </c>
      <c r="N1382" s="139" t="s">
        <v>25</v>
      </c>
      <c r="O1382" s="139" t="s">
        <v>4310</v>
      </c>
      <c r="P1382" s="140"/>
    </row>
    <row r="1383" s="81" customFormat="1" ht="30" customHeight="1" spans="1:16">
      <c r="A1383" s="134"/>
      <c r="B1383" s="47"/>
      <c r="C1383" s="39"/>
      <c r="D1383" s="39"/>
      <c r="E1383" s="47"/>
      <c r="F1383" s="248" t="s">
        <v>4323</v>
      </c>
      <c r="G1383" s="91" t="s">
        <v>4324</v>
      </c>
      <c r="H1383" s="137" t="s">
        <v>4325</v>
      </c>
      <c r="I1383" s="178" t="s">
        <v>1027</v>
      </c>
      <c r="J1383" s="136" t="str">
        <f>INDEX(数据元说明!A:F,MATCH(I1383,数据元说明!C:C,0),2)</f>
        <v>007004</v>
      </c>
      <c r="K1383" s="138" t="str">
        <f>INDEX(数据元说明!A:F,MATCH(I1383,数据元说明!C:C,0),5)</f>
        <v>新发卡授信、固定额度上调,临时额度上调,专项分期额度上调,其他-银行自定义。无法以枚举类型填报的，以“其他-XX”填报，其中XX为银行自定义类型。</v>
      </c>
      <c r="L1383" s="136" t="str">
        <f>INDEX(数据元说明!A:F,MATCH(I1383,数据元说明!C:C,0),6)</f>
        <v>C..60</v>
      </c>
      <c r="M1383" s="138" t="s">
        <v>4326</v>
      </c>
      <c r="N1383" s="139" t="s">
        <v>25</v>
      </c>
      <c r="O1383" s="139" t="s">
        <v>449</v>
      </c>
      <c r="P1383" s="140"/>
    </row>
    <row r="1384" s="81" customFormat="1" ht="30" customHeight="1" outlineLevel="1" spans="1:16">
      <c r="A1384" s="134"/>
      <c r="B1384" s="47"/>
      <c r="C1384" s="39"/>
      <c r="D1384" s="39"/>
      <c r="E1384" s="47"/>
      <c r="F1384" s="169" t="s">
        <v>449</v>
      </c>
      <c r="G1384" s="148" t="s">
        <v>1571</v>
      </c>
      <c r="H1384" s="148" t="s">
        <v>4327</v>
      </c>
      <c r="I1384" s="169" t="s">
        <v>449</v>
      </c>
      <c r="J1384" s="170" t="str">
        <f>INDEX(数据元说明!A:F,MATCH(I1384,数据元说明!C:C,0),2)</f>
        <v>001040</v>
      </c>
      <c r="K1384" s="171" t="str">
        <f>INDEX(数据元说明!A:F,MATCH(I1384,数据元说明!C:C,0),5)</f>
        <v>银行自定义。</v>
      </c>
      <c r="L1384" s="170" t="str">
        <f>INDEX(数据元说明!A:F,MATCH(I1384,数据元说明!C:C,0),6)</f>
        <v>C..600</v>
      </c>
      <c r="M1384" s="149" t="s">
        <v>1573</v>
      </c>
      <c r="N1384" s="172" t="s">
        <v>57</v>
      </c>
      <c r="O1384" s="173"/>
      <c r="P1384" s="173"/>
    </row>
    <row r="1385" s="61" customFormat="1" ht="30" customHeight="1" spans="1:16">
      <c r="A1385" s="130"/>
      <c r="B1385" s="36"/>
      <c r="C1385" s="25"/>
      <c r="D1385" s="25"/>
      <c r="E1385" s="36"/>
      <c r="F1385" s="131" t="s">
        <v>1574</v>
      </c>
      <c r="G1385" s="59" t="s">
        <v>1575</v>
      </c>
      <c r="H1385" s="132" t="s">
        <v>4328</v>
      </c>
      <c r="I1385" s="131" t="s">
        <v>302</v>
      </c>
      <c r="J1385" s="31" t="str">
        <f>INDEX(数据元说明!A:F,MATCH(I1385,数据元说明!C:C,0),2)</f>
        <v>001005</v>
      </c>
      <c r="K1385" s="133" t="str">
        <f>INDEX(数据元说明!A:F,MATCH(I1385,数据元说明!C:C,0),5)</f>
        <v>YYYYMMDD，默认值99991231。</v>
      </c>
      <c r="L1385" s="31" t="str">
        <f>INDEX(数据元说明!A:F,MATCH(I1385,数据元说明!C:C,0),6)</f>
        <v>C8</v>
      </c>
      <c r="M1385" s="133" t="s">
        <v>1577</v>
      </c>
      <c r="N1385" s="33"/>
      <c r="O1385" s="99"/>
      <c r="P1385" s="99"/>
    </row>
    <row r="1386" s="81" customFormat="1" ht="30" customHeight="1" spans="1:16">
      <c r="A1386" s="179"/>
      <c r="B1386" s="180"/>
      <c r="C1386" s="37" t="s">
        <v>207</v>
      </c>
      <c r="D1386" s="38" t="s">
        <v>208</v>
      </c>
      <c r="E1386" s="181" t="s">
        <v>4329</v>
      </c>
      <c r="F1386" s="182"/>
      <c r="G1386" s="183"/>
      <c r="H1386" s="181"/>
      <c r="I1386" s="182"/>
      <c r="J1386" s="183"/>
      <c r="K1386" s="128"/>
      <c r="L1386" s="183"/>
      <c r="M1386" s="128" t="str">
        <f>INDEX(表结构总览!E:H,MATCH(D1386,表结构总览!E:E,0),4)</f>
        <v>填报每月新增的持卡人分期业务情况。</v>
      </c>
      <c r="N1386" s="129" t="s">
        <v>25</v>
      </c>
      <c r="O1386" s="198" t="s">
        <v>1858</v>
      </c>
      <c r="P1386" s="206"/>
    </row>
    <row r="1387" s="61" customFormat="1" ht="30" customHeight="1" spans="1:16">
      <c r="A1387" s="130"/>
      <c r="B1387" s="36"/>
      <c r="C1387" s="25"/>
      <c r="D1387" s="25"/>
      <c r="E1387" s="36"/>
      <c r="F1387" s="131" t="s">
        <v>325</v>
      </c>
      <c r="G1387" s="59" t="s">
        <v>1520</v>
      </c>
      <c r="H1387" s="132" t="s">
        <v>4330</v>
      </c>
      <c r="I1387" s="131" t="s">
        <v>325</v>
      </c>
      <c r="J1387" s="31" t="str">
        <f>INDEX(数据元说明!A:F,MATCH(I1387,数据元说明!C:C,0),2)</f>
        <v>001010</v>
      </c>
      <c r="K1387" s="133" t="str">
        <f>INDEX(数据元说明!A:F,MATCH(I1387,数据元说明!C:C,0),5)</f>
        <v>12位人行支付行号或SWIFT行号。</v>
      </c>
      <c r="L1387" s="31" t="str">
        <f>INDEX(数据元说明!A:F,MATCH(I1387,数据元说明!C:C,0),6)</f>
        <v>C..30</v>
      </c>
      <c r="M1387" s="133" t="s">
        <v>1579</v>
      </c>
      <c r="N1387" s="33"/>
      <c r="O1387" s="99"/>
      <c r="P1387" s="41"/>
    </row>
    <row r="1388" s="61" customFormat="1" ht="30" customHeight="1" outlineLevel="1" spans="1:16">
      <c r="A1388" s="130"/>
      <c r="B1388" s="36"/>
      <c r="C1388" s="25"/>
      <c r="D1388" s="25"/>
      <c r="E1388" s="36"/>
      <c r="F1388" s="131" t="s">
        <v>329</v>
      </c>
      <c r="G1388" s="31" t="s">
        <v>1526</v>
      </c>
      <c r="H1388" s="132" t="s">
        <v>4331</v>
      </c>
      <c r="I1388" s="131" t="s">
        <v>329</v>
      </c>
      <c r="J1388" s="31" t="str">
        <f>INDEX(数据元说明!A:F,MATCH(I1388,数据元说明!C:C,0),2)</f>
        <v>001011</v>
      </c>
      <c r="K1388" s="133" t="str">
        <f>INDEX(数据元说明!A:F,MATCH(I1388,数据元说明!C:C,0),5)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388" s="31" t="str">
        <f>INDEX(数据元说明!A:F,MATCH(I1388,数据元说明!C:C,0),6)</f>
        <v>C..30</v>
      </c>
      <c r="M1388" s="133" t="s">
        <v>3204</v>
      </c>
      <c r="N1388" s="99"/>
      <c r="O1388" s="99"/>
      <c r="P1388" s="99"/>
    </row>
    <row r="1389" s="61" customFormat="1" ht="30" customHeight="1" spans="1:16">
      <c r="A1389" s="130"/>
      <c r="B1389" s="36"/>
      <c r="C1389" s="25"/>
      <c r="D1389" s="25"/>
      <c r="E1389" s="36"/>
      <c r="F1389" s="131" t="s">
        <v>333</v>
      </c>
      <c r="G1389" s="59" t="s">
        <v>1523</v>
      </c>
      <c r="H1389" s="132" t="s">
        <v>4332</v>
      </c>
      <c r="I1389" s="131" t="s">
        <v>333</v>
      </c>
      <c r="J1389" s="31" t="str">
        <f>INDEX(数据元说明!A:F,MATCH(I1389,数据元说明!C:C,0),2)</f>
        <v>001012</v>
      </c>
      <c r="K1389" s="133" t="str">
        <f>INDEX(数据元说明!A:F,MATCH(I1389,数据元说明!C:C,0),5)</f>
        <v>银行内部机构号。应具有标识机构的唯一性。</v>
      </c>
      <c r="L1389" s="31" t="str">
        <f>INDEX(数据元说明!A:F,MATCH(I1389,数据元说明!C:C,0),6)</f>
        <v>C..30</v>
      </c>
      <c r="M1389" s="133" t="s">
        <v>1834</v>
      </c>
      <c r="N1389" s="33"/>
      <c r="O1389" s="99"/>
      <c r="P1389" s="41"/>
    </row>
    <row r="1390" s="61" customFormat="1" ht="30" customHeight="1" spans="1:16">
      <c r="A1390" s="130"/>
      <c r="B1390" s="36"/>
      <c r="C1390" s="25"/>
      <c r="D1390" s="25"/>
      <c r="E1390" s="36"/>
      <c r="F1390" s="135" t="s">
        <v>1532</v>
      </c>
      <c r="G1390" s="245" t="s">
        <v>1533</v>
      </c>
      <c r="H1390" s="137" t="s">
        <v>4333</v>
      </c>
      <c r="I1390" s="135" t="s">
        <v>282</v>
      </c>
      <c r="J1390" s="136" t="str">
        <f>INDEX(数据元说明!A:F,MATCH(I1390,数据元说明!C:C,0),2)</f>
        <v>001001</v>
      </c>
      <c r="K1390" s="138" t="str">
        <f>INDEX(数据元说明!A:F,MATCH(I1390,数据元说明!C:C,0),5)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390" s="136" t="str">
        <f>INDEX(数据元说明!A:F,MATCH(I1390,数据元说明!C:C,0),6)</f>
        <v>C..400</v>
      </c>
      <c r="M1390" s="138" t="s">
        <v>1584</v>
      </c>
      <c r="N1390" s="139" t="s">
        <v>25</v>
      </c>
      <c r="O1390" s="139" t="s">
        <v>280</v>
      </c>
      <c r="P1390" s="205"/>
    </row>
    <row r="1391" s="81" customFormat="1" ht="30" customHeight="1" outlineLevel="1" spans="1:16">
      <c r="A1391" s="141"/>
      <c r="B1391" s="142"/>
      <c r="C1391" s="39"/>
      <c r="D1391" s="42"/>
      <c r="E1391" s="47"/>
      <c r="F1391" s="135" t="s">
        <v>4334</v>
      </c>
      <c r="G1391" s="136" t="s">
        <v>4335</v>
      </c>
      <c r="H1391" s="137" t="s">
        <v>4336</v>
      </c>
      <c r="I1391" s="135" t="s">
        <v>681</v>
      </c>
      <c r="J1391" s="136" t="str">
        <f>INDEX(数据元说明!A:F,MATCH(I1391,数据元说明!C:C,0),2)</f>
        <v>003028</v>
      </c>
      <c r="K1391" s="138" t="str">
        <f>INDEX(数据元说明!A:F,MATCH(I1391,数据元说明!C:C,0),5)</f>
        <v>合同号。</v>
      </c>
      <c r="L1391" s="136" t="str">
        <f>INDEX(数据元说明!A:F,MATCH(I1391,数据元说明!C:C,0),6)</f>
        <v>C..100</v>
      </c>
      <c r="M1391" s="138" t="s">
        <v>4337</v>
      </c>
      <c r="N1391" s="225" t="s">
        <v>57</v>
      </c>
      <c r="O1391" s="221"/>
      <c r="P1391" s="221"/>
    </row>
    <row r="1392" s="81" customFormat="1" ht="30" customHeight="1" spans="1:16">
      <c r="A1392" s="134"/>
      <c r="B1392" s="47"/>
      <c r="C1392" s="39"/>
      <c r="D1392" s="39"/>
      <c r="E1392" s="47"/>
      <c r="F1392" s="135" t="s">
        <v>453</v>
      </c>
      <c r="G1392" s="245" t="s">
        <v>1680</v>
      </c>
      <c r="H1392" s="137" t="s">
        <v>4338</v>
      </c>
      <c r="I1392" s="135" t="s">
        <v>453</v>
      </c>
      <c r="J1392" s="136" t="str">
        <f>INDEX(数据元说明!A:F,MATCH(I1392,数据元说明!C:C,0),2)</f>
        <v>002001</v>
      </c>
      <c r="K1392" s="138" t="str">
        <f>INDEX(数据元说明!A:F,MATCH(I1392,数据元说明!C:C,0),5)</f>
        <v>银行自定义的唯一识别客户的标识。供应链融资的填写供应链融资编码。</v>
      </c>
      <c r="L1392" s="136" t="str">
        <f>INDEX(数据元说明!A:F,MATCH(I1392,数据元说明!C:C,0),6)</f>
        <v>C..60</v>
      </c>
      <c r="M1392" s="138" t="s">
        <v>4339</v>
      </c>
      <c r="N1392" s="139" t="s">
        <v>25</v>
      </c>
      <c r="O1392" s="139" t="s">
        <v>449</v>
      </c>
      <c r="P1392" s="205"/>
    </row>
    <row r="1393" s="81" customFormat="1" ht="29" customHeight="1" spans="1:16">
      <c r="A1393" s="134"/>
      <c r="B1393" s="47"/>
      <c r="C1393" s="39"/>
      <c r="D1393" s="39"/>
      <c r="E1393" s="47"/>
      <c r="F1393" s="135" t="s">
        <v>1864</v>
      </c>
      <c r="G1393" s="245" t="s">
        <v>1865</v>
      </c>
      <c r="H1393" s="137" t="s">
        <v>4340</v>
      </c>
      <c r="I1393" s="135" t="s">
        <v>282</v>
      </c>
      <c r="J1393" s="136" t="str">
        <f>INDEX(数据元说明!A:F,MATCH(I1393,数据元说明!C:C,0),2)</f>
        <v>001001</v>
      </c>
      <c r="K1393" s="138" t="str">
        <f>INDEX(数据元说明!A:F,MATCH(I1393,数据元说明!C:C,0),5)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393" s="136" t="str">
        <f>INDEX(数据元说明!A:F,MATCH(I1393,数据元说明!C:C,0),6)</f>
        <v>C..400</v>
      </c>
      <c r="M1393" s="158" t="s">
        <v>2894</v>
      </c>
      <c r="N1393" s="139" t="s">
        <v>57</v>
      </c>
      <c r="O1393" s="140"/>
      <c r="P1393" s="140"/>
    </row>
    <row r="1394" s="81" customFormat="1" ht="57.75" customHeight="1" spans="1:16">
      <c r="A1394" s="134"/>
      <c r="B1394" s="47"/>
      <c r="C1394" s="39"/>
      <c r="D1394" s="39"/>
      <c r="E1394" s="47"/>
      <c r="F1394" s="135" t="s">
        <v>457</v>
      </c>
      <c r="G1394" s="245" t="s">
        <v>1592</v>
      </c>
      <c r="H1394" s="137" t="s">
        <v>4341</v>
      </c>
      <c r="I1394" s="135" t="s">
        <v>457</v>
      </c>
      <c r="J1394" s="136" t="str">
        <f>INDEX(数据元说明!A:F,MATCH(I1394,数据元说明!C:C,0),2)</f>
        <v>002002</v>
      </c>
      <c r="K1394" s="138" t="str">
        <f>INDEX(数据元说明!A:F,MATCH(I1394,数据元说明!C:C,0),5)</f>
        <v>同业客户：银行机构代码，金融许可证号，SWIFT编码，其他-XX。
对公客户：统一社会信用代码，组织机构代码，营业执照（工商注册号），公司注册证书，全球法人识别码，其他-XX。
个人客户：居民身份证，军官证，文职干部证，警官证，士兵证，户口簿，临时身份证，其他有效通行旅行证件，护照，学生证，无证件，其他-XX。
无法以枚举类型填报的，以“其他-XX”报送，其中“XX”为银行自定义类型。
对公客户优先填报统一社会信用代码，没有统一社会信用代码的对公客户填报组织机构代码。组织机构代码、统一社会信用代码均没有的可以填报客户提供的批文文号、开户主证件、上级机构统一社会信用代码等，以“其他-XX”填报。</v>
      </c>
      <c r="L1394" s="136" t="str">
        <f>INDEX(数据元说明!A:F,MATCH(I1394,数据元说明!C:C,0),6)</f>
        <v>C..60</v>
      </c>
      <c r="M1394" s="138" t="s">
        <v>4165</v>
      </c>
      <c r="N1394" s="139" t="s">
        <v>57</v>
      </c>
      <c r="O1394" s="140"/>
      <c r="P1394" s="140"/>
    </row>
    <row r="1395" s="81" customFormat="1" ht="57.75" customHeight="1" spans="1:16">
      <c r="A1395" s="134"/>
      <c r="B1395" s="47"/>
      <c r="C1395" s="39"/>
      <c r="D1395" s="39"/>
      <c r="E1395" s="47"/>
      <c r="F1395" s="135" t="s">
        <v>461</v>
      </c>
      <c r="G1395" s="245" t="s">
        <v>1594</v>
      </c>
      <c r="H1395" s="137" t="s">
        <v>4342</v>
      </c>
      <c r="I1395" s="135" t="s">
        <v>461</v>
      </c>
      <c r="J1395" s="136" t="str">
        <f>INDEX(数据元说明!A:F,MATCH(I1395,数据元说明!C:C,0),2)</f>
        <v>002003</v>
      </c>
      <c r="K1395" s="138" t="str">
        <f>INDEX(数据元说明!A:F,MATCH(I1395,数据元说明!C:C,0),5)</f>
        <v>与证件类别对应的证件号码。涉及个人身份证件时需按照本规范给定规则进行脱敏处理。</v>
      </c>
      <c r="L1395" s="136" t="str">
        <f>INDEX(数据元说明!A:F,MATCH(I1395,数据元说明!C:C,0),6)</f>
        <v>C..70</v>
      </c>
      <c r="M1395" s="138" t="s">
        <v>4167</v>
      </c>
      <c r="N1395" s="139" t="s">
        <v>25</v>
      </c>
      <c r="O1395" s="140" t="s">
        <v>4168</v>
      </c>
      <c r="P1395" s="140"/>
    </row>
    <row r="1396" s="61" customFormat="1" ht="30" customHeight="1" outlineLevel="1" spans="1:16">
      <c r="A1396" s="238"/>
      <c r="B1396" s="198"/>
      <c r="C1396" s="198"/>
      <c r="D1396" s="198"/>
      <c r="E1396" s="198"/>
      <c r="F1396" s="135" t="s">
        <v>4085</v>
      </c>
      <c r="G1396" s="136" t="s">
        <v>4086</v>
      </c>
      <c r="H1396" s="137" t="s">
        <v>4343</v>
      </c>
      <c r="I1396" s="135" t="s">
        <v>570</v>
      </c>
      <c r="J1396" s="198" t="str">
        <f>INDEX(数据元说明!A:F,MATCH(I1396,数据元说明!C:C,0),2)</f>
        <v>003001</v>
      </c>
      <c r="K1396" s="135" t="str">
        <f>INDEX(数据元说明!A:F,MATCH(I1396,数据元说明!C:C,0),5)</f>
        <v>系统内最细一级的账号，无唯一性约束，不需要和序号、子序号等做拼接。</v>
      </c>
      <c r="L1396" s="136" t="str">
        <f>INDEX(数据元说明!A:F,MATCH(I1396,数据元说明!C:C,0),6)</f>
        <v>C..60</v>
      </c>
      <c r="M1396" s="138" t="s">
        <v>4237</v>
      </c>
      <c r="N1396" s="225" t="s">
        <v>57</v>
      </c>
      <c r="O1396" s="198"/>
      <c r="P1396" s="198"/>
    </row>
    <row r="1397" s="81" customFormat="1" ht="30" customHeight="1" spans="1:16">
      <c r="A1397" s="134"/>
      <c r="B1397" s="47"/>
      <c r="C1397" s="39"/>
      <c r="D1397" s="39"/>
      <c r="E1397" s="47"/>
      <c r="F1397" s="135" t="s">
        <v>995</v>
      </c>
      <c r="G1397" s="245" t="s">
        <v>4344</v>
      </c>
      <c r="H1397" s="137" t="s">
        <v>4345</v>
      </c>
      <c r="I1397" s="135" t="s">
        <v>995</v>
      </c>
      <c r="J1397" s="136" t="str">
        <f>INDEX(数据元说明!A:F,MATCH(I1397,数据元说明!C:C,0),2)</f>
        <v>006013</v>
      </c>
      <c r="K1397" s="138" t="str">
        <f>INDEX(数据元说明!A:F,MATCH(I1397,数据元说明!C:C,0),5)</f>
        <v>普通分期总额、普通分期单笔、专项分期总额、专项分期单笔、现金分期总额、现金分期单笔、其他-银行自定义。无法以枚举类型填报的，以“其他-XX”填报，其中XX为银行自定义类型。</v>
      </c>
      <c r="L1397" s="136" t="str">
        <f>INDEX(数据元说明!A:F,MATCH(I1397,数据元说明!C:C,0),6)</f>
        <v>C..60</v>
      </c>
      <c r="M1397" s="138" t="s">
        <v>4346</v>
      </c>
      <c r="N1397" s="139" t="s">
        <v>25</v>
      </c>
      <c r="O1397" s="139" t="s">
        <v>3821</v>
      </c>
      <c r="P1397" s="205"/>
    </row>
    <row r="1398" s="81" customFormat="1" ht="30" customHeight="1" spans="1:16">
      <c r="A1398" s="134"/>
      <c r="B1398" s="47"/>
      <c r="C1398" s="39"/>
      <c r="D1398" s="39"/>
      <c r="E1398" s="47"/>
      <c r="F1398" s="135" t="s">
        <v>999</v>
      </c>
      <c r="G1398" s="245" t="s">
        <v>4347</v>
      </c>
      <c r="H1398" s="137" t="s">
        <v>4348</v>
      </c>
      <c r="I1398" s="135" t="s">
        <v>999</v>
      </c>
      <c r="J1398" s="136" t="str">
        <f>INDEX(数据元说明!A:F,MATCH(I1398,数据元说明!C:C,0),2)</f>
        <v>006014</v>
      </c>
      <c r="K1398" s="138" t="str">
        <f>INDEX(数据元说明!A:F,MATCH(I1398,数据元说明!C:C,0),5)</f>
        <v>账单分期，单笔消费分期，现金分期，POS商户分期，邮购电购分期，汽车分期，家装分期，车位分期，教育分期，婚庆分期，其他-银行自定义。无法以枚举类型填报的，以“其他-XX”填报，其中XX为银行自定义分期业务类型。</v>
      </c>
      <c r="L1398" s="136" t="str">
        <f>INDEX(数据元说明!A:F,MATCH(I1398,数据元说明!C:C,0),6)</f>
        <v>C..60</v>
      </c>
      <c r="M1398" s="138"/>
      <c r="N1398" s="225" t="s">
        <v>57</v>
      </c>
      <c r="O1398" s="139"/>
      <c r="P1398" s="205"/>
    </row>
    <row r="1399" s="81" customFormat="1" ht="30" customHeight="1" spans="1:16">
      <c r="A1399" s="134"/>
      <c r="B1399" s="47"/>
      <c r="C1399" s="39"/>
      <c r="D1399" s="39"/>
      <c r="E1399" s="47"/>
      <c r="F1399" s="135" t="s">
        <v>4349</v>
      </c>
      <c r="G1399" s="245" t="s">
        <v>4350</v>
      </c>
      <c r="H1399" s="137" t="s">
        <v>4351</v>
      </c>
      <c r="I1399" s="135" t="s">
        <v>302</v>
      </c>
      <c r="J1399" s="136" t="str">
        <f>INDEX(数据元说明!A:F,MATCH(I1399,数据元说明!C:C,0),2)</f>
        <v>001005</v>
      </c>
      <c r="K1399" s="138" t="str">
        <f>INDEX(数据元说明!A:F,MATCH(I1399,数据元说明!C:C,0),5)</f>
        <v>YYYYMMDD，默认值99991231。</v>
      </c>
      <c r="L1399" s="136" t="str">
        <f>INDEX(数据元说明!A:F,MATCH(I1399,数据元说明!C:C,0),6)</f>
        <v>C8</v>
      </c>
      <c r="M1399" s="138"/>
      <c r="N1399" s="139" t="s">
        <v>25</v>
      </c>
      <c r="O1399" s="140" t="s">
        <v>1550</v>
      </c>
      <c r="P1399" s="205"/>
    </row>
    <row r="1400" s="81" customFormat="1" ht="30" customHeight="1" spans="1:16">
      <c r="A1400" s="134"/>
      <c r="B1400" s="47"/>
      <c r="C1400" s="39"/>
      <c r="D1400" s="39"/>
      <c r="E1400" s="47"/>
      <c r="F1400" s="135" t="s">
        <v>4352</v>
      </c>
      <c r="G1400" s="245" t="s">
        <v>4353</v>
      </c>
      <c r="H1400" s="137" t="s">
        <v>4354</v>
      </c>
      <c r="I1400" s="135" t="s">
        <v>312</v>
      </c>
      <c r="J1400" s="136" t="str">
        <f>INDEX(数据元说明!A:F,MATCH(I1400,数据元说明!C:C,0),2)</f>
        <v>001007</v>
      </c>
      <c r="K1400" s="138" t="str">
        <f>INDEX(数据元说明!A:F,MATCH(I1400,数据元说明!C:C,0),5)</f>
        <v>24小时制时间，精确到秒。hhmmss，默认值000000。</v>
      </c>
      <c r="L1400" s="136" t="str">
        <f>INDEX(数据元说明!A:F,MATCH(I1400,数据元说明!C:C,0),6)</f>
        <v>C6</v>
      </c>
      <c r="M1400" s="138"/>
      <c r="N1400" s="225" t="s">
        <v>57</v>
      </c>
      <c r="O1400" s="140"/>
      <c r="P1400" s="205"/>
    </row>
    <row r="1401" s="81" customFormat="1" ht="30" customHeight="1" spans="1:16">
      <c r="A1401" s="134"/>
      <c r="B1401" s="47"/>
      <c r="C1401" s="39"/>
      <c r="D1401" s="39"/>
      <c r="E1401" s="47"/>
      <c r="F1401" s="135" t="s">
        <v>624</v>
      </c>
      <c r="G1401" s="245" t="s">
        <v>1989</v>
      </c>
      <c r="H1401" s="137" t="s">
        <v>4355</v>
      </c>
      <c r="I1401" s="135" t="s">
        <v>624</v>
      </c>
      <c r="J1401" s="136" t="str">
        <f>INDEX(数据元说明!A:F,MATCH(I1401,数据元说明!C:C,0),2)</f>
        <v>003014</v>
      </c>
      <c r="K1401" s="138" t="str">
        <f>INDEX(数据元说明!A:F,MATCH(I1401,数据元说明!C:C,0),5)</f>
        <v>遵循《GB/T 12406 表示货币和资金的代码》的字母代码，如CNY。上述文件所列币种无法涵盖的，允许银行自定义填报。多个币种合计折算为人民币（本外币合计）的，填报为BWB。</v>
      </c>
      <c r="L1401" s="136" t="str">
        <f>INDEX(数据元说明!A:F,MATCH(I1401,数据元说明!C:C,0),6)</f>
        <v>C3</v>
      </c>
      <c r="M1401" s="138"/>
      <c r="N1401" s="139" t="s">
        <v>57</v>
      </c>
      <c r="O1401" s="140"/>
      <c r="P1401" s="205"/>
    </row>
    <row r="1402" s="81" customFormat="1" ht="30" customHeight="1" spans="1:16">
      <c r="A1402" s="134"/>
      <c r="B1402" s="47"/>
      <c r="C1402" s="39"/>
      <c r="D1402" s="39"/>
      <c r="E1402" s="47"/>
      <c r="F1402" s="135" t="s">
        <v>4356</v>
      </c>
      <c r="G1402" s="245" t="s">
        <v>4357</v>
      </c>
      <c r="H1402" s="137" t="s">
        <v>4358</v>
      </c>
      <c r="I1402" s="135" t="s">
        <v>609</v>
      </c>
      <c r="J1402" s="136" t="str">
        <f>INDEX(数据元说明!A:F,MATCH(I1402,数据元说明!C:C,0),2)</f>
        <v>003010</v>
      </c>
      <c r="K1402" s="138" t="str">
        <f>INDEX(数据元说明!A:F,MATCH(I1402,数据元说明!C:C,0),5)</f>
        <v>与币种相对应金额。</v>
      </c>
      <c r="L1402" s="136" t="str">
        <f>INDEX(数据元说明!A:F,MATCH(I1402,数据元说明!C:C,0),6)</f>
        <v>D20.2</v>
      </c>
      <c r="M1402" s="138" t="s">
        <v>4359</v>
      </c>
      <c r="N1402" s="139" t="s">
        <v>25</v>
      </c>
      <c r="O1402" s="140" t="s">
        <v>1513</v>
      </c>
      <c r="P1402" s="205"/>
    </row>
    <row r="1403" s="81" customFormat="1" ht="30" customHeight="1" spans="1:16">
      <c r="A1403" s="134"/>
      <c r="B1403" s="47"/>
      <c r="C1403" s="39"/>
      <c r="D1403" s="39"/>
      <c r="E1403" s="47"/>
      <c r="F1403" s="135" t="s">
        <v>4360</v>
      </c>
      <c r="G1403" s="245" t="s">
        <v>4361</v>
      </c>
      <c r="H1403" s="137" t="s">
        <v>4362</v>
      </c>
      <c r="I1403" s="135" t="s">
        <v>609</v>
      </c>
      <c r="J1403" s="136" t="str">
        <f>INDEX(数据元说明!A:F,MATCH(I1403,数据元说明!C:C,0),2)</f>
        <v>003010</v>
      </c>
      <c r="K1403" s="138" t="str">
        <f>INDEX(数据元说明!A:F,MATCH(I1403,数据元说明!C:C,0),5)</f>
        <v>与币种相对应金额。</v>
      </c>
      <c r="L1403" s="136" t="str">
        <f>INDEX(数据元说明!A:F,MATCH(I1403,数据元说明!C:C,0),6)</f>
        <v>D20.2</v>
      </c>
      <c r="M1403" s="138" t="s">
        <v>4363</v>
      </c>
      <c r="N1403" s="139" t="s">
        <v>57</v>
      </c>
      <c r="O1403" s="140"/>
      <c r="P1403" s="205"/>
    </row>
    <row r="1404" s="81" customFormat="1" ht="30" customHeight="1" spans="1:16">
      <c r="A1404" s="134"/>
      <c r="B1404" s="47"/>
      <c r="C1404" s="39"/>
      <c r="D1404" s="39"/>
      <c r="E1404" s="47"/>
      <c r="F1404" s="135" t="s">
        <v>4364</v>
      </c>
      <c r="G1404" s="245" t="s">
        <v>4365</v>
      </c>
      <c r="H1404" s="137" t="s">
        <v>4366</v>
      </c>
      <c r="I1404" s="135" t="s">
        <v>609</v>
      </c>
      <c r="J1404" s="136" t="str">
        <f>INDEX(数据元说明!A:F,MATCH(I1404,数据元说明!C:C,0),2)</f>
        <v>003010</v>
      </c>
      <c r="K1404" s="138" t="str">
        <f>INDEX(数据元说明!A:F,MATCH(I1404,数据元说明!C:C,0),5)</f>
        <v>与币种相对应金额。</v>
      </c>
      <c r="L1404" s="136" t="str">
        <f>INDEX(数据元说明!A:F,MATCH(I1404,数据元说明!C:C,0),6)</f>
        <v>D20.2</v>
      </c>
      <c r="M1404" s="178" t="s">
        <v>4367</v>
      </c>
      <c r="N1404" s="139" t="s">
        <v>25</v>
      </c>
      <c r="O1404" s="140" t="s">
        <v>1513</v>
      </c>
      <c r="P1404" s="205"/>
    </row>
    <row r="1405" s="81" customFormat="1" ht="30" customHeight="1" spans="1:16">
      <c r="A1405" s="134"/>
      <c r="B1405" s="47"/>
      <c r="C1405" s="39"/>
      <c r="D1405" s="39"/>
      <c r="E1405" s="47"/>
      <c r="F1405" s="135" t="s">
        <v>4368</v>
      </c>
      <c r="G1405" s="245" t="s">
        <v>4369</v>
      </c>
      <c r="H1405" s="137" t="s">
        <v>4370</v>
      </c>
      <c r="I1405" s="135" t="s">
        <v>660</v>
      </c>
      <c r="J1405" s="136" t="str">
        <f>INDEX(数据元说明!A:F,MATCH(I1405,数据元说明!C:C,0),2)</f>
        <v>003023</v>
      </c>
      <c r="K1405" s="138" t="str">
        <f>INDEX(数据元说明!A:F,MATCH(I1405,数据元说明!C:C,0),5)</f>
        <v>百分比为单位，即%，如4.5%填报为4.5。</v>
      </c>
      <c r="L1405" s="136" t="str">
        <f>INDEX(数据元说明!A:F,MATCH(I1405,数据元说明!C:C,0),6)</f>
        <v>D10.4</v>
      </c>
      <c r="M1405" s="138" t="s">
        <v>4371</v>
      </c>
      <c r="N1405" s="225" t="s">
        <v>57</v>
      </c>
      <c r="O1405" s="140"/>
      <c r="P1405" s="205"/>
    </row>
    <row r="1406" s="61" customFormat="1" ht="30" customHeight="1" spans="1:16">
      <c r="A1406" s="130"/>
      <c r="B1406" s="36"/>
      <c r="C1406" s="25"/>
      <c r="D1406" s="25"/>
      <c r="E1406" s="36"/>
      <c r="F1406" s="131" t="s">
        <v>4372</v>
      </c>
      <c r="G1406" s="59" t="s">
        <v>4373</v>
      </c>
      <c r="H1406" s="132" t="s">
        <v>4374</v>
      </c>
      <c r="I1406" s="131" t="s">
        <v>835</v>
      </c>
      <c r="J1406" s="409" t="str">
        <f>INDEX(数据元说明!A:F,MATCH(I1406,数据元说明!C:C,0),2)</f>
        <v>005025</v>
      </c>
      <c r="K1406" s="133" t="str">
        <f>INDEX(数据元说明!A:F,MATCH(I1406,数据元说明!C:C,0),5)</f>
        <v>期数，默认值0。</v>
      </c>
      <c r="L1406" s="31" t="str">
        <f>INDEX(数据元说明!A:F,MATCH(I1406,数据元说明!C:C,0),6)</f>
        <v>I..4</v>
      </c>
      <c r="M1406" s="133"/>
      <c r="N1406" s="33"/>
      <c r="O1406" s="99"/>
      <c r="P1406" s="41"/>
    </row>
    <row r="1407" s="81" customFormat="1" ht="30" customHeight="1" outlineLevel="1" spans="1:16">
      <c r="A1407" s="134"/>
      <c r="B1407" s="47"/>
      <c r="C1407" s="39"/>
      <c r="D1407" s="39"/>
      <c r="E1407" s="47"/>
      <c r="F1407" s="169" t="s">
        <v>449</v>
      </c>
      <c r="G1407" s="148" t="s">
        <v>1571</v>
      </c>
      <c r="H1407" s="148" t="s">
        <v>4375</v>
      </c>
      <c r="I1407" s="169" t="s">
        <v>449</v>
      </c>
      <c r="J1407" s="170" t="str">
        <f>INDEX(数据元说明!A:F,MATCH(I1407,数据元说明!C:C,0),2)</f>
        <v>001040</v>
      </c>
      <c r="K1407" s="171" t="str">
        <f>INDEX(数据元说明!A:F,MATCH(I1407,数据元说明!C:C,0),5)</f>
        <v>银行自定义。</v>
      </c>
      <c r="L1407" s="170" t="str">
        <f>INDEX(数据元说明!A:F,MATCH(I1407,数据元说明!C:C,0),6)</f>
        <v>C..600</v>
      </c>
      <c r="M1407" s="149" t="s">
        <v>1573</v>
      </c>
      <c r="N1407" s="172" t="s">
        <v>57</v>
      </c>
      <c r="O1407" s="173"/>
      <c r="P1407" s="173"/>
    </row>
    <row r="1408" s="61" customFormat="1" ht="30" customHeight="1" spans="1:16">
      <c r="A1408" s="130"/>
      <c r="B1408" s="36"/>
      <c r="C1408" s="25"/>
      <c r="D1408" s="25"/>
      <c r="E1408" s="36"/>
      <c r="F1408" s="131" t="s">
        <v>1574</v>
      </c>
      <c r="G1408" s="59" t="s">
        <v>1575</v>
      </c>
      <c r="H1408" s="132" t="s">
        <v>4376</v>
      </c>
      <c r="I1408" s="131" t="s">
        <v>302</v>
      </c>
      <c r="J1408" s="31" t="str">
        <f>INDEX(数据元说明!A:F,MATCH(I1408,数据元说明!C:C,0),2)</f>
        <v>001005</v>
      </c>
      <c r="K1408" s="133" t="str">
        <f>INDEX(数据元说明!A:F,MATCH(I1408,数据元说明!C:C,0),5)</f>
        <v>YYYYMMDD，默认值99991231。</v>
      </c>
      <c r="L1408" s="31" t="str">
        <f>INDEX(数据元说明!A:F,MATCH(I1408,数据元说明!C:C,0),6)</f>
        <v>C8</v>
      </c>
      <c r="M1408" s="133" t="s">
        <v>1577</v>
      </c>
      <c r="N1408" s="33"/>
      <c r="O1408" s="99"/>
      <c r="P1408" s="41"/>
    </row>
    <row r="1409" s="61" customFormat="1" ht="30" customHeight="1" spans="1:16">
      <c r="A1409" s="119" t="s">
        <v>4377</v>
      </c>
      <c r="B1409" s="120" t="s">
        <v>211</v>
      </c>
      <c r="C1409" s="121"/>
      <c r="D1409" s="121"/>
      <c r="E1409" s="120"/>
      <c r="F1409" s="122"/>
      <c r="G1409" s="123"/>
      <c r="H1409" s="174"/>
      <c r="I1409" s="122"/>
      <c r="J1409" s="123"/>
      <c r="K1409" s="124"/>
      <c r="L1409" s="123"/>
      <c r="M1409" s="175"/>
      <c r="N1409" s="99"/>
      <c r="O1409" s="99"/>
      <c r="P1409" s="99"/>
    </row>
    <row r="1410" s="61" customFormat="1" ht="30" customHeight="1" spans="1:16">
      <c r="A1410" s="249"/>
      <c r="B1410" s="52"/>
      <c r="C1410" s="50" t="s">
        <v>212</v>
      </c>
      <c r="D1410" s="51" t="s">
        <v>210</v>
      </c>
      <c r="E1410" s="250" t="s">
        <v>4378</v>
      </c>
      <c r="F1410" s="251"/>
      <c r="G1410" s="53"/>
      <c r="H1410" s="250"/>
      <c r="I1410" s="251"/>
      <c r="J1410" s="53"/>
      <c r="K1410" s="252"/>
      <c r="L1410" s="53"/>
      <c r="M1410" s="128" t="str">
        <f>INDEX(表结构总览!E:H,MATCH(D1410,表结构总览!E:E,0),4)</f>
        <v>报送人民银行的资产负债科目统计表数据，内容根据最新人行全科目上报情况上报。报送范围：仅报送总行法人、分行层级汇总报表，对于无对应机构的汇总报表（如XX市XX区汇总）无需报送。报送周期与报送人行周期一致，若当月无新增则无需报送。</v>
      </c>
      <c r="N1410" s="99"/>
      <c r="O1410" s="99"/>
      <c r="P1410" s="99"/>
    </row>
    <row r="1411" s="81" customFormat="1" ht="30" customHeight="1" outlineLevel="1" spans="1:16">
      <c r="A1411" s="154"/>
      <c r="B1411" s="155"/>
      <c r="C1411" s="156"/>
      <c r="D1411" s="156"/>
      <c r="E1411" s="155"/>
      <c r="F1411" s="157" t="s">
        <v>399</v>
      </c>
      <c r="G1411" s="43" t="s">
        <v>4379</v>
      </c>
      <c r="H1411" s="153" t="s">
        <v>4380</v>
      </c>
      <c r="I1411" s="157" t="s">
        <v>399</v>
      </c>
      <c r="J1411" s="43" t="str">
        <f>INDEX(数据元说明!A:F,MATCH(I1411,数据元说明!C:C,0),2)</f>
        <v>001029</v>
      </c>
      <c r="K1411" s="158" t="str">
        <f>INDEX(数据元说明!A:F,MATCH(I1411,数据元说明!C:C,0),5)</f>
        <v>上报人行全科目时所用的金融机构代码。金融机构代码由中国人民银行统一编发。第一级：清算中心编码，占4个字节。规定一个中心城市范围内只能用中心城市人民银行的清算中心代码，不能使用人民银行县级支行清算中心代码。第二级：机构代码，占3个字节。在原1位银行行别和保险公司标志代码（GB13496-92）的基础上，左右各扩充1位。最左边1位可以作为机构类别代码，将顺序编码法改为分类编码法。数据资源不足时，可以向英文字母A-Z扩充。第三级：分支机构代码，占3个字节。第1位为中心城市下属地区（主要是下属县或县级市、区）编码，若数字资源不足时，可以向英文字母A-Z扩充。后2位为金融机构顺序号。第四级：校验码，占1个字节，计算方法沿用“全国清算中心代码”中的规定。</v>
      </c>
      <c r="L1411" s="43" t="str">
        <f>INDEX(数据元说明!A:F,MATCH(I1411,数据元说明!C:C,0),6)</f>
        <v>C..30</v>
      </c>
      <c r="M1411" s="158"/>
      <c r="N1411" s="140" t="s">
        <v>25</v>
      </c>
      <c r="O1411" s="140" t="s">
        <v>449</v>
      </c>
      <c r="P1411" s="139" t="s">
        <v>4381</v>
      </c>
    </row>
    <row r="1412" ht="30" customHeight="1" outlineLevel="1" spans="1:16">
      <c r="E1412" s="94"/>
      <c r="F1412" s="97" t="s">
        <v>333</v>
      </c>
      <c r="G1412" s="29" t="s">
        <v>1523</v>
      </c>
      <c r="H1412" s="96" t="s">
        <v>4382</v>
      </c>
      <c r="I1412" s="97" t="s">
        <v>333</v>
      </c>
      <c r="J1412" s="29" t="str">
        <f>INDEX(数据元说明!A:F,MATCH(I1412,数据元说明!C:C,0),2)</f>
        <v>001012</v>
      </c>
      <c r="K1412" s="98" t="str">
        <f>INDEX(数据元说明!A:F,MATCH(I1412,数据元说明!C:C,0),5)</f>
        <v>银行内部机构号。应具有标识机构的唯一性。</v>
      </c>
      <c r="L1412" s="29" t="str">
        <f>INDEX(数据元说明!A:F,MATCH(I1412,数据元说明!C:C,0),6)</f>
        <v>C..30</v>
      </c>
      <c r="M1412" s="98" t="s">
        <v>1619</v>
      </c>
      <c r="P1412" s="99"/>
    </row>
    <row r="1413" s="92" customFormat="1" ht="30" customHeight="1" outlineLevel="1" spans="1:16">
      <c r="A1413" s="93"/>
      <c r="B1413" s="94"/>
      <c r="C1413" s="95"/>
      <c r="D1413" s="95"/>
      <c r="E1413" s="94"/>
      <c r="F1413" s="98" t="s">
        <v>1532</v>
      </c>
      <c r="G1413" s="101" t="s">
        <v>1533</v>
      </c>
      <c r="H1413" s="96" t="s">
        <v>4383</v>
      </c>
      <c r="I1413" s="98" t="s">
        <v>282</v>
      </c>
      <c r="J1413" s="101" t="str">
        <f>INDEX(数据元说明!A:F,MATCH(I1413,数据元说明!C:C,0),2)</f>
        <v>001001</v>
      </c>
      <c r="K1413" s="98" t="str">
        <f>INDEX(数据元说明!A:F,MATCH(I1413,数据元说明!C:C,0),5)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13" s="101" t="str">
        <f>INDEX(数据元说明!A:F,MATCH(I1413,数据元说明!C:C,0),6)</f>
        <v>C..400</v>
      </c>
      <c r="M1413" s="133" t="s">
        <v>1584</v>
      </c>
      <c r="N1413" s="99"/>
      <c r="O1413" s="99"/>
      <c r="P1413" s="99"/>
    </row>
    <row r="1414" ht="30" customHeight="1" outlineLevel="1" spans="1:16">
      <c r="E1414" s="94"/>
      <c r="F1414" s="97" t="s">
        <v>595</v>
      </c>
      <c r="G1414" s="29" t="s">
        <v>4384</v>
      </c>
      <c r="H1414" s="96" t="s">
        <v>4385</v>
      </c>
      <c r="I1414" s="97" t="s">
        <v>595</v>
      </c>
      <c r="J1414" s="29" t="str">
        <f>INDEX(数据元说明!A:F,MATCH(I1414,数据元说明!C:C,0),2)</f>
        <v>003007</v>
      </c>
      <c r="K1414" s="98" t="str">
        <f>INDEX(数据元说明!A:F,MATCH(I1414,数据元说明!C:C,0),5)</f>
        <v>参照《中国人民银行关于建立金融基础数据统计制度的通知》（银发[2020]164号）中的统计指标编码填报。如：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v>
      </c>
      <c r="L1414" s="29" t="str">
        <f>INDEX(数据元说明!A:F,MATCH(I1414,数据元说明!C:C,0),6)</f>
        <v>C..20</v>
      </c>
      <c r="M1414" s="98" t="s">
        <v>4386</v>
      </c>
      <c r="P1414" s="99"/>
    </row>
    <row r="1415" ht="30" customHeight="1" outlineLevel="1" spans="1:16">
      <c r="E1415" s="94"/>
      <c r="F1415" s="97" t="s">
        <v>599</v>
      </c>
      <c r="G1415" s="29" t="s">
        <v>4387</v>
      </c>
      <c r="H1415" s="96" t="s">
        <v>4388</v>
      </c>
      <c r="I1415" s="97" t="s">
        <v>599</v>
      </c>
      <c r="J1415" s="29" t="str">
        <f>INDEX(数据元说明!A:F,MATCH(I1415,数据元说明!C:C,0),2)</f>
        <v>003008</v>
      </c>
      <c r="K1415" s="98" t="str">
        <f>INDEX(数据元说明!A:F,MATCH(I1415,数据元说明!C:C,0),5)</f>
        <v>参照《中国人民银行关于建立金融基础数据统计制度的通知》（银发[2020]164号）中的统计指标名称填报。如：
单位存款：单位活期存款-12MG4/22MG4；单位定期存款-12MGB/22MGB；单位通知存款-12MGI/22MGI；单位协议存款-12MGR/22MGR；单位协定存款-12MH4/22MH4；单位保证金存款-12MHB/22MHB；单位结构性存款-12MHI/22MHI
个人存款：个人活期存款-12MI2/22MI2；个人定期存款-12MI4/22MI4；个人定活两便存款-12MI6/22MI6；个人通知存款-12MI8/22MI8；个人协议存款是A1411/2411 12MIA/22MIA ；个人协定存款-12MIC/22MIC；个人保证金存款-12MIE/22MIE；个人结构性存款-12MIG/22MIG
普通贷款：单位经营贷款-12M3H/22M3H；单位固定资产贷款-12M3I/22M3I；个人贷款-12M36/22M36；对非居民贷款-12M4E/22M4E ；单位经营贷款-12M5C/22M5C ；单位固定资产贷款-12M5D/22M5D；一般委托贷款-34R03</v>
      </c>
      <c r="L1415" s="29" t="str">
        <f>INDEX(数据元说明!A:F,MATCH(I1415,数据元说明!C:C,0),6)</f>
        <v>C..120</v>
      </c>
      <c r="P1415" s="99"/>
    </row>
    <row r="1416" ht="30" customHeight="1" outlineLevel="1" spans="1:16">
      <c r="E1416" s="94"/>
      <c r="F1416" s="97" t="s">
        <v>4389</v>
      </c>
      <c r="G1416" s="29" t="s">
        <v>4390</v>
      </c>
      <c r="H1416" s="96" t="s">
        <v>4391</v>
      </c>
      <c r="I1416" s="97" t="s">
        <v>609</v>
      </c>
      <c r="J1416" s="29" t="str">
        <f>INDEX(数据元说明!A:F,MATCH(I1416,数据元说明!C:C,0),2)</f>
        <v>003010</v>
      </c>
      <c r="K1416" s="98" t="str">
        <f>INDEX(数据元说明!A:F,MATCH(I1416,数据元说明!C:C,0),5)</f>
        <v>与币种相对应金额。</v>
      </c>
      <c r="L1416" s="29" t="str">
        <f>INDEX(数据元说明!A:F,MATCH(I1416,数据元说明!C:C,0),6)</f>
        <v>D20.2</v>
      </c>
      <c r="P1416" s="99"/>
    </row>
    <row r="1417" ht="30" customHeight="1" outlineLevel="1" spans="1:16">
      <c r="E1417" s="94"/>
      <c r="F1417" s="97" t="s">
        <v>1077</v>
      </c>
      <c r="G1417" s="29" t="s">
        <v>4392</v>
      </c>
      <c r="H1417" s="96" t="s">
        <v>4393</v>
      </c>
      <c r="I1417" s="97" t="s">
        <v>1077</v>
      </c>
      <c r="J1417" s="29" t="str">
        <f>INDEX(数据元说明!A:F,MATCH(I1417,数据元说明!C:C,0),2)</f>
        <v>008001</v>
      </c>
      <c r="K1417" s="98" t="str">
        <f>INDEX(数据元说明!A:F,MATCH(I1417,数据元说明!C:C,0),5)</f>
        <v>天，周，旬，月，季，半年，年。</v>
      </c>
      <c r="L1417" s="29" t="str">
        <f>INDEX(数据元说明!A:F,MATCH(I1417,数据元说明!C:C,0),6)</f>
        <v>C..6</v>
      </c>
      <c r="M1417" s="98" t="s">
        <v>1525</v>
      </c>
      <c r="P1417" s="99"/>
    </row>
    <row r="1418" ht="30" customHeight="1" outlineLevel="1" spans="1:16">
      <c r="E1418" s="94"/>
      <c r="F1418" s="97" t="s">
        <v>4394</v>
      </c>
      <c r="G1418" s="29" t="s">
        <v>4395</v>
      </c>
      <c r="H1418" s="96" t="s">
        <v>4396</v>
      </c>
      <c r="I1418" s="97" t="s">
        <v>302</v>
      </c>
      <c r="J1418" s="29" t="str">
        <f>INDEX(数据元说明!A:F,MATCH(I1418,数据元说明!C:C,0),2)</f>
        <v>001005</v>
      </c>
      <c r="K1418" s="98" t="str">
        <f>INDEX(数据元说明!A:F,MATCH(I1418,数据元说明!C:C,0),5)</f>
        <v>YYYYMMDD，默认值99991231。</v>
      </c>
      <c r="L1418" s="29" t="str">
        <f>INDEX(数据元说明!A:F,MATCH(I1418,数据元说明!C:C,0),6)</f>
        <v>C8</v>
      </c>
      <c r="M1418" s="98" t="s">
        <v>1525</v>
      </c>
      <c r="P1418" s="99"/>
    </row>
    <row r="1419" ht="30" customHeight="1" outlineLevel="1" spans="1:16">
      <c r="E1419" s="94"/>
      <c r="F1419" s="97" t="s">
        <v>624</v>
      </c>
      <c r="G1419" s="29" t="s">
        <v>1989</v>
      </c>
      <c r="H1419" s="96" t="s">
        <v>4397</v>
      </c>
      <c r="I1419" s="97" t="s">
        <v>624</v>
      </c>
      <c r="J1419" s="29" t="str">
        <f>INDEX(数据元说明!A:F,MATCH(I1419,数据元说明!C:C,0),2)</f>
        <v>003014</v>
      </c>
      <c r="K1419" s="98" t="str">
        <f>INDEX(数据元说明!A:F,MATCH(I1419,数据元说明!C:C,0),5)</f>
        <v>遵循《GB/T 12406 表示货币和资金的代码》的字母代码，如CNY。上述文件所列币种无法涵盖的，允许银行自定义填报。多个币种合计折算为人民币（本外币合计）的，填报为BWB。</v>
      </c>
      <c r="L1419" s="29" t="str">
        <f>INDEX(数据元说明!A:F,MATCH(I1419,数据元说明!C:C,0),6)</f>
        <v>C3</v>
      </c>
      <c r="M1419" s="98" t="s">
        <v>1525</v>
      </c>
      <c r="P1419" s="99"/>
    </row>
    <row r="1420" ht="30" customHeight="1" outlineLevel="1" spans="1:16">
      <c r="E1420" s="94"/>
      <c r="F1420" s="97" t="s">
        <v>403</v>
      </c>
      <c r="G1420" s="29" t="s">
        <v>4398</v>
      </c>
      <c r="H1420" s="96" t="s">
        <v>4399</v>
      </c>
      <c r="I1420" s="97" t="s">
        <v>403</v>
      </c>
      <c r="J1420" s="29" t="str">
        <f>INDEX(数据元说明!A:F,MATCH(I1420,数据元说明!C:C,0),2)</f>
        <v>001030</v>
      </c>
      <c r="K1420" s="98" t="str">
        <f>INDEX(数据元说明!A:F,MATCH(I1420,数据元说明!C:C,0),5)</f>
        <v>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v>
      </c>
      <c r="L1420" s="29" t="str">
        <f>INDEX(数据元说明!A:F,MATCH(I1420,数据元说明!C:C,0),6)</f>
        <v>C..400</v>
      </c>
      <c r="P1420" s="99"/>
    </row>
    <row r="1421" ht="30" customHeight="1" outlineLevel="1" spans="1:16">
      <c r="A1421" s="159"/>
      <c r="B1421" s="160"/>
      <c r="E1421" s="94"/>
      <c r="F1421" s="97" t="s">
        <v>1540</v>
      </c>
      <c r="G1421" s="29" t="s">
        <v>1541</v>
      </c>
      <c r="H1421" s="96" t="s">
        <v>4400</v>
      </c>
      <c r="I1421" s="97" t="s">
        <v>407</v>
      </c>
      <c r="J1421" s="29" t="str">
        <f>INDEX(数据元说明!A:F,MATCH(I1421,数据元说明!C:C,0),2)</f>
        <v>001031</v>
      </c>
      <c r="K1421" s="98" t="str">
        <f>INDEX(数据元说明!A:F,MATCH(I1421,数据元说明!C:C,0),5)</f>
        <v>境内地区参照《GB/T 2260-2020 中华人民共和国行政区划代码》填写国内行政区划代码，填写至二级分类，如110100。境外地区参照《GB/T 2659 世界各国和地区名称代码》定义的三字符代码，如USA。</v>
      </c>
      <c r="L1421" s="29" t="str">
        <f>INDEX(数据元说明!A:F,MATCH(I1421,数据元说明!C:C,0),6)</f>
        <v>C..6</v>
      </c>
      <c r="P1421" s="99"/>
    </row>
    <row r="1422" s="81" customFormat="1" ht="30" customHeight="1" outlineLevel="1" spans="1:16">
      <c r="A1422" s="134"/>
      <c r="B1422" s="47"/>
      <c r="C1422" s="39"/>
      <c r="D1422" s="39"/>
      <c r="E1422" s="47"/>
      <c r="F1422" s="169" t="s">
        <v>449</v>
      </c>
      <c r="G1422" s="148" t="s">
        <v>1571</v>
      </c>
      <c r="H1422" s="148" t="s">
        <v>4401</v>
      </c>
      <c r="I1422" s="169" t="s">
        <v>449</v>
      </c>
      <c r="J1422" s="170" t="str">
        <f>INDEX(数据元说明!A:F,MATCH(I1422,数据元说明!C:C,0),2)</f>
        <v>001040</v>
      </c>
      <c r="K1422" s="171" t="str">
        <f>INDEX(数据元说明!A:F,MATCH(I1422,数据元说明!C:C,0),5)</f>
        <v>银行自定义。</v>
      </c>
      <c r="L1422" s="170" t="str">
        <f>INDEX(数据元说明!A:F,MATCH(I1422,数据元说明!C:C,0),6)</f>
        <v>C..600</v>
      </c>
      <c r="M1422" s="149" t="s">
        <v>1573</v>
      </c>
      <c r="N1422" s="172" t="s">
        <v>57</v>
      </c>
      <c r="O1422" s="173"/>
      <c r="P1422" s="173"/>
    </row>
    <row r="1423" ht="30" customHeight="1" outlineLevel="1" spans="1:16">
      <c r="E1423" s="94"/>
      <c r="F1423" s="97" t="s">
        <v>1574</v>
      </c>
      <c r="G1423" s="29" t="s">
        <v>1575</v>
      </c>
      <c r="H1423" s="96" t="s">
        <v>4402</v>
      </c>
      <c r="I1423" s="97" t="s">
        <v>302</v>
      </c>
      <c r="J1423" s="29" t="str">
        <f>INDEX(数据元说明!A:F,MATCH(I1423,数据元说明!C:C,0),2)</f>
        <v>001005</v>
      </c>
      <c r="K1423" s="98" t="str">
        <f>INDEX(数据元说明!A:F,MATCH(I1423,数据元说明!C:C,0),5)</f>
        <v>YYYYMMDD，默认值99991231。</v>
      </c>
      <c r="L1423" s="29" t="str">
        <f>INDEX(数据元说明!A:F,MATCH(I1423,数据元说明!C:C,0),6)</f>
        <v>C8</v>
      </c>
      <c r="M1423" s="98" t="s">
        <v>1577</v>
      </c>
      <c r="P1423" s="99"/>
    </row>
    <row r="1424" s="61" customFormat="1" ht="30" customHeight="1" spans="1:16">
      <c r="A1424" s="119" t="s">
        <v>214</v>
      </c>
      <c r="B1424" s="120" t="s">
        <v>4403</v>
      </c>
      <c r="C1424" s="121"/>
      <c r="D1424" s="121"/>
      <c r="E1424" s="120"/>
      <c r="F1424" s="122"/>
      <c r="G1424" s="123"/>
      <c r="H1424" s="174"/>
      <c r="I1424" s="122"/>
      <c r="J1424" s="123"/>
      <c r="K1424" s="124"/>
      <c r="L1424" s="123"/>
      <c r="M1424" s="175"/>
      <c r="N1424" s="99"/>
      <c r="O1424" s="99"/>
      <c r="P1424" s="99"/>
    </row>
    <row r="1425" s="81" customFormat="1" ht="30" customHeight="1" spans="1:16">
      <c r="A1425" s="37"/>
      <c r="B1425" s="37"/>
      <c r="C1425" s="253" t="s">
        <v>216</v>
      </c>
      <c r="D1425" s="254" t="s">
        <v>217</v>
      </c>
      <c r="E1425" s="183">
        <v>1001</v>
      </c>
      <c r="F1425" s="182"/>
      <c r="G1425" s="183"/>
      <c r="H1425" s="183"/>
      <c r="I1425" s="182"/>
      <c r="J1425" s="255"/>
      <c r="K1425" s="182"/>
      <c r="L1425" s="37"/>
      <c r="M1425" s="128" t="str">
        <f>INDEX(表结构总览!E:H,MATCH(D1425,表结构总览!E:E,0),4)</f>
        <v>报送由出票人签发并向填报机构申请，经填报机构承兑的汇票。报送范围：参照1104报表G01_I_1《表外业务情况表》[1.承兑汇票]填报口径。票据状态为卖断（转贴现卖断），解付（票据到期且出票人已付款）的数据，在报送票据最后状态的次月可不再报送。</v>
      </c>
      <c r="N1425" s="129" t="s">
        <v>25</v>
      </c>
      <c r="O1425" s="129" t="s">
        <v>20</v>
      </c>
      <c r="P1425" s="139" t="s">
        <v>4404</v>
      </c>
    </row>
    <row r="1426" ht="30" customHeight="1" outlineLevel="1" spans="1:16">
      <c r="A1426" s="159"/>
      <c r="B1426" s="160"/>
      <c r="E1426" s="94"/>
      <c r="F1426" s="97" t="s">
        <v>325</v>
      </c>
      <c r="G1426" s="29" t="s">
        <v>1520</v>
      </c>
      <c r="H1426" s="96" t="s">
        <v>4405</v>
      </c>
      <c r="I1426" s="97" t="s">
        <v>325</v>
      </c>
      <c r="J1426" s="29" t="str">
        <f>INDEX(数据元说明!A:F,MATCH(I1426,数据元说明!C:C,0),2)</f>
        <v>001010</v>
      </c>
      <c r="K1426" s="98" t="str">
        <f>INDEX(数据元说明!A:F,MATCH(I1426,数据元说明!C:C,0),5)</f>
        <v>12位人行支付行号或SWIFT行号。</v>
      </c>
      <c r="L1426" s="29" t="str">
        <f>INDEX(数据元说明!A:F,MATCH(I1426,数据元说明!C:C,0),6)</f>
        <v>C..30</v>
      </c>
      <c r="M1426" s="98" t="s">
        <v>4406</v>
      </c>
      <c r="P1426" s="99"/>
    </row>
    <row r="1427" s="61" customFormat="1" ht="30" customHeight="1" outlineLevel="1" spans="1:16">
      <c r="A1427" s="130"/>
      <c r="B1427" s="36"/>
      <c r="C1427" s="25"/>
      <c r="D1427" s="25"/>
      <c r="E1427" s="36"/>
      <c r="F1427" s="131" t="s">
        <v>329</v>
      </c>
      <c r="G1427" s="31" t="s">
        <v>1526</v>
      </c>
      <c r="H1427" s="96" t="s">
        <v>4407</v>
      </c>
      <c r="I1427" s="131" t="s">
        <v>329</v>
      </c>
      <c r="J1427" s="31" t="str">
        <f>INDEX(数据元说明!A:F,MATCH(I1427,数据元说明!C:C,0),2)</f>
        <v>001011</v>
      </c>
      <c r="K1427" s="133" t="str">
        <f>INDEX(数据元说明!A:F,MATCH(I1427,数据元说明!C:C,0),5)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27" s="31" t="str">
        <f>INDEX(数据元说明!A:F,MATCH(I1427,数据元说明!C:C,0),6)</f>
        <v>C..30</v>
      </c>
      <c r="M1427" s="133" t="s">
        <v>4408</v>
      </c>
      <c r="N1427" s="99"/>
      <c r="O1427" s="99"/>
      <c r="P1427" s="99"/>
    </row>
    <row r="1428" ht="30" customHeight="1" outlineLevel="1" spans="1:16">
      <c r="A1428" s="159"/>
      <c r="B1428" s="160"/>
      <c r="E1428" s="94"/>
      <c r="F1428" s="97" t="s">
        <v>333</v>
      </c>
      <c r="G1428" s="29" t="s">
        <v>1523</v>
      </c>
      <c r="H1428" s="96" t="s">
        <v>4409</v>
      </c>
      <c r="I1428" s="97" t="s">
        <v>333</v>
      </c>
      <c r="J1428" s="29" t="str">
        <f>INDEX(数据元说明!A:F,MATCH(I1428,数据元说明!C:C,0),2)</f>
        <v>001012</v>
      </c>
      <c r="K1428" s="98" t="str">
        <f>INDEX(数据元说明!A:F,MATCH(I1428,数据元说明!C:C,0),5)</f>
        <v>银行内部机构号。应具有标识机构的唯一性。</v>
      </c>
      <c r="L1428" s="29" t="str">
        <f>INDEX(数据元说明!A:F,MATCH(I1428,数据元说明!C:C,0),6)</f>
        <v>C..30</v>
      </c>
      <c r="M1428" s="98" t="s">
        <v>4410</v>
      </c>
      <c r="P1428" s="99"/>
    </row>
    <row r="1429" s="92" customFormat="1" ht="30" customHeight="1" outlineLevel="1" spans="1:16">
      <c r="A1429" s="93"/>
      <c r="B1429" s="94"/>
      <c r="C1429" s="95"/>
      <c r="D1429" s="95"/>
      <c r="E1429" s="94"/>
      <c r="F1429" s="98" t="s">
        <v>1532</v>
      </c>
      <c r="G1429" s="101" t="s">
        <v>1533</v>
      </c>
      <c r="H1429" s="96" t="s">
        <v>4411</v>
      </c>
      <c r="I1429" s="98" t="s">
        <v>282</v>
      </c>
      <c r="J1429" s="101" t="str">
        <f>INDEX(数据元说明!A:F,MATCH(I1429,数据元说明!C:C,0),2)</f>
        <v>001001</v>
      </c>
      <c r="K1429" s="98" t="str">
        <f>INDEX(数据元说明!A:F,MATCH(I1429,数据元说明!C:C,0),5)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29" s="101" t="str">
        <f>INDEX(数据元说明!A:F,MATCH(I1429,数据元说明!C:C,0),6)</f>
        <v>C..400</v>
      </c>
      <c r="M1429" s="133" t="s">
        <v>4412</v>
      </c>
      <c r="N1429" s="99"/>
      <c r="O1429" s="99"/>
      <c r="P1429" s="99"/>
    </row>
    <row r="1430" s="81" customFormat="1" ht="30" customHeight="1" outlineLevel="1" spans="1:16">
      <c r="A1430" s="167"/>
      <c r="B1430" s="168"/>
      <c r="C1430" s="176"/>
      <c r="D1430" s="176"/>
      <c r="E1430" s="168"/>
      <c r="F1430" s="157" t="s">
        <v>2325</v>
      </c>
      <c r="G1430" s="43" t="s">
        <v>2326</v>
      </c>
      <c r="H1430" s="153" t="s">
        <v>4413</v>
      </c>
      <c r="I1430" s="135" t="s">
        <v>574</v>
      </c>
      <c r="J1430" s="43" t="str">
        <f>INDEX(数据元说明!A:F,MATCH(I1430,数据元说明!C:C,0),2)</f>
        <v>003002</v>
      </c>
      <c r="K1430" s="158" t="str">
        <f>INDEX(数据元说明!A:F,MATCH(I1430,数据元说明!C:C,0),5)</f>
        <v>机构实际使用的总账会计科目编码。</v>
      </c>
      <c r="L1430" s="43" t="str">
        <f>INDEX(数据元说明!A:F,MATCH(I1430,数据元说明!C:C,0),6)</f>
        <v>C..200</v>
      </c>
      <c r="M1430" s="138" t="s">
        <v>2328</v>
      </c>
      <c r="N1430" s="139" t="s">
        <v>25</v>
      </c>
      <c r="O1430" s="139" t="s">
        <v>1613</v>
      </c>
      <c r="P1430" s="139" t="s">
        <v>1588</v>
      </c>
    </row>
    <row r="1431" s="81" customFormat="1" ht="30" customHeight="1" outlineLevel="1" spans="1:16">
      <c r="A1431" s="167"/>
      <c r="B1431" s="168"/>
      <c r="C1431" s="176"/>
      <c r="D1431" s="176"/>
      <c r="E1431" s="168"/>
      <c r="F1431" s="157" t="s">
        <v>2329</v>
      </c>
      <c r="G1431" s="43" t="s">
        <v>2330</v>
      </c>
      <c r="H1431" s="153" t="s">
        <v>4414</v>
      </c>
      <c r="I1431" s="135" t="s">
        <v>578</v>
      </c>
      <c r="J1431" s="43" t="str">
        <f>INDEX(数据元说明!A:F,MATCH(I1431,数据元说明!C:C,0),2)</f>
        <v>003003</v>
      </c>
      <c r="K1431" s="158" t="str">
        <f>INDEX(数据元说明!A:F,MATCH(I1431,数据元说明!C:C,0),5)</f>
        <v>机构实际使用的总账会计科目编码对应的名称。</v>
      </c>
      <c r="L1431" s="43" t="str">
        <f>INDEX(数据元说明!A:F,MATCH(I1431,数据元说明!C:C,0),6)</f>
        <v>C..200</v>
      </c>
      <c r="M1431" s="138" t="s">
        <v>2328</v>
      </c>
      <c r="N1431" s="139" t="s">
        <v>25</v>
      </c>
      <c r="O1431" s="139" t="s">
        <v>449</v>
      </c>
      <c r="P1431" s="139" t="s">
        <v>1588</v>
      </c>
    </row>
    <row r="1432" s="61" customFormat="1" ht="30" customHeight="1" outlineLevel="1" spans="1:16">
      <c r="A1432" s="159"/>
      <c r="B1432" s="160"/>
      <c r="C1432" s="95"/>
      <c r="D1432" s="95"/>
      <c r="E1432" s="94"/>
      <c r="F1432" s="97" t="s">
        <v>795</v>
      </c>
      <c r="G1432" s="29" t="s">
        <v>3357</v>
      </c>
      <c r="H1432" s="96" t="s">
        <v>4415</v>
      </c>
      <c r="I1432" s="97" t="s">
        <v>795</v>
      </c>
      <c r="J1432" s="408" t="str">
        <f>INDEX(数据元说明!A:F,MATCH(I1432,数据元说明!C:C,0),2)</f>
        <v>005015</v>
      </c>
      <c r="K1432" s="98" t="str">
        <f>INDEX(数据元说明!A:F,MATCH(I1432,数据元说明!C:C,0),5)</f>
        <v>票据号码。</v>
      </c>
      <c r="L1432" s="29" t="str">
        <f>INDEX(数据元说明!A:F,MATCH(I1432,数据元说明!C:C,0),6)</f>
        <v>C..60</v>
      </c>
      <c r="M1432" s="98" t="s">
        <v>1525</v>
      </c>
      <c r="N1432" s="33" t="s">
        <v>25</v>
      </c>
      <c r="O1432" s="99"/>
      <c r="P1432" s="33" t="s">
        <v>1588</v>
      </c>
    </row>
    <row r="1433" ht="30" customHeight="1" outlineLevel="1" spans="1:16">
      <c r="A1433" s="159"/>
      <c r="B1433" s="160"/>
      <c r="E1433" s="94"/>
      <c r="F1433" s="97" t="s">
        <v>803</v>
      </c>
      <c r="G1433" s="29" t="s">
        <v>3359</v>
      </c>
      <c r="H1433" s="96" t="s">
        <v>4416</v>
      </c>
      <c r="I1433" s="97" t="s">
        <v>803</v>
      </c>
      <c r="J1433" s="408" t="str">
        <f>INDEX(数据元说明!A:F,MATCH(I1433,数据元说明!C:C,0),2)</f>
        <v>005017</v>
      </c>
      <c r="K1433" s="98" t="str">
        <f>INDEX(数据元说明!A:F,MATCH(I1433,数据元说明!C:C,0),5)</f>
        <v>银行承兑汇票，商业承兑汇票。</v>
      </c>
      <c r="L1433" s="29" t="str">
        <f>INDEX(数据元说明!A:F,MATCH(I1433,数据元说明!C:C,0),6)</f>
        <v>C..30</v>
      </c>
      <c r="P1433" s="99"/>
    </row>
    <row r="1434" s="61" customFormat="1" ht="30" customHeight="1" outlineLevel="1" spans="1:16">
      <c r="A1434" s="159"/>
      <c r="B1434" s="160"/>
      <c r="C1434" s="95"/>
      <c r="D1434" s="95"/>
      <c r="E1434" s="94"/>
      <c r="F1434" s="97" t="s">
        <v>624</v>
      </c>
      <c r="G1434" s="29" t="s">
        <v>1989</v>
      </c>
      <c r="H1434" s="96" t="s">
        <v>4417</v>
      </c>
      <c r="I1434" s="97" t="s">
        <v>624</v>
      </c>
      <c r="J1434" s="29" t="str">
        <f>INDEX(数据元说明!A:F,MATCH(I1434,数据元说明!C:C,0),2)</f>
        <v>003014</v>
      </c>
      <c r="K1434" s="98" t="str">
        <f>INDEX(数据元说明!A:F,MATCH(I1434,数据元说明!C:C,0),5)</f>
        <v>遵循《GB/T 12406 表示货币和资金的代码》的字母代码，如CNY。上述文件所列币种无法涵盖的，允许银行自定义填报。多个币种合计折算为人民币（本外币合计）的，填报为BWB。</v>
      </c>
      <c r="L1434" s="29" t="str">
        <f>INDEX(数据元说明!A:F,MATCH(I1434,数据元说明!C:C,0),6)</f>
        <v>C3</v>
      </c>
      <c r="M1434" s="98"/>
      <c r="N1434" s="33" t="s">
        <v>25</v>
      </c>
      <c r="O1434" s="99"/>
      <c r="P1434" s="226" t="s">
        <v>1588</v>
      </c>
    </row>
    <row r="1435" s="61" customFormat="1" ht="30" customHeight="1" outlineLevel="1" spans="1:16">
      <c r="A1435" s="159"/>
      <c r="B1435" s="160"/>
      <c r="C1435" s="95"/>
      <c r="D1435" s="95"/>
      <c r="E1435" s="94"/>
      <c r="F1435" s="97" t="s">
        <v>3362</v>
      </c>
      <c r="G1435" s="29" t="s">
        <v>3363</v>
      </c>
      <c r="H1435" s="96" t="s">
        <v>4418</v>
      </c>
      <c r="I1435" s="97" t="s">
        <v>609</v>
      </c>
      <c r="J1435" s="29" t="str">
        <f>INDEX(数据元说明!A:F,MATCH(I1435,数据元说明!C:C,0),2)</f>
        <v>003010</v>
      </c>
      <c r="K1435" s="98" t="str">
        <f>INDEX(数据元说明!A:F,MATCH(I1435,数据元说明!C:C,0),5)</f>
        <v>与币种相对应金额。</v>
      </c>
      <c r="L1435" s="29" t="str">
        <f>INDEX(数据元说明!A:F,MATCH(I1435,数据元说明!C:C,0),6)</f>
        <v>D20.2</v>
      </c>
      <c r="M1435" s="98"/>
      <c r="N1435" s="33" t="s">
        <v>25</v>
      </c>
      <c r="O1435" s="99"/>
      <c r="P1435" s="226" t="s">
        <v>1588</v>
      </c>
    </row>
    <row r="1436" s="81" customFormat="1" ht="30" customHeight="1" outlineLevel="1" spans="1:16">
      <c r="A1436" s="167"/>
      <c r="B1436" s="168"/>
      <c r="C1436" s="156"/>
      <c r="D1436" s="156"/>
      <c r="E1436" s="155"/>
      <c r="F1436" s="157" t="s">
        <v>3365</v>
      </c>
      <c r="G1436" s="43" t="s">
        <v>3366</v>
      </c>
      <c r="H1436" s="153" t="s">
        <v>4419</v>
      </c>
      <c r="I1436" s="157" t="s">
        <v>302</v>
      </c>
      <c r="J1436" s="43" t="str">
        <f>INDEX(数据元说明!A:F,MATCH(I1436,数据元说明!C:C,0),2)</f>
        <v>001005</v>
      </c>
      <c r="K1436" s="158" t="str">
        <f>INDEX(数据元说明!A:F,MATCH(I1436,数据元说明!C:C,0),5)</f>
        <v>YYYYMMDD，默认值99991231。</v>
      </c>
      <c r="L1436" s="43" t="str">
        <f>INDEX(数据元说明!A:F,MATCH(I1436,数据元说明!C:C,0),6)</f>
        <v>C8</v>
      </c>
      <c r="M1436" s="158"/>
      <c r="N1436" s="187" t="s">
        <v>25</v>
      </c>
      <c r="O1436" s="187" t="s">
        <v>1513</v>
      </c>
      <c r="P1436" s="187" t="s">
        <v>1588</v>
      </c>
    </row>
    <row r="1437" s="61" customFormat="1" ht="30" customHeight="1" outlineLevel="1" spans="1:16">
      <c r="A1437" s="159"/>
      <c r="B1437" s="160"/>
      <c r="C1437" s="95"/>
      <c r="D1437" s="95"/>
      <c r="E1437" s="94"/>
      <c r="F1437" s="97" t="s">
        <v>3368</v>
      </c>
      <c r="G1437" s="29" t="s">
        <v>3369</v>
      </c>
      <c r="H1437" s="96" t="s">
        <v>4420</v>
      </c>
      <c r="I1437" s="97" t="s">
        <v>302</v>
      </c>
      <c r="J1437" s="29" t="str">
        <f>INDEX(数据元说明!A:F,MATCH(I1437,数据元说明!C:C,0),2)</f>
        <v>001005</v>
      </c>
      <c r="K1437" s="98" t="str">
        <f>INDEX(数据元说明!A:F,MATCH(I1437,数据元说明!C:C,0),5)</f>
        <v>YYYYMMDD，默认值99991231。</v>
      </c>
      <c r="L1437" s="29" t="str">
        <f>INDEX(数据元说明!A:F,MATCH(I1437,数据元说明!C:C,0),6)</f>
        <v>C8</v>
      </c>
      <c r="M1437" s="98"/>
      <c r="N1437" s="33" t="s">
        <v>25</v>
      </c>
      <c r="O1437" s="99"/>
      <c r="P1437" s="226" t="s">
        <v>1588</v>
      </c>
    </row>
    <row r="1438" s="81" customFormat="1" ht="30" customHeight="1" outlineLevel="1" spans="1:16">
      <c r="A1438" s="167"/>
      <c r="B1438" s="168"/>
      <c r="C1438" s="156"/>
      <c r="D1438" s="156"/>
      <c r="E1438" s="155"/>
      <c r="F1438" s="157" t="s">
        <v>799</v>
      </c>
      <c r="G1438" s="43" t="s">
        <v>4421</v>
      </c>
      <c r="H1438" s="153" t="s">
        <v>4422</v>
      </c>
      <c r="I1438" s="157" t="s">
        <v>799</v>
      </c>
      <c r="J1438" s="407" t="str">
        <f>INDEX(数据元说明!A:F,MATCH(I1438,数据元说明!C:C,0),2)</f>
        <v>005016</v>
      </c>
      <c r="K1438" s="158" t="str">
        <f>INDEX(数据元说明!A:F,MATCH(I1438,数据元说明!C:C,0),5)</f>
        <v>出票人客户统一编号。</v>
      </c>
      <c r="L1438" s="43" t="str">
        <f>INDEX(数据元说明!A:F,MATCH(I1438,数据元说明!C:C,0),6)</f>
        <v>C..60 </v>
      </c>
      <c r="M1438" s="158"/>
      <c r="N1438" s="140" t="s">
        <v>25</v>
      </c>
      <c r="O1438" s="139" t="s">
        <v>449</v>
      </c>
      <c r="P1438" s="140" t="s">
        <v>1588</v>
      </c>
    </row>
    <row r="1439" ht="30" customHeight="1" outlineLevel="1" spans="1:16">
      <c r="A1439" s="159"/>
      <c r="B1439" s="160"/>
      <c r="E1439" s="94"/>
      <c r="F1439" s="157" t="s">
        <v>3371</v>
      </c>
      <c r="G1439" s="43" t="s">
        <v>3372</v>
      </c>
      <c r="H1439" s="153" t="s">
        <v>4423</v>
      </c>
      <c r="I1439" s="157" t="s">
        <v>282</v>
      </c>
      <c r="J1439" s="43" t="str">
        <f>INDEX(数据元说明!A:F,MATCH(I1439,数据元说明!C:C,0),2)</f>
        <v>001001</v>
      </c>
      <c r="K1439" s="158" t="str">
        <f>INDEX(数据元说明!A:F,MATCH(I1439,数据元说明!C:C,0),5)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39" s="43" t="str">
        <f>INDEX(数据元说明!A:F,MATCH(I1439,数据元说明!C:C,0),6)</f>
        <v>C..400</v>
      </c>
      <c r="M1439" s="158" t="s">
        <v>4424</v>
      </c>
      <c r="N1439" s="139" t="s">
        <v>25</v>
      </c>
      <c r="O1439" s="139" t="s">
        <v>1613</v>
      </c>
      <c r="P1439" s="140"/>
    </row>
    <row r="1440" s="81" customFormat="1" ht="30" customHeight="1" outlineLevel="1" spans="1:16">
      <c r="A1440" s="167"/>
      <c r="B1440" s="168"/>
      <c r="C1440" s="156"/>
      <c r="D1440" s="156"/>
      <c r="E1440" s="155"/>
      <c r="F1440" s="157" t="s">
        <v>4425</v>
      </c>
      <c r="G1440" s="43" t="s">
        <v>4426</v>
      </c>
      <c r="H1440" s="153" t="s">
        <v>4427</v>
      </c>
      <c r="I1440" s="157" t="s">
        <v>697</v>
      </c>
      <c r="J1440" s="43" t="str">
        <f>INDEX(数据元说明!A:F,MATCH(I1440,数据元说明!C:C,0),2)</f>
        <v>003032</v>
      </c>
      <c r="K1440" s="158" t="str">
        <f>INDEX(数据元说明!A:F,MATCH(I1440,数据元说明!C:C,0),5)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440" s="43" t="str">
        <f>INDEX(数据元说明!A:F,MATCH(I1440,数据元说明!C:C,0),6)</f>
        <v>C..60</v>
      </c>
      <c r="M1440" s="158" t="s">
        <v>4428</v>
      </c>
      <c r="N1440" s="140" t="s">
        <v>25</v>
      </c>
      <c r="O1440" s="140"/>
      <c r="P1440" s="140" t="s">
        <v>1606</v>
      </c>
    </row>
    <row r="1441" s="81" customFormat="1" ht="30" customHeight="1" outlineLevel="1" spans="1:16">
      <c r="A1441" s="141"/>
      <c r="B1441" s="142"/>
      <c r="C1441" s="39"/>
      <c r="D1441" s="39"/>
      <c r="E1441" s="47"/>
      <c r="F1441" s="157" t="s">
        <v>4429</v>
      </c>
      <c r="G1441" s="136" t="s">
        <v>4430</v>
      </c>
      <c r="H1441" s="153" t="s">
        <v>4431</v>
      </c>
      <c r="I1441" s="135" t="s">
        <v>282</v>
      </c>
      <c r="J1441" s="43" t="str">
        <f>INDEX(数据元说明!A:F,MATCH(I1441,数据元说明!C:C,0),2)</f>
        <v>001001</v>
      </c>
      <c r="K1441" s="158" t="str">
        <f>INDEX(数据元说明!A:F,MATCH(I1441,数据元说明!C:C,0),5)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41" s="43" t="str">
        <f>INDEX(数据元说明!A:F,MATCH(I1441,数据元说明!C:C,0),6)</f>
        <v>C..400</v>
      </c>
      <c r="M1441" s="158"/>
      <c r="N1441" s="140" t="s">
        <v>57</v>
      </c>
      <c r="O1441" s="140"/>
      <c r="P1441" s="140"/>
    </row>
    <row r="1442" s="81" customFormat="1" ht="45" customHeight="1" outlineLevel="1" spans="1:16">
      <c r="A1442" s="167"/>
      <c r="B1442" s="168"/>
      <c r="C1442" s="156"/>
      <c r="D1442" s="156"/>
      <c r="E1442" s="155"/>
      <c r="F1442" s="157" t="s">
        <v>4432</v>
      </c>
      <c r="G1442" s="43" t="s">
        <v>4433</v>
      </c>
      <c r="H1442" s="153" t="s">
        <v>4434</v>
      </c>
      <c r="I1442" s="157" t="s">
        <v>282</v>
      </c>
      <c r="J1442" s="43" t="str">
        <f>INDEX(数据元说明!A:F,MATCH(I1442,数据元说明!C:C,0),2)</f>
        <v>001001</v>
      </c>
      <c r="K1442" s="158" t="str">
        <f>INDEX(数据元说明!A:F,MATCH(I1442,数据元说明!C:C,0),5)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42" s="43" t="str">
        <f>INDEX(数据元说明!A:F,MATCH(I1442,数据元说明!C:C,0),6)</f>
        <v>C..400</v>
      </c>
      <c r="M1442" s="158" t="s">
        <v>4435</v>
      </c>
      <c r="N1442" s="139" t="s">
        <v>25</v>
      </c>
      <c r="O1442" s="139" t="s">
        <v>1613</v>
      </c>
      <c r="P1442" s="140"/>
    </row>
    <row r="1443" s="81" customFormat="1" ht="30" customHeight="1" outlineLevel="1" spans="1:16">
      <c r="A1443" s="167"/>
      <c r="B1443" s="168"/>
      <c r="C1443" s="156"/>
      <c r="D1443" s="156"/>
      <c r="E1443" s="155"/>
      <c r="F1443" s="157" t="s">
        <v>4436</v>
      </c>
      <c r="G1443" s="43" t="s">
        <v>4437</v>
      </c>
      <c r="H1443" s="153" t="s">
        <v>4438</v>
      </c>
      <c r="I1443" s="157" t="s">
        <v>697</v>
      </c>
      <c r="J1443" s="43" t="str">
        <f>INDEX(数据元说明!A:F,MATCH(I1443,数据元说明!C:C,0),2)</f>
        <v>003032</v>
      </c>
      <c r="K1443" s="158" t="str">
        <f>INDEX(数据元说明!A:F,MATCH(I1443,数据元说明!C:C,0),5)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443" s="43" t="str">
        <f>INDEX(数据元说明!A:F,MATCH(I1443,数据元说明!C:C,0),6)</f>
        <v>C..60</v>
      </c>
      <c r="M1443" s="158" t="s">
        <v>4439</v>
      </c>
      <c r="N1443" s="139" t="s">
        <v>25</v>
      </c>
      <c r="O1443" s="140"/>
      <c r="P1443" s="139" t="s">
        <v>1606</v>
      </c>
    </row>
    <row r="1444" s="81" customFormat="1" ht="30" customHeight="1" outlineLevel="1" spans="1:16">
      <c r="A1444" s="167"/>
      <c r="B1444" s="168"/>
      <c r="C1444" s="156"/>
      <c r="D1444" s="156"/>
      <c r="E1444" s="155"/>
      <c r="F1444" s="157" t="s">
        <v>4440</v>
      </c>
      <c r="G1444" s="43" t="s">
        <v>4441</v>
      </c>
      <c r="H1444" s="153" t="s">
        <v>4442</v>
      </c>
      <c r="I1444" s="135" t="s">
        <v>282</v>
      </c>
      <c r="J1444" s="43" t="str">
        <f>INDEX(数据元说明!A:F,MATCH(I1444,数据元说明!C:C,0),2)</f>
        <v>001001</v>
      </c>
      <c r="K1444" s="158" t="str">
        <f>INDEX(数据元说明!A:F,MATCH(I1444,数据元说明!C:C,0),5)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44" s="43" t="str">
        <f>INDEX(数据元说明!A:F,MATCH(I1444,数据元说明!C:C,0),6)</f>
        <v>C..400</v>
      </c>
      <c r="M1444" s="158" t="s">
        <v>4443</v>
      </c>
      <c r="N1444" s="187" t="s">
        <v>25</v>
      </c>
      <c r="O1444" s="187" t="s">
        <v>1673</v>
      </c>
      <c r="P1444" s="140"/>
    </row>
    <row r="1445" s="81" customFormat="1" ht="30" customHeight="1" outlineLevel="1" spans="1:16">
      <c r="A1445" s="154"/>
      <c r="B1445" s="155"/>
      <c r="C1445" s="156"/>
      <c r="D1445" s="156"/>
      <c r="E1445" s="155"/>
      <c r="F1445" s="157" t="s">
        <v>4444</v>
      </c>
      <c r="G1445" s="43" t="s">
        <v>4445</v>
      </c>
      <c r="H1445" s="153" t="s">
        <v>4446</v>
      </c>
      <c r="I1445" s="157" t="s">
        <v>287</v>
      </c>
      <c r="J1445" s="43" t="str">
        <f>INDEX(数据元说明!A:F,MATCH(I1445,数据元说明!C:C,0),2)</f>
        <v>001002</v>
      </c>
      <c r="K1445" s="158" t="str">
        <f>INDEX(数据元说明!A:F,MATCH(I1445,数据元说明!C:C,0),5)</f>
        <v>是，否。</v>
      </c>
      <c r="L1445" s="43" t="str">
        <f>INDEX(数据元说明!A:F,MATCH(I1445,数据元说明!C:C,0),6)</f>
        <v>C3</v>
      </c>
      <c r="M1445" s="158"/>
      <c r="N1445" s="225" t="s">
        <v>57</v>
      </c>
      <c r="O1445" s="140"/>
      <c r="P1445" s="140"/>
    </row>
    <row r="1446" s="35" customFormat="1" ht="30" customHeight="1" outlineLevel="1" spans="1:16">
      <c r="A1446" s="93"/>
      <c r="B1446" s="94"/>
      <c r="C1446" s="95"/>
      <c r="D1446" s="95"/>
      <c r="E1446" s="94"/>
      <c r="F1446" s="157" t="s">
        <v>4447</v>
      </c>
      <c r="G1446" s="43" t="s">
        <v>4448</v>
      </c>
      <c r="H1446" s="153" t="s">
        <v>4449</v>
      </c>
      <c r="I1446" s="158" t="s">
        <v>943</v>
      </c>
      <c r="J1446" s="410" t="str">
        <f>INDEX(数据元说明!A:F,MATCH(I1446,数据元说明!C:C,0),2)</f>
        <v>005052</v>
      </c>
      <c r="K1446" s="158" t="str">
        <f>INDEX(数据元说明!A:F,MATCH(I1446,数据元说明!C:C,0),5)</f>
        <v>贸易交易内容、货品或服务的简述信息，银行自定义。</v>
      </c>
      <c r="L1446" s="44" t="s">
        <v>4450</v>
      </c>
      <c r="M1446" s="138" t="s">
        <v>4451</v>
      </c>
      <c r="N1446" s="225" t="s">
        <v>57</v>
      </c>
      <c r="O1446" s="44"/>
      <c r="P1446" s="99"/>
    </row>
    <row r="1447" s="35" customFormat="1" ht="30" customHeight="1" outlineLevel="1" spans="1:16">
      <c r="A1447" s="93"/>
      <c r="B1447" s="94"/>
      <c r="C1447" s="95"/>
      <c r="D1447" s="95"/>
      <c r="E1447" s="94"/>
      <c r="F1447" s="158" t="s">
        <v>3534</v>
      </c>
      <c r="G1447" s="43" t="s">
        <v>3535</v>
      </c>
      <c r="H1447" s="153" t="s">
        <v>4452</v>
      </c>
      <c r="I1447" s="158" t="s">
        <v>624</v>
      </c>
      <c r="J1447" s="213" t="str">
        <f>INDEX(数据元说明!A:F,MATCH(I1447,数据元说明!C:C,0),2)</f>
        <v>003014</v>
      </c>
      <c r="K1447" s="158" t="str">
        <f>INDEX(数据元说明!A:F,MATCH(I1447,数据元说明!C:C,0),5)</f>
        <v>遵循《GB/T 12406 表示货币和资金的代码》的字母代码，如CNY。上述文件所列币种无法涵盖的，允许银行自定义填报。多个币种合计折算为人民币（本外币合计）的，填报为BWB。</v>
      </c>
      <c r="L1447" s="213" t="str">
        <f>INDEX(数据元说明!A:F,MATCH(I1447,数据元说明!C:C,0),6)</f>
        <v>C3</v>
      </c>
      <c r="M1447" s="138" t="s">
        <v>3537</v>
      </c>
      <c r="N1447" s="143" t="s">
        <v>57</v>
      </c>
      <c r="O1447" s="44"/>
      <c r="P1447" s="99"/>
    </row>
    <row r="1448" ht="36" spans="1:16">
      <c r="E1448" s="94"/>
      <c r="F1448" s="157" t="s">
        <v>3538</v>
      </c>
      <c r="G1448" s="43" t="s">
        <v>3539</v>
      </c>
      <c r="H1448" s="153" t="s">
        <v>4453</v>
      </c>
      <c r="I1448" s="157" t="s">
        <v>609</v>
      </c>
      <c r="J1448" s="43" t="str">
        <f>INDEX(数据元说明!A:F,MATCH(I1448,数据元说明!C:C,0),2)</f>
        <v>003010</v>
      </c>
      <c r="K1448" s="158" t="str">
        <f>INDEX(数据元说明!A:F,MATCH(I1448,数据元说明!C:C,0),5)</f>
        <v>与币种相对应金额。</v>
      </c>
      <c r="L1448" s="43" t="str">
        <f>INDEX(数据元说明!A:F,MATCH(I1448,数据元说明!C:C,0),6)</f>
        <v>D20.2</v>
      </c>
      <c r="M1448" s="138" t="s">
        <v>3541</v>
      </c>
      <c r="N1448" s="225" t="s">
        <v>57</v>
      </c>
      <c r="O1448" s="140"/>
      <c r="P1448" s="205"/>
    </row>
    <row r="1449" ht="36" spans="1:16">
      <c r="E1449" s="94"/>
      <c r="F1449" s="157" t="s">
        <v>3542</v>
      </c>
      <c r="G1449" s="43" t="s">
        <v>3543</v>
      </c>
      <c r="H1449" s="153" t="s">
        <v>4454</v>
      </c>
      <c r="I1449" s="157" t="s">
        <v>292</v>
      </c>
      <c r="J1449" s="43" t="str">
        <f>INDEX(数据元说明!A:F,MATCH(I1449,数据元说明!C:C,0),2)</f>
        <v>001003</v>
      </c>
      <c r="K1449" s="158" t="str">
        <f>INDEX(数据元说明!A:F,MATCH(I1449,数据元说明!C:C,0),5)</f>
        <v>百分比为单位，即1/100，保留两位小数。如4.5%则填报为4.50。</v>
      </c>
      <c r="L1449" s="43" t="str">
        <f>INDEX(数据元说明!A:F,MATCH(I1449,数据元说明!C:C,0),6)</f>
        <v>D20.2</v>
      </c>
      <c r="M1449" s="224" t="s">
        <v>3617</v>
      </c>
      <c r="N1449" s="225" t="s">
        <v>57</v>
      </c>
      <c r="O1449" s="140"/>
      <c r="P1449" s="205"/>
    </row>
    <row r="1450" ht="53" spans="1:16">
      <c r="E1450" s="94"/>
      <c r="F1450" s="157" t="s">
        <v>3546</v>
      </c>
      <c r="G1450" s="136" t="s">
        <v>3547</v>
      </c>
      <c r="H1450" s="153" t="s">
        <v>4455</v>
      </c>
      <c r="I1450" s="135" t="s">
        <v>624</v>
      </c>
      <c r="J1450" s="43" t="str">
        <f>INDEX(数据元说明!A:F,MATCH(I1450,数据元说明!C:C,0),2)</f>
        <v>003014</v>
      </c>
      <c r="K1450" s="158" t="str">
        <f>INDEX(数据元说明!A:F,MATCH(I1450,数据元说明!C:C,0),5)</f>
        <v>遵循《GB/T 12406 表示货币和资金的代码》的字母代码，如CNY。上述文件所列币种无法涵盖的，允许银行自定义填报。多个币种合计折算为人民币（本外币合计）的，填报为BWB。</v>
      </c>
      <c r="L1450" s="43" t="str">
        <f>INDEX(数据元说明!A:F,MATCH(I1450,数据元说明!C:C,0),6)</f>
        <v>C3</v>
      </c>
      <c r="M1450" s="138" t="s">
        <v>4456</v>
      </c>
      <c r="N1450" s="225" t="s">
        <v>57</v>
      </c>
      <c r="O1450" s="140"/>
      <c r="P1450" s="205"/>
    </row>
    <row r="1451" ht="36" spans="1:16">
      <c r="E1451" s="94"/>
      <c r="F1451" s="157" t="s">
        <v>3550</v>
      </c>
      <c r="G1451" s="43" t="s">
        <v>3551</v>
      </c>
      <c r="H1451" s="153" t="s">
        <v>4457</v>
      </c>
      <c r="I1451" s="157" t="s">
        <v>609</v>
      </c>
      <c r="J1451" s="43" t="str">
        <f>INDEX(数据元说明!A:F,MATCH(I1451,数据元说明!C:C,0),2)</f>
        <v>003010</v>
      </c>
      <c r="K1451" s="158" t="str">
        <f>INDEX(数据元说明!A:F,MATCH(I1451,数据元说明!C:C,0),5)</f>
        <v>与币种相对应金额。</v>
      </c>
      <c r="L1451" s="43" t="str">
        <f>INDEX(数据元说明!A:F,MATCH(I1451,数据元说明!C:C,0),6)</f>
        <v>D20.2</v>
      </c>
      <c r="M1451" s="138" t="s">
        <v>4458</v>
      </c>
      <c r="N1451" s="225" t="s">
        <v>57</v>
      </c>
      <c r="O1451" s="140"/>
      <c r="P1451" s="205"/>
    </row>
    <row r="1452" s="61" customFormat="1" ht="71" spans="1:16">
      <c r="A1452" s="93"/>
      <c r="B1452" s="94"/>
      <c r="C1452" s="95"/>
      <c r="D1452" s="95"/>
      <c r="E1452" s="94"/>
      <c r="F1452" s="157" t="s">
        <v>3554</v>
      </c>
      <c r="G1452" s="43" t="s">
        <v>3555</v>
      </c>
      <c r="H1452" s="153" t="s">
        <v>4459</v>
      </c>
      <c r="I1452" s="157" t="s">
        <v>697</v>
      </c>
      <c r="J1452" s="43" t="str">
        <f>INDEX(数据元说明!A:F,MATCH(I1452,数据元说明!C:C,0),2)</f>
        <v>003032</v>
      </c>
      <c r="K1452" s="158" t="str">
        <f>INDEX(数据元说明!A:F,MATCH(I1452,数据元说明!C:C,0),5)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452" s="43" t="str">
        <f>INDEX(数据元说明!A:F,MATCH(I1452,数据元说明!C:C,0),6)</f>
        <v>C..60</v>
      </c>
      <c r="M1452" s="138" t="s">
        <v>3623</v>
      </c>
      <c r="N1452" s="225" t="s">
        <v>57</v>
      </c>
      <c r="O1452" s="140"/>
      <c r="P1452" s="205"/>
    </row>
    <row r="1453" s="27" customFormat="1" ht="45" customHeight="1" spans="1:16">
      <c r="A1453" s="207"/>
      <c r="B1453" s="208"/>
      <c r="C1453" s="209"/>
      <c r="D1453" s="209"/>
      <c r="E1453" s="208"/>
      <c r="F1453" s="157" t="s">
        <v>918</v>
      </c>
      <c r="G1453" s="213" t="s">
        <v>3410</v>
      </c>
      <c r="H1453" s="153" t="s">
        <v>4460</v>
      </c>
      <c r="I1453" s="158" t="s">
        <v>918</v>
      </c>
      <c r="J1453" s="410" t="str">
        <f>INDEX(数据元说明!A:F,MATCH(I1453,数据元说明!C:C,0),2)</f>
        <v>005046</v>
      </c>
      <c r="K1453" s="158" t="str">
        <f>INDEX(数据元说明!A:F,MATCH(I1453,数据元说明!C:C,0),5)</f>
        <v>正常，卖断，解付，垫款，核销，其他-银行自定义。无法以枚举类型填报的，以“其他-XX”填报，其中“XX”为银行自定义状态。</v>
      </c>
      <c r="L1453" s="213" t="str">
        <f>INDEX(数据元说明!A:F,MATCH(I1453,数据元说明!C:C,0),6)</f>
        <v>C..20</v>
      </c>
      <c r="M1453" s="135" t="s">
        <v>3412</v>
      </c>
      <c r="N1453" s="225" t="s">
        <v>57</v>
      </c>
      <c r="O1453" s="140"/>
      <c r="P1453" s="205"/>
    </row>
    <row r="1454" s="35" customFormat="1" ht="30" customHeight="1" outlineLevel="1" spans="1:16">
      <c r="A1454" s="93"/>
      <c r="B1454" s="94"/>
      <c r="C1454" s="95"/>
      <c r="D1454" s="95"/>
      <c r="E1454" s="94"/>
      <c r="F1454" s="157" t="s">
        <v>3694</v>
      </c>
      <c r="G1454" s="43" t="s">
        <v>4461</v>
      </c>
      <c r="H1454" s="153" t="s">
        <v>4462</v>
      </c>
      <c r="I1454" s="158" t="s">
        <v>349</v>
      </c>
      <c r="J1454" s="213" t="str">
        <f>INDEX(数据元说明!A:F,MATCH(I1454,数据元说明!C:C,0),2)</f>
        <v>001016</v>
      </c>
      <c r="K1454" s="158" t="str">
        <f>INDEX(数据元说明!A:F,MATCH(I1454,数据元说明!C:C,0),5)</f>
        <v>工号，银行自定义。</v>
      </c>
      <c r="L1454" s="213" t="str">
        <f>INDEX(数据元说明!A:F,MATCH(I1454,数据元说明!C:C,0),6)</f>
        <v>C..30</v>
      </c>
      <c r="M1454" s="138" t="s">
        <v>4463</v>
      </c>
      <c r="N1454" s="225" t="s">
        <v>57</v>
      </c>
      <c r="O1454" s="44"/>
      <c r="P1454" s="99"/>
    </row>
    <row r="1455" s="81" customFormat="1" ht="30" customHeight="1" outlineLevel="1" spans="1:16">
      <c r="A1455" s="134"/>
      <c r="B1455" s="47"/>
      <c r="C1455" s="39"/>
      <c r="D1455" s="39"/>
      <c r="E1455" s="47"/>
      <c r="F1455" s="169" t="s">
        <v>449</v>
      </c>
      <c r="G1455" s="148" t="s">
        <v>1571</v>
      </c>
      <c r="H1455" s="148" t="s">
        <v>4464</v>
      </c>
      <c r="I1455" s="169" t="s">
        <v>449</v>
      </c>
      <c r="J1455" s="170" t="str">
        <f>INDEX(数据元说明!A:F,MATCH(I1455,数据元说明!C:C,0),2)</f>
        <v>001040</v>
      </c>
      <c r="K1455" s="171" t="str">
        <f>INDEX(数据元说明!A:F,MATCH(I1455,数据元说明!C:C,0),5)</f>
        <v>银行自定义。</v>
      </c>
      <c r="L1455" s="170" t="str">
        <f>INDEX(数据元说明!A:F,MATCH(I1455,数据元说明!C:C,0),6)</f>
        <v>C..600</v>
      </c>
      <c r="M1455" s="149" t="s">
        <v>1573</v>
      </c>
      <c r="N1455" s="172" t="s">
        <v>57</v>
      </c>
      <c r="O1455" s="173"/>
      <c r="P1455" s="173"/>
    </row>
    <row r="1456" ht="30" customHeight="1" outlineLevel="1" spans="1:16">
      <c r="E1456" s="94"/>
      <c r="F1456" s="97" t="s">
        <v>1574</v>
      </c>
      <c r="G1456" s="29" t="s">
        <v>1575</v>
      </c>
      <c r="H1456" s="96" t="s">
        <v>4465</v>
      </c>
      <c r="I1456" s="97" t="s">
        <v>302</v>
      </c>
      <c r="J1456" s="29" t="str">
        <f>INDEX(数据元说明!A:F,MATCH(I1456,数据元说明!C:C,0),2)</f>
        <v>001005</v>
      </c>
      <c r="K1456" s="98" t="str">
        <f>INDEX(数据元说明!A:F,MATCH(I1456,数据元说明!C:C,0),5)</f>
        <v>YYYYMMDD，默认值99991231。</v>
      </c>
      <c r="L1456" s="29" t="str">
        <f>INDEX(数据元说明!A:F,MATCH(I1456,数据元说明!C:C,0),6)</f>
        <v>C8</v>
      </c>
      <c r="M1456" s="98" t="s">
        <v>1577</v>
      </c>
      <c r="P1456" s="99"/>
    </row>
    <row r="1457" s="83" customFormat="1" ht="28" customHeight="1" spans="1:16">
      <c r="A1457" s="210"/>
      <c r="B1457" s="211"/>
      <c r="C1457" s="190" t="s">
        <v>219</v>
      </c>
      <c r="D1457" s="191" t="s">
        <v>220</v>
      </c>
      <c r="E1457" s="192" t="s">
        <v>4466</v>
      </c>
      <c r="F1457" s="193"/>
      <c r="G1457" s="194"/>
      <c r="H1457" s="192"/>
      <c r="I1457" s="193"/>
      <c r="J1457" s="194"/>
      <c r="K1457" s="195"/>
      <c r="L1457" s="194"/>
      <c r="M1457" s="193" t="str">
        <f>INDEX(表结构总览!E:H,MATCH(D1457,表结构总览!E:E,0),4)</f>
        <v>报送本行开出的保函、信用证、购买协议等信息。报送范围：参照1104报表G01_I_1《表外业务情况表》中[2.跟单信用证]+[3.保函]+[4.信用风险仍在银行的销售与购买协议]+[5.其他担保类业务]填报口径，票据业务不在本表中报送。合同到期且已结清的数据，在报送合同最后状态的次月不再填报。</v>
      </c>
      <c r="N1457" s="143" t="s">
        <v>57</v>
      </c>
      <c r="O1457" s="164"/>
      <c r="P1457" s="164"/>
    </row>
    <row r="1458" s="35" customFormat="1" ht="30" customHeight="1" outlineLevel="1" spans="1:16">
      <c r="A1458" s="93"/>
      <c r="B1458" s="94"/>
      <c r="C1458" s="95"/>
      <c r="D1458" s="95"/>
      <c r="E1458" s="94"/>
      <c r="F1458" s="158" t="s">
        <v>325</v>
      </c>
      <c r="G1458" s="43" t="s">
        <v>1520</v>
      </c>
      <c r="H1458" s="153" t="s">
        <v>4467</v>
      </c>
      <c r="I1458" s="158" t="s">
        <v>325</v>
      </c>
      <c r="J1458" s="213" t="str">
        <f>INDEX(数据元说明!A:F,MATCH(I1458,数据元说明!C:C,0),2)</f>
        <v>001010</v>
      </c>
      <c r="K1458" s="158" t="str">
        <f>INDEX(数据元说明!A:F,MATCH(I1458,数据元说明!C:C,0),5)</f>
        <v>12位人行支付行号或SWIFT行号。</v>
      </c>
      <c r="L1458" s="213" t="str">
        <f>INDEX(数据元说明!A:F,MATCH(I1458,数据元说明!C:C,0),6)</f>
        <v>C..30</v>
      </c>
      <c r="M1458" s="138" t="s">
        <v>4468</v>
      </c>
      <c r="N1458" s="143" t="s">
        <v>57</v>
      </c>
      <c r="O1458" s="44"/>
      <c r="P1458" s="99"/>
    </row>
    <row r="1459" s="81" customFormat="1" ht="30" customHeight="1" outlineLevel="1" spans="1:16">
      <c r="A1459" s="134"/>
      <c r="B1459" s="47"/>
      <c r="C1459" s="39"/>
      <c r="D1459" s="39"/>
      <c r="E1459" s="47"/>
      <c r="F1459" s="135" t="s">
        <v>329</v>
      </c>
      <c r="G1459" s="136" t="s">
        <v>1526</v>
      </c>
      <c r="H1459" s="153" t="s">
        <v>4469</v>
      </c>
      <c r="I1459" s="135" t="s">
        <v>329</v>
      </c>
      <c r="J1459" s="136" t="str">
        <f>INDEX(数据元说明!A:F,MATCH(I1459,数据元说明!C:C,0),2)</f>
        <v>001011</v>
      </c>
      <c r="K1459" s="138" t="str">
        <f>INDEX(数据元说明!A:F,MATCH(I1459,数据元说明!C:C,0),5)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59" s="136" t="str">
        <f>INDEX(数据元说明!A:F,MATCH(I1459,数据元说明!C:C,0),6)</f>
        <v>C..30</v>
      </c>
      <c r="M1459" s="138" t="s">
        <v>4470</v>
      </c>
      <c r="N1459" s="143" t="s">
        <v>57</v>
      </c>
      <c r="O1459" s="140"/>
      <c r="P1459" s="140"/>
    </row>
    <row r="1460" s="35" customFormat="1" ht="30" customHeight="1" outlineLevel="1" spans="1:16">
      <c r="A1460" s="93"/>
      <c r="B1460" s="94"/>
      <c r="C1460" s="95"/>
      <c r="D1460" s="95"/>
      <c r="E1460" s="94"/>
      <c r="F1460" s="158" t="s">
        <v>333</v>
      </c>
      <c r="G1460" s="43" t="s">
        <v>1523</v>
      </c>
      <c r="H1460" s="153" t="s">
        <v>4471</v>
      </c>
      <c r="I1460" s="158" t="s">
        <v>333</v>
      </c>
      <c r="J1460" s="213" t="str">
        <f>INDEX(数据元说明!A:F,MATCH(I1460,数据元说明!C:C,0),2)</f>
        <v>001012</v>
      </c>
      <c r="K1460" s="158" t="str">
        <f>INDEX(数据元说明!A:F,MATCH(I1460,数据元说明!C:C,0),5)</f>
        <v>银行内部机构号。应具有标识机构的唯一性。</v>
      </c>
      <c r="L1460" s="213" t="str">
        <f>INDEX(数据元说明!A:F,MATCH(I1460,数据元说明!C:C,0),6)</f>
        <v>C..30</v>
      </c>
      <c r="M1460" s="138" t="s">
        <v>4472</v>
      </c>
      <c r="N1460" s="143" t="s">
        <v>57</v>
      </c>
      <c r="O1460" s="44"/>
      <c r="P1460" s="99"/>
    </row>
    <row r="1461" s="89" customFormat="1" ht="30" customHeight="1" outlineLevel="1" spans="1:16">
      <c r="A1461" s="154"/>
      <c r="B1461" s="155"/>
      <c r="C1461" s="156"/>
      <c r="D1461" s="156"/>
      <c r="E1461" s="155"/>
      <c r="F1461" s="158" t="s">
        <v>1532</v>
      </c>
      <c r="G1461" s="213" t="s">
        <v>1533</v>
      </c>
      <c r="H1461" s="153" t="s">
        <v>4473</v>
      </c>
      <c r="I1461" s="158" t="s">
        <v>282</v>
      </c>
      <c r="J1461" s="213" t="str">
        <f>INDEX(数据元说明!A:F,MATCH(I1461,数据元说明!C:C,0),2)</f>
        <v>001001</v>
      </c>
      <c r="K1461" s="158" t="str">
        <f>INDEX(数据元说明!A:F,MATCH(I1461,数据元说明!C:C,0),5)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61" s="213" t="str">
        <f>INDEX(数据元说明!A:F,MATCH(I1461,数据元说明!C:C,0),6)</f>
        <v>C..400</v>
      </c>
      <c r="M1461" s="138" t="s">
        <v>4474</v>
      </c>
      <c r="N1461" s="143" t="s">
        <v>57</v>
      </c>
      <c r="O1461" s="140"/>
      <c r="P1461" s="140"/>
    </row>
    <row r="1462" s="81" customFormat="1" ht="30" customHeight="1" outlineLevel="1" spans="1:16">
      <c r="A1462" s="167"/>
      <c r="B1462" s="168"/>
      <c r="C1462" s="176"/>
      <c r="D1462" s="176"/>
      <c r="E1462" s="168"/>
      <c r="F1462" s="157" t="s">
        <v>2325</v>
      </c>
      <c r="G1462" s="43" t="s">
        <v>2326</v>
      </c>
      <c r="H1462" s="153" t="s">
        <v>4475</v>
      </c>
      <c r="I1462" s="135" t="s">
        <v>574</v>
      </c>
      <c r="J1462" s="43" t="str">
        <f>INDEX(数据元说明!A:F,MATCH(I1462,数据元说明!C:C,0),2)</f>
        <v>003002</v>
      </c>
      <c r="K1462" s="158" t="str">
        <f>INDEX(数据元说明!A:F,MATCH(I1462,数据元说明!C:C,0),5)</f>
        <v>机构实际使用的总账会计科目编码。</v>
      </c>
      <c r="L1462" s="43" t="str">
        <f>INDEX(数据元说明!A:F,MATCH(I1462,数据元说明!C:C,0),6)</f>
        <v>C..200</v>
      </c>
      <c r="M1462" s="138" t="s">
        <v>2328</v>
      </c>
      <c r="N1462" s="143" t="s">
        <v>57</v>
      </c>
      <c r="O1462" s="139"/>
      <c r="P1462" s="139" t="s">
        <v>1588</v>
      </c>
    </row>
    <row r="1463" s="81" customFormat="1" ht="30" customHeight="1" outlineLevel="1" spans="1:16">
      <c r="A1463" s="167"/>
      <c r="B1463" s="168"/>
      <c r="C1463" s="176"/>
      <c r="D1463" s="176"/>
      <c r="E1463" s="168"/>
      <c r="F1463" s="157" t="s">
        <v>2329</v>
      </c>
      <c r="G1463" s="43" t="s">
        <v>2330</v>
      </c>
      <c r="H1463" s="153" t="s">
        <v>4476</v>
      </c>
      <c r="I1463" s="135" t="s">
        <v>578</v>
      </c>
      <c r="J1463" s="43" t="str">
        <f>INDEX(数据元说明!A:F,MATCH(I1463,数据元说明!C:C,0),2)</f>
        <v>003003</v>
      </c>
      <c r="K1463" s="158" t="str">
        <f>INDEX(数据元说明!A:F,MATCH(I1463,数据元说明!C:C,0),5)</f>
        <v>机构实际使用的总账会计科目编码对应的名称。</v>
      </c>
      <c r="L1463" s="43" t="str">
        <f>INDEX(数据元说明!A:F,MATCH(I1463,数据元说明!C:C,0),6)</f>
        <v>C..200</v>
      </c>
      <c r="M1463" s="138" t="s">
        <v>2328</v>
      </c>
      <c r="N1463" s="143" t="s">
        <v>57</v>
      </c>
      <c r="O1463" s="139"/>
      <c r="P1463" s="139" t="s">
        <v>1588</v>
      </c>
    </row>
    <row r="1464" s="35" customFormat="1" ht="30" customHeight="1" outlineLevel="1" spans="1:16">
      <c r="A1464" s="93"/>
      <c r="B1464" s="94"/>
      <c r="C1464" s="95"/>
      <c r="D1464" s="95"/>
      <c r="E1464" s="94"/>
      <c r="F1464" s="158" t="s">
        <v>4477</v>
      </c>
      <c r="G1464" s="43" t="s">
        <v>4478</v>
      </c>
      <c r="H1464" s="153" t="s">
        <v>4479</v>
      </c>
      <c r="I1464" s="158" t="s">
        <v>681</v>
      </c>
      <c r="J1464" s="213" t="str">
        <f>INDEX(数据元说明!A:F,MATCH(I1464,数据元说明!C:C,0),2)</f>
        <v>003028</v>
      </c>
      <c r="K1464" s="158" t="str">
        <f>INDEX(数据元说明!A:F,MATCH(I1464,数据元说明!C:C,0),5)</f>
        <v>合同号。</v>
      </c>
      <c r="L1464" s="213" t="str">
        <f>INDEX(数据元说明!A:F,MATCH(I1464,数据元说明!C:C,0),6)</f>
        <v>C..100</v>
      </c>
      <c r="M1464" s="138" t="s">
        <v>4480</v>
      </c>
      <c r="N1464" s="143" t="s">
        <v>57</v>
      </c>
      <c r="O1464" s="44"/>
      <c r="P1464" s="99"/>
    </row>
    <row r="1465" s="35" customFormat="1" ht="30" customHeight="1" outlineLevel="1" spans="1:16">
      <c r="A1465" s="93"/>
      <c r="B1465" s="94"/>
      <c r="C1465" s="95"/>
      <c r="D1465" s="95"/>
      <c r="E1465" s="94"/>
      <c r="F1465" s="158" t="s">
        <v>4481</v>
      </c>
      <c r="G1465" s="43" t="s">
        <v>4482</v>
      </c>
      <c r="H1465" s="153" t="s">
        <v>4483</v>
      </c>
      <c r="I1465" s="158" t="s">
        <v>894</v>
      </c>
      <c r="J1465" s="410" t="str">
        <f>INDEX(数据元说明!A:F,MATCH(I1465,数据元说明!C:C,0),2)</f>
        <v>005040</v>
      </c>
      <c r="K1465" s="158" t="str">
        <f>INDEX(数据元说明!A:F,MATCH(I1465,数据元说明!C:C,0),5)</f>
        <v>融资性保函，非融资性保函，国内信用证、国际信用证，备用信用证，销售协议，购买协议，提货担保，其他-银行自定义。无法以枚举类型填报的，以“其他-XX”填报，其中“XX”为银行自定义的担保类业务种类。</v>
      </c>
      <c r="L1465" s="213" t="str">
        <f>INDEX(数据元说明!A:F,MATCH(I1465,数据元说明!C:C,0),6)</f>
        <v>C..30</v>
      </c>
      <c r="M1465" s="138" t="s">
        <v>4484</v>
      </c>
      <c r="N1465" s="143" t="s">
        <v>57</v>
      </c>
      <c r="O1465" s="44"/>
      <c r="P1465" s="99"/>
    </row>
    <row r="1466" s="35" customFormat="1" ht="30" customHeight="1" outlineLevel="1" spans="1:16">
      <c r="A1466" s="93"/>
      <c r="B1466" s="94"/>
      <c r="C1466" s="95"/>
      <c r="D1466" s="95"/>
      <c r="E1466" s="94"/>
      <c r="F1466" s="158" t="s">
        <v>624</v>
      </c>
      <c r="G1466" s="43" t="s">
        <v>3575</v>
      </c>
      <c r="H1466" s="153" t="s">
        <v>4485</v>
      </c>
      <c r="I1466" s="158" t="s">
        <v>624</v>
      </c>
      <c r="J1466" s="213" t="str">
        <f>INDEX(数据元说明!A:F,MATCH(I1466,数据元说明!C:C,0),2)</f>
        <v>003014</v>
      </c>
      <c r="K1466" s="158" t="str">
        <f>INDEX(数据元说明!A:F,MATCH(I1466,数据元说明!C:C,0),5)</f>
        <v>遵循《GB/T 12406 表示货币和资金的代码》的字母代码，如CNY。上述文件所列币种无法涵盖的，允许银行自定义填报。多个币种合计折算为人民币（本外币合计）的，填报为BWB。</v>
      </c>
      <c r="L1466" s="213" t="str">
        <f>INDEX(数据元说明!A:F,MATCH(I1466,数据元说明!C:C,0),6)</f>
        <v>C3</v>
      </c>
      <c r="M1466" s="138" t="s">
        <v>4486</v>
      </c>
      <c r="N1466" s="143" t="s">
        <v>57</v>
      </c>
      <c r="O1466" s="44"/>
      <c r="P1466" s="99"/>
    </row>
    <row r="1467" s="35" customFormat="1" ht="30" customHeight="1" outlineLevel="1" spans="1:16">
      <c r="A1467" s="93"/>
      <c r="B1467" s="94"/>
      <c r="C1467" s="95"/>
      <c r="D1467" s="95"/>
      <c r="E1467" s="94"/>
      <c r="F1467" s="158" t="s">
        <v>2910</v>
      </c>
      <c r="G1467" s="43" t="s">
        <v>3578</v>
      </c>
      <c r="H1467" s="153" t="s">
        <v>4487</v>
      </c>
      <c r="I1467" s="158" t="s">
        <v>609</v>
      </c>
      <c r="J1467" s="213" t="str">
        <f>INDEX(数据元说明!A:F,MATCH(I1467,数据元说明!C:C,0),2)</f>
        <v>003010</v>
      </c>
      <c r="K1467" s="158" t="str">
        <f>INDEX(数据元说明!A:F,MATCH(I1467,数据元说明!C:C,0),5)</f>
        <v>与币种相对应金额。</v>
      </c>
      <c r="L1467" s="213" t="str">
        <f>INDEX(数据元说明!A:F,MATCH(I1467,数据元说明!C:C,0),6)</f>
        <v>D20.2</v>
      </c>
      <c r="M1467" s="138"/>
      <c r="N1467" s="143" t="s">
        <v>57</v>
      </c>
      <c r="O1467" s="44"/>
      <c r="P1467" s="99"/>
    </row>
    <row r="1468" s="35" customFormat="1" ht="30" customHeight="1" outlineLevel="1" spans="1:16">
      <c r="A1468" s="93"/>
      <c r="B1468" s="94"/>
      <c r="C1468" s="95"/>
      <c r="D1468" s="95"/>
      <c r="E1468" s="94"/>
      <c r="F1468" s="158" t="s">
        <v>4488</v>
      </c>
      <c r="G1468" s="43" t="s">
        <v>4489</v>
      </c>
      <c r="H1468" s="153" t="s">
        <v>4490</v>
      </c>
      <c r="I1468" s="158" t="s">
        <v>609</v>
      </c>
      <c r="J1468" s="213" t="str">
        <f>INDEX(数据元说明!A:F,MATCH(I1468,数据元说明!C:C,0),2)</f>
        <v>003010</v>
      </c>
      <c r="K1468" s="158" t="str">
        <f>INDEX(数据元说明!A:F,MATCH(I1468,数据元说明!C:C,0),5)</f>
        <v>与币种相对应金额。</v>
      </c>
      <c r="L1468" s="213" t="str">
        <f>INDEX(数据元说明!A:F,MATCH(I1468,数据元说明!C:C,0),6)</f>
        <v>D20.2</v>
      </c>
      <c r="M1468" s="138" t="s">
        <v>4491</v>
      </c>
      <c r="N1468" s="143" t="s">
        <v>57</v>
      </c>
      <c r="O1468" s="44"/>
      <c r="P1468" s="99"/>
    </row>
    <row r="1469" s="35" customFormat="1" ht="30" customHeight="1" outlineLevel="1" spans="1:16">
      <c r="A1469" s="93"/>
      <c r="B1469" s="94"/>
      <c r="C1469" s="95"/>
      <c r="D1469" s="95"/>
      <c r="E1469" s="94"/>
      <c r="F1469" s="158" t="s">
        <v>4492</v>
      </c>
      <c r="G1469" s="43" t="s">
        <v>3581</v>
      </c>
      <c r="H1469" s="153" t="s">
        <v>4493</v>
      </c>
      <c r="I1469" s="158" t="s">
        <v>609</v>
      </c>
      <c r="J1469" s="213" t="str">
        <f>INDEX(数据元说明!A:F,MATCH(I1469,数据元说明!C:C,0),2)</f>
        <v>003010</v>
      </c>
      <c r="K1469" s="158" t="str">
        <f>INDEX(数据元说明!A:F,MATCH(I1469,数据元说明!C:C,0),5)</f>
        <v>与币种相对应金额。</v>
      </c>
      <c r="L1469" s="213" t="str">
        <f>INDEX(数据元说明!A:F,MATCH(I1469,数据元说明!C:C,0),6)</f>
        <v>D20.2</v>
      </c>
      <c r="M1469" s="138" t="s">
        <v>4494</v>
      </c>
      <c r="N1469" s="143" t="s">
        <v>57</v>
      </c>
      <c r="O1469" s="44"/>
      <c r="P1469" s="99"/>
    </row>
    <row r="1470" s="35" customFormat="1" ht="30" customHeight="1" outlineLevel="1" spans="1:16">
      <c r="A1470" s="93"/>
      <c r="B1470" s="94"/>
      <c r="C1470" s="95"/>
      <c r="D1470" s="95"/>
      <c r="E1470" s="94"/>
      <c r="F1470" s="158" t="s">
        <v>2913</v>
      </c>
      <c r="G1470" s="43" t="s">
        <v>4495</v>
      </c>
      <c r="H1470" s="153" t="s">
        <v>4496</v>
      </c>
      <c r="I1470" s="158" t="s">
        <v>302</v>
      </c>
      <c r="J1470" s="213" t="str">
        <f>INDEX(数据元说明!A:F,MATCH(I1470,数据元说明!C:C,0),2)</f>
        <v>001005</v>
      </c>
      <c r="K1470" s="158" t="str">
        <f>INDEX(数据元说明!A:F,MATCH(I1470,数据元说明!C:C,0),5)</f>
        <v>YYYYMMDD，默认值99991231。</v>
      </c>
      <c r="L1470" s="213" t="str">
        <f>INDEX(数据元说明!A:F,MATCH(I1470,数据元说明!C:C,0),6)</f>
        <v>C8</v>
      </c>
      <c r="M1470" s="138" t="s">
        <v>4497</v>
      </c>
      <c r="N1470" s="143" t="s">
        <v>57</v>
      </c>
      <c r="O1470" s="44"/>
      <c r="P1470" s="99"/>
    </row>
    <row r="1471" s="35" customFormat="1" ht="30" customHeight="1" outlineLevel="1" spans="1:16">
      <c r="A1471" s="93"/>
      <c r="B1471" s="94"/>
      <c r="C1471" s="95"/>
      <c r="D1471" s="95"/>
      <c r="E1471" s="94"/>
      <c r="F1471" s="158" t="s">
        <v>2917</v>
      </c>
      <c r="G1471" s="43" t="s">
        <v>4498</v>
      </c>
      <c r="H1471" s="153" t="s">
        <v>4499</v>
      </c>
      <c r="I1471" s="158" t="s">
        <v>302</v>
      </c>
      <c r="J1471" s="213" t="str">
        <f>INDEX(数据元说明!A:F,MATCH(I1471,数据元说明!C:C,0),2)</f>
        <v>001005</v>
      </c>
      <c r="K1471" s="158" t="str">
        <f>INDEX(数据元说明!A:F,MATCH(I1471,数据元说明!C:C,0),5)</f>
        <v>YYYYMMDD，默认值99991231。</v>
      </c>
      <c r="L1471" s="213" t="str">
        <f>INDEX(数据元说明!A:F,MATCH(I1471,数据元说明!C:C,0),6)</f>
        <v>C8</v>
      </c>
      <c r="M1471" s="138" t="s">
        <v>4497</v>
      </c>
      <c r="N1471" s="143" t="s">
        <v>57</v>
      </c>
      <c r="O1471" s="44"/>
      <c r="P1471" s="99"/>
    </row>
    <row r="1472" s="89" customFormat="1" ht="30" customHeight="1" outlineLevel="1" spans="1:16">
      <c r="A1472" s="154"/>
      <c r="B1472" s="155"/>
      <c r="C1472" s="156"/>
      <c r="D1472" s="156"/>
      <c r="E1472" s="155"/>
      <c r="F1472" s="158" t="s">
        <v>4500</v>
      </c>
      <c r="G1472" s="43" t="s">
        <v>4501</v>
      </c>
      <c r="H1472" s="153" t="s">
        <v>4502</v>
      </c>
      <c r="I1472" s="158" t="s">
        <v>453</v>
      </c>
      <c r="J1472" s="213" t="str">
        <f>INDEX(数据元说明!A:F,MATCH(I1472,数据元说明!C:C,0),2)</f>
        <v>002001</v>
      </c>
      <c r="K1472" s="158" t="str">
        <f>INDEX(数据元说明!A:F,MATCH(I1472,数据元说明!C:C,0),5)</f>
        <v>银行自定义的唯一识别客户的标识。供应链融资的填写供应链融资编码。</v>
      </c>
      <c r="L1472" s="213" t="str">
        <f>INDEX(数据元说明!A:F,MATCH(I1472,数据元说明!C:C,0),6)</f>
        <v>C..60</v>
      </c>
      <c r="M1472" s="138" t="s">
        <v>4503</v>
      </c>
      <c r="N1472" s="164" t="s">
        <v>57</v>
      </c>
      <c r="O1472" s="44"/>
      <c r="P1472" s="140"/>
    </row>
    <row r="1473" s="35" customFormat="1" ht="30" customHeight="1" outlineLevel="1" spans="1:16">
      <c r="A1473" s="93"/>
      <c r="B1473" s="94"/>
      <c r="C1473" s="95"/>
      <c r="D1473" s="95"/>
      <c r="E1473" s="94"/>
      <c r="F1473" s="158" t="s">
        <v>4504</v>
      </c>
      <c r="G1473" s="43" t="s">
        <v>4505</v>
      </c>
      <c r="H1473" s="153" t="s">
        <v>4506</v>
      </c>
      <c r="I1473" s="158" t="s">
        <v>282</v>
      </c>
      <c r="J1473" s="213" t="str">
        <f>INDEX(数据元说明!A:F,MATCH(I1473,数据元说明!C:C,0),2)</f>
        <v>001001</v>
      </c>
      <c r="K1473" s="158" t="str">
        <f>INDEX(数据元说明!A:F,MATCH(I1473,数据元说明!C:C,0),5)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73" s="213" t="str">
        <f>INDEX(数据元说明!A:F,MATCH(I1473,数据元说明!C:C,0),6)</f>
        <v>C..400</v>
      </c>
      <c r="M1473" s="158" t="s">
        <v>4507</v>
      </c>
      <c r="N1473" s="143" t="s">
        <v>57</v>
      </c>
      <c r="O1473" s="44"/>
      <c r="P1473" s="99"/>
    </row>
    <row r="1474" s="35" customFormat="1" ht="30" customHeight="1" outlineLevel="1" spans="1:16">
      <c r="A1474" s="93"/>
      <c r="B1474" s="94"/>
      <c r="C1474" s="95"/>
      <c r="D1474" s="95"/>
      <c r="E1474" s="94"/>
      <c r="F1474" s="158" t="s">
        <v>4508</v>
      </c>
      <c r="G1474" s="43" t="s">
        <v>4509</v>
      </c>
      <c r="H1474" s="153" t="s">
        <v>4510</v>
      </c>
      <c r="I1474" s="158" t="s">
        <v>1109</v>
      </c>
      <c r="J1474" s="410" t="str">
        <f>INDEX(数据元说明!A:F,MATCH(I1474,数据元说明!C:C,0),2)</f>
        <v>010004</v>
      </c>
      <c r="K1474" s="158" t="str">
        <f>INDEX(数据元说明!A:F,MATCH(I1474,数据元说明!C:C,0),5)</f>
        <v>《GB/T 2659 世界各国和地区名称代码》定义的三字符代码，如CHN。</v>
      </c>
      <c r="L1474" s="213" t="str">
        <f>INDEX(数据元说明!A:F,MATCH(I1474,数据元说明!C:C,0),6)</f>
        <v>C3</v>
      </c>
      <c r="M1474" s="138" t="s">
        <v>4511</v>
      </c>
      <c r="N1474" s="143" t="s">
        <v>57</v>
      </c>
      <c r="O1474" s="44"/>
      <c r="P1474" s="99"/>
    </row>
    <row r="1475" s="35" customFormat="1" ht="30" customHeight="1" outlineLevel="1" spans="1:16">
      <c r="A1475" s="93"/>
      <c r="B1475" s="94"/>
      <c r="C1475" s="95"/>
      <c r="D1475" s="95"/>
      <c r="E1475" s="94"/>
      <c r="F1475" s="158" t="s">
        <v>4432</v>
      </c>
      <c r="G1475" s="43" t="s">
        <v>4433</v>
      </c>
      <c r="H1475" s="153" t="s">
        <v>4512</v>
      </c>
      <c r="I1475" s="158" t="s">
        <v>282</v>
      </c>
      <c r="J1475" s="213" t="str">
        <f>INDEX(数据元说明!A:F,MATCH(I1475,数据元说明!C:C,0),2)</f>
        <v>001001</v>
      </c>
      <c r="K1475" s="158" t="str">
        <f>INDEX(数据元说明!A:F,MATCH(I1475,数据元说明!C:C,0),5)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75" s="213" t="str">
        <f>INDEX(数据元说明!A:F,MATCH(I1475,数据元说明!C:C,0),6)</f>
        <v>C..400</v>
      </c>
      <c r="M1475" s="138" t="s">
        <v>4513</v>
      </c>
      <c r="N1475" s="143" t="s">
        <v>57</v>
      </c>
      <c r="O1475" s="44"/>
      <c r="P1475" s="99"/>
    </row>
    <row r="1476" s="35" customFormat="1" ht="30" customHeight="1" outlineLevel="1" spans="1:16">
      <c r="A1476" s="93"/>
      <c r="B1476" s="94"/>
      <c r="C1476" s="95"/>
      <c r="D1476" s="95"/>
      <c r="E1476" s="94"/>
      <c r="F1476" s="158" t="s">
        <v>4514</v>
      </c>
      <c r="G1476" s="43" t="s">
        <v>4515</v>
      </c>
      <c r="H1476" s="153" t="s">
        <v>4516</v>
      </c>
      <c r="I1476" s="158" t="s">
        <v>1109</v>
      </c>
      <c r="J1476" s="410" t="str">
        <f>INDEX(数据元说明!A:F,MATCH(I1476,数据元说明!C:C,0),2)</f>
        <v>010004</v>
      </c>
      <c r="K1476" s="158" t="str">
        <f>INDEX(数据元说明!A:F,MATCH(I1476,数据元说明!C:C,0),5)</f>
        <v>《GB/T 2659 世界各国和地区名称代码》定义的三字符代码，如CHN。</v>
      </c>
      <c r="L1476" s="213" t="str">
        <f>INDEX(数据元说明!A:F,MATCH(I1476,数据元说明!C:C,0),6)</f>
        <v>C3</v>
      </c>
      <c r="M1476" s="138" t="s">
        <v>4517</v>
      </c>
      <c r="N1476" s="143" t="s">
        <v>57</v>
      </c>
      <c r="O1476" s="44"/>
      <c r="P1476" s="99"/>
    </row>
    <row r="1477" s="81" customFormat="1" ht="30" customHeight="1" outlineLevel="1" spans="1:16">
      <c r="A1477" s="167"/>
      <c r="B1477" s="168"/>
      <c r="C1477" s="156"/>
      <c r="D1477" s="156"/>
      <c r="E1477" s="155"/>
      <c r="F1477" s="157" t="s">
        <v>4518</v>
      </c>
      <c r="G1477" s="43" t="s">
        <v>4437</v>
      </c>
      <c r="H1477" s="153" t="s">
        <v>4519</v>
      </c>
      <c r="I1477" s="157" t="s">
        <v>697</v>
      </c>
      <c r="J1477" s="43" t="str">
        <f>INDEX(数据元说明!A:F,MATCH(I1477,数据元说明!C:C,0),2)</f>
        <v>003032</v>
      </c>
      <c r="K1477" s="158" t="str">
        <f>INDEX(数据元说明!A:F,MATCH(I1477,数据元说明!C:C,0),5)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477" s="43" t="str">
        <f>INDEX(数据元说明!A:F,MATCH(I1477,数据元说明!C:C,0),6)</f>
        <v>C..60</v>
      </c>
      <c r="M1477" s="158" t="s">
        <v>4520</v>
      </c>
      <c r="N1477" s="140" t="s">
        <v>25</v>
      </c>
      <c r="O1477" s="140"/>
      <c r="P1477" s="140" t="s">
        <v>1606</v>
      </c>
    </row>
    <row r="1478" s="81" customFormat="1" ht="30" customHeight="1" outlineLevel="1" spans="1:16">
      <c r="A1478" s="141"/>
      <c r="B1478" s="142"/>
      <c r="C1478" s="39"/>
      <c r="D1478" s="39"/>
      <c r="E1478" s="47"/>
      <c r="F1478" s="157" t="s">
        <v>4440</v>
      </c>
      <c r="G1478" s="136" t="s">
        <v>4521</v>
      </c>
      <c r="H1478" s="153" t="s">
        <v>4522</v>
      </c>
      <c r="I1478" s="135" t="s">
        <v>282</v>
      </c>
      <c r="J1478" s="43" t="str">
        <f>INDEX(数据元说明!A:F,MATCH(I1478,数据元说明!C:C,0),2)</f>
        <v>001001</v>
      </c>
      <c r="K1478" s="158" t="str">
        <f>INDEX(数据元说明!A:F,MATCH(I1478,数据元说明!C:C,0),5)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78" s="43" t="str">
        <f>INDEX(数据元说明!A:F,MATCH(I1478,数据元说明!C:C,0),6)</f>
        <v>C..400</v>
      </c>
      <c r="M1478" s="158" t="s">
        <v>4523</v>
      </c>
      <c r="N1478" s="140" t="s">
        <v>57</v>
      </c>
      <c r="O1478" s="140"/>
      <c r="P1478" s="140"/>
    </row>
    <row r="1479" s="35" customFormat="1" ht="30" customHeight="1" outlineLevel="1" spans="1:16">
      <c r="A1479" s="93"/>
      <c r="B1479" s="94"/>
      <c r="C1479" s="95"/>
      <c r="D1479" s="95"/>
      <c r="E1479" s="94"/>
      <c r="F1479" s="158" t="s">
        <v>4524</v>
      </c>
      <c r="G1479" s="43" t="s">
        <v>4525</v>
      </c>
      <c r="H1479" s="153" t="s">
        <v>4526</v>
      </c>
      <c r="I1479" s="158" t="s">
        <v>1253</v>
      </c>
      <c r="J1479" s="410" t="str">
        <f>INDEX(数据元说明!A:F,MATCH(I1479,数据元说明!C:C,0),2)</f>
        <v>010040</v>
      </c>
      <c r="K1479" s="158" t="str">
        <f>INDEX(数据元说明!A:F,MATCH(I1479,数据元说明!C:C,0),5)</f>
        <v>以天为单位计的时间长度。</v>
      </c>
      <c r="L1479" s="213" t="str">
        <f>INDEX(数据元说明!A:F,MATCH(I1479,数据元说明!C:C,0),6)</f>
        <v>I..8</v>
      </c>
      <c r="M1479" s="138" t="s">
        <v>4527</v>
      </c>
      <c r="N1479" s="143" t="s">
        <v>57</v>
      </c>
      <c r="O1479" s="44"/>
      <c r="P1479" s="99"/>
    </row>
    <row r="1480" s="35" customFormat="1" ht="30" customHeight="1" outlineLevel="1" spans="1:16">
      <c r="A1480" s="93"/>
      <c r="B1480" s="94"/>
      <c r="C1480" s="95"/>
      <c r="D1480" s="95"/>
      <c r="E1480" s="94"/>
      <c r="F1480" s="158" t="s">
        <v>4528</v>
      </c>
      <c r="G1480" s="43" t="s">
        <v>4529</v>
      </c>
      <c r="H1480" s="153" t="s">
        <v>4530</v>
      </c>
      <c r="I1480" s="158" t="s">
        <v>449</v>
      </c>
      <c r="J1480" s="213" t="str">
        <f>INDEX(数据元说明!A:F,MATCH(I1480,数据元说明!C:C,0),2)</f>
        <v>001040</v>
      </c>
      <c r="K1480" s="158" t="str">
        <f>INDEX(数据元说明!A:F,MATCH(I1480,数据元说明!C:C,0),5)</f>
        <v>银行自定义。</v>
      </c>
      <c r="L1480" s="213" t="str">
        <f>INDEX(数据元说明!A:F,MATCH(I1480,数据元说明!C:C,0),6)</f>
        <v>C..600</v>
      </c>
      <c r="M1480" s="138" t="s">
        <v>4531</v>
      </c>
      <c r="N1480" s="143" t="s">
        <v>57</v>
      </c>
      <c r="O1480" s="44"/>
      <c r="P1480" s="99"/>
    </row>
    <row r="1481" s="35" customFormat="1" ht="30" customHeight="1" outlineLevel="1" spans="1:16">
      <c r="A1481" s="93"/>
      <c r="B1481" s="94"/>
      <c r="C1481" s="95"/>
      <c r="D1481" s="95"/>
      <c r="E1481" s="94"/>
      <c r="F1481" s="158" t="s">
        <v>3534</v>
      </c>
      <c r="G1481" s="43" t="s">
        <v>3535</v>
      </c>
      <c r="H1481" s="153" t="s">
        <v>4532</v>
      </c>
      <c r="I1481" s="158" t="s">
        <v>624</v>
      </c>
      <c r="J1481" s="213" t="str">
        <f>INDEX(数据元说明!A:F,MATCH(I1481,数据元说明!C:C,0),2)</f>
        <v>003014</v>
      </c>
      <c r="K1481" s="158" t="str">
        <f>INDEX(数据元说明!A:F,MATCH(I1481,数据元说明!C:C,0),5)</f>
        <v>遵循《GB/T 12406 表示货币和资金的代码》的字母代码，如CNY。上述文件所列币种无法涵盖的，允许银行自定义填报。多个币种合计折算为人民币（本外币合计）的，填报为BWB。</v>
      </c>
      <c r="L1481" s="213" t="str">
        <f>INDEX(数据元说明!A:F,MATCH(I1481,数据元说明!C:C,0),6)</f>
        <v>C3</v>
      </c>
      <c r="M1481" s="138" t="s">
        <v>4533</v>
      </c>
      <c r="N1481" s="143"/>
      <c r="O1481" s="44"/>
      <c r="P1481" s="99"/>
    </row>
    <row r="1482" s="35" customFormat="1" ht="30" customHeight="1" outlineLevel="1" spans="1:16">
      <c r="A1482" s="93"/>
      <c r="B1482" s="94"/>
      <c r="C1482" s="95"/>
      <c r="D1482" s="95"/>
      <c r="E1482" s="94"/>
      <c r="F1482" s="157" t="s">
        <v>3538</v>
      </c>
      <c r="G1482" s="43" t="s">
        <v>3539</v>
      </c>
      <c r="H1482" s="153" t="s">
        <v>4534</v>
      </c>
      <c r="I1482" s="157" t="s">
        <v>609</v>
      </c>
      <c r="J1482" s="213" t="str">
        <f>INDEX(数据元说明!A:F,MATCH(I1482,数据元说明!C:C,0),2)</f>
        <v>003010</v>
      </c>
      <c r="K1482" s="158" t="str">
        <f>INDEX(数据元说明!A:F,MATCH(I1482,数据元说明!C:C,0),5)</f>
        <v>与币种相对应金额。</v>
      </c>
      <c r="L1482" s="213" t="str">
        <f>INDEX(数据元说明!A:F,MATCH(I1482,数据元说明!C:C,0),6)</f>
        <v>D20.2</v>
      </c>
      <c r="M1482" s="138" t="s">
        <v>3541</v>
      </c>
      <c r="N1482" s="143" t="s">
        <v>57</v>
      </c>
      <c r="O1482" s="44"/>
      <c r="P1482" s="99"/>
    </row>
    <row r="1483" s="35" customFormat="1" ht="30" customHeight="1" outlineLevel="1" spans="1:16">
      <c r="A1483" s="93"/>
      <c r="B1483" s="94"/>
      <c r="C1483" s="95"/>
      <c r="D1483" s="95"/>
      <c r="E1483" s="94"/>
      <c r="F1483" s="157" t="s">
        <v>3542</v>
      </c>
      <c r="G1483" s="43" t="s">
        <v>3543</v>
      </c>
      <c r="H1483" s="153" t="s">
        <v>4535</v>
      </c>
      <c r="I1483" s="157" t="s">
        <v>292</v>
      </c>
      <c r="J1483" s="213" t="str">
        <f>INDEX(数据元说明!A:F,MATCH(I1483,数据元说明!C:C,0),2)</f>
        <v>001003</v>
      </c>
      <c r="K1483" s="158" t="str">
        <f>INDEX(数据元说明!A:F,MATCH(I1483,数据元说明!C:C,0),5)</f>
        <v>百分比为单位，即1/100，保留两位小数。如4.5%则填报为4.50。</v>
      </c>
      <c r="L1483" s="213" t="str">
        <f>INDEX(数据元说明!A:F,MATCH(I1483,数据元说明!C:C,0),6)</f>
        <v>D20.2</v>
      </c>
      <c r="M1483" s="224" t="s">
        <v>3617</v>
      </c>
      <c r="N1483" s="143" t="s">
        <v>57</v>
      </c>
      <c r="O1483" s="99"/>
      <c r="P1483" s="99"/>
    </row>
    <row r="1484" s="35" customFormat="1" ht="30" customHeight="1" outlineLevel="1" spans="1:16">
      <c r="A1484" s="93"/>
      <c r="B1484" s="94"/>
      <c r="C1484" s="95"/>
      <c r="D1484" s="95"/>
      <c r="E1484" s="94"/>
      <c r="F1484" s="135" t="s">
        <v>3546</v>
      </c>
      <c r="G1484" s="136" t="s">
        <v>3547</v>
      </c>
      <c r="H1484" s="153" t="s">
        <v>4536</v>
      </c>
      <c r="I1484" s="135" t="s">
        <v>624</v>
      </c>
      <c r="J1484" s="213" t="str">
        <f>INDEX(数据元说明!A:F,MATCH(I1484,数据元说明!C:C,0),2)</f>
        <v>003014</v>
      </c>
      <c r="K1484" s="158" t="str">
        <f>INDEX(数据元说明!A:F,MATCH(I1484,数据元说明!C:C,0),5)</f>
        <v>遵循《GB/T 12406 表示货币和资金的代码》的字母代码，如CNY。上述文件所列币种无法涵盖的，允许银行自定义填报。多个币种合计折算为人民币（本外币合计）的，填报为BWB。</v>
      </c>
      <c r="L1484" s="213" t="str">
        <f>INDEX(数据元说明!A:F,MATCH(I1484,数据元说明!C:C,0),6)</f>
        <v>C3</v>
      </c>
      <c r="M1484" s="138" t="s">
        <v>4456</v>
      </c>
      <c r="N1484" s="143" t="s">
        <v>57</v>
      </c>
      <c r="O1484" s="99"/>
      <c r="P1484" s="99"/>
    </row>
    <row r="1485" s="35" customFormat="1" ht="30" customHeight="1" outlineLevel="1" spans="1:16">
      <c r="A1485" s="93"/>
      <c r="B1485" s="94"/>
      <c r="C1485" s="95"/>
      <c r="D1485" s="95"/>
      <c r="E1485" s="94"/>
      <c r="F1485" s="157" t="s">
        <v>3550</v>
      </c>
      <c r="G1485" s="43" t="s">
        <v>3551</v>
      </c>
      <c r="H1485" s="153" t="s">
        <v>4537</v>
      </c>
      <c r="I1485" s="157" t="s">
        <v>609</v>
      </c>
      <c r="J1485" s="213" t="str">
        <f>INDEX(数据元说明!A:F,MATCH(I1485,数据元说明!C:C,0),2)</f>
        <v>003010</v>
      </c>
      <c r="K1485" s="158" t="str">
        <f>INDEX(数据元说明!A:F,MATCH(I1485,数据元说明!C:C,0),5)</f>
        <v>与币种相对应金额。</v>
      </c>
      <c r="L1485" s="213" t="str">
        <f>INDEX(数据元说明!A:F,MATCH(I1485,数据元说明!C:C,0),6)</f>
        <v>D20.2</v>
      </c>
      <c r="M1485" s="138" t="s">
        <v>4458</v>
      </c>
      <c r="N1485" s="143" t="s">
        <v>57</v>
      </c>
      <c r="O1485" s="99"/>
      <c r="P1485" s="99"/>
    </row>
    <row r="1486" s="35" customFormat="1" ht="30" customHeight="1" outlineLevel="1" spans="1:16">
      <c r="A1486" s="93"/>
      <c r="B1486" s="94"/>
      <c r="C1486" s="95"/>
      <c r="D1486" s="95"/>
      <c r="E1486" s="94"/>
      <c r="F1486" s="158" t="s">
        <v>914</v>
      </c>
      <c r="G1486" s="213" t="s">
        <v>2932</v>
      </c>
      <c r="H1486" s="153" t="s">
        <v>4538</v>
      </c>
      <c r="I1486" s="158" t="s">
        <v>926</v>
      </c>
      <c r="J1486" s="410" t="str">
        <f>INDEX(数据元说明!A:F,MATCH(I1486,数据元说明!C:C,0),2)</f>
        <v>005048</v>
      </c>
      <c r="K1486" s="158" t="str">
        <f>INDEX(数据元说明!A:F,MATCH(I1486,数据元说明!C:C,0),5)</f>
        <v>未生效，正常，失效，垫款，撤销，终结，其他-银行自定义。无法以枚举类型填报的，以“其他-XX”填报，其中“XX”为银行自定义状态。</v>
      </c>
      <c r="L1486" s="213" t="str">
        <f>INDEX(数据元说明!A:F,MATCH(I1486,数据元说明!C:C,0),6)</f>
        <v>C..20</v>
      </c>
      <c r="M1486" s="138"/>
      <c r="N1486" s="143" t="s">
        <v>57</v>
      </c>
      <c r="O1486" s="99"/>
      <c r="P1486" s="99"/>
    </row>
    <row r="1487" s="35" customFormat="1" ht="30" customHeight="1" outlineLevel="1" spans="1:16">
      <c r="A1487" s="93"/>
      <c r="B1487" s="94"/>
      <c r="C1487" s="95"/>
      <c r="D1487" s="95"/>
      <c r="E1487" s="94"/>
      <c r="F1487" s="158" t="s">
        <v>3694</v>
      </c>
      <c r="G1487" s="43" t="s">
        <v>4461</v>
      </c>
      <c r="H1487" s="153" t="s">
        <v>4539</v>
      </c>
      <c r="I1487" s="158" t="s">
        <v>349</v>
      </c>
      <c r="J1487" s="213" t="str">
        <f>INDEX(数据元说明!A:F,MATCH(I1487,数据元说明!C:C,0),2)</f>
        <v>001016</v>
      </c>
      <c r="K1487" s="158" t="str">
        <f>INDEX(数据元说明!A:F,MATCH(I1487,数据元说明!C:C,0),5)</f>
        <v>工号，银行自定义。</v>
      </c>
      <c r="L1487" s="213" t="str">
        <f>INDEX(数据元说明!A:F,MATCH(I1487,数据元说明!C:C,0),6)</f>
        <v>C..30</v>
      </c>
      <c r="M1487" s="138" t="s">
        <v>4463</v>
      </c>
      <c r="N1487" s="143" t="s">
        <v>57</v>
      </c>
      <c r="O1487" s="99"/>
      <c r="P1487" s="99"/>
    </row>
    <row r="1488" s="81" customFormat="1" ht="30" customHeight="1" outlineLevel="1" spans="1:16">
      <c r="A1488" s="134"/>
      <c r="B1488" s="47"/>
      <c r="C1488" s="39"/>
      <c r="D1488" s="39"/>
      <c r="E1488" s="47"/>
      <c r="F1488" s="169" t="s">
        <v>449</v>
      </c>
      <c r="G1488" s="148" t="s">
        <v>1571</v>
      </c>
      <c r="H1488" s="148" t="s">
        <v>4540</v>
      </c>
      <c r="I1488" s="169" t="s">
        <v>449</v>
      </c>
      <c r="J1488" s="170" t="str">
        <f>INDEX(数据元说明!A:F,MATCH(I1488,数据元说明!C:C,0),2)</f>
        <v>001040</v>
      </c>
      <c r="K1488" s="171" t="str">
        <f>INDEX(数据元说明!A:F,MATCH(I1488,数据元说明!C:C,0),5)</f>
        <v>银行自定义。</v>
      </c>
      <c r="L1488" s="170" t="str">
        <f>INDEX(数据元说明!A:F,MATCH(I1488,数据元说明!C:C,0),6)</f>
        <v>C..600</v>
      </c>
      <c r="M1488" s="149" t="s">
        <v>1573</v>
      </c>
      <c r="N1488" s="143" t="s">
        <v>57</v>
      </c>
      <c r="O1488" s="173"/>
      <c r="P1488" s="173"/>
    </row>
    <row r="1489" s="35" customFormat="1" ht="30" customHeight="1" outlineLevel="1" spans="1:16">
      <c r="A1489" s="93"/>
      <c r="B1489" s="94"/>
      <c r="C1489" s="95"/>
      <c r="D1489" s="95"/>
      <c r="E1489" s="94"/>
      <c r="F1489" s="158" t="s">
        <v>1574</v>
      </c>
      <c r="G1489" s="43" t="s">
        <v>1575</v>
      </c>
      <c r="H1489" s="153" t="s">
        <v>4541</v>
      </c>
      <c r="I1489" s="158" t="s">
        <v>302</v>
      </c>
      <c r="J1489" s="213" t="str">
        <f>INDEX(数据元说明!A:F,MATCH(I1489,数据元说明!C:C,0),2)</f>
        <v>001005</v>
      </c>
      <c r="K1489" s="158" t="str">
        <f>INDEX(数据元说明!A:F,MATCH(I1489,数据元说明!C:C,0),5)</f>
        <v>YYYYMMDD，默认值99991231。</v>
      </c>
      <c r="L1489" s="213" t="str">
        <f>INDEX(数据元说明!A:F,MATCH(I1489,数据元说明!C:C,0),6)</f>
        <v>C8</v>
      </c>
      <c r="M1489" s="133" t="s">
        <v>1577</v>
      </c>
      <c r="N1489" s="143" t="s">
        <v>57</v>
      </c>
      <c r="O1489" s="44"/>
      <c r="P1489" s="99"/>
    </row>
    <row r="1490" s="83" customFormat="1" ht="28" customHeight="1" spans="1:16">
      <c r="A1490" s="210"/>
      <c r="B1490" s="211"/>
      <c r="C1490" s="190" t="s">
        <v>222</v>
      </c>
      <c r="D1490" s="191" t="s">
        <v>223</v>
      </c>
      <c r="E1490" s="192" t="s">
        <v>4542</v>
      </c>
      <c r="F1490" s="193"/>
      <c r="G1490" s="194"/>
      <c r="H1490" s="192"/>
      <c r="I1490" s="193"/>
      <c r="J1490" s="194"/>
      <c r="K1490" s="195"/>
      <c r="L1490" s="194"/>
      <c r="M1490" s="193" t="str">
        <f>INDEX(表结构总览!E:H,MATCH(D1490,表结构总览!E:E,0),4)</f>
        <v>填报承兑汇票、保函、信用证、保理融资等业务为审查贸易背景真实性收集的发票、仓单、提单等信息，以能采尽采的原则，每月报送新收集的单据信息。报送范围：本行开出的票据（同《票据出票信息表》），本行开立的保函和信用证（同《保函与信用证表》），保理融资业务（同《贸易融资业务表》中的保理融资业务），其中非基于企业间贸易的保函可以不报送，业务尚未收集发票的暂时不报送。非本行开立的票据、保函、信用证的单据信息如未收集发票信息的可以不报送。同一票据或合同下对应的多个单据，以单据编号为最小粒度逐条报送。</v>
      </c>
      <c r="N1490" s="143" t="s">
        <v>57</v>
      </c>
      <c r="O1490" s="164"/>
      <c r="P1490" s="164"/>
    </row>
    <row r="1491" s="35" customFormat="1" ht="30" customHeight="1" outlineLevel="1" spans="1:16">
      <c r="A1491" s="93"/>
      <c r="B1491" s="94"/>
      <c r="C1491" s="95"/>
      <c r="D1491" s="95"/>
      <c r="E1491" s="94"/>
      <c r="F1491" s="158" t="s">
        <v>325</v>
      </c>
      <c r="G1491" s="43" t="s">
        <v>1520</v>
      </c>
      <c r="H1491" s="153" t="s">
        <v>4543</v>
      </c>
      <c r="I1491" s="158" t="s">
        <v>325</v>
      </c>
      <c r="J1491" s="213" t="str">
        <f>INDEX(数据元说明!A:F,MATCH(I1491,数据元说明!C:C,0),2)</f>
        <v>001010</v>
      </c>
      <c r="K1491" s="158" t="str">
        <f>INDEX(数据元说明!A:F,MATCH(I1491,数据元说明!C:C,0),5)</f>
        <v>12位人行支付行号或SWIFT行号。</v>
      </c>
      <c r="L1491" s="213" t="str">
        <f>INDEX(数据元说明!A:F,MATCH(I1491,数据元说明!C:C,0),6)</f>
        <v>C..30</v>
      </c>
      <c r="M1491" s="138" t="s">
        <v>4468</v>
      </c>
      <c r="N1491" s="143" t="s">
        <v>57</v>
      </c>
      <c r="O1491" s="44"/>
      <c r="P1491" s="99"/>
    </row>
    <row r="1492" s="81" customFormat="1" ht="30" customHeight="1" outlineLevel="1" spans="1:16">
      <c r="A1492" s="134"/>
      <c r="B1492" s="47"/>
      <c r="C1492" s="39"/>
      <c r="D1492" s="39"/>
      <c r="E1492" s="47"/>
      <c r="F1492" s="135" t="s">
        <v>329</v>
      </c>
      <c r="G1492" s="136" t="s">
        <v>1526</v>
      </c>
      <c r="H1492" s="153" t="s">
        <v>4544</v>
      </c>
      <c r="I1492" s="135" t="s">
        <v>329</v>
      </c>
      <c r="J1492" s="136" t="str">
        <f>INDEX(数据元说明!A:F,MATCH(I1492,数据元说明!C:C,0),2)</f>
        <v>001011</v>
      </c>
      <c r="K1492" s="138" t="str">
        <f>INDEX(数据元说明!A:F,MATCH(I1492,数据元说明!C:C,0),5)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492" s="136" t="str">
        <f>INDEX(数据元说明!A:F,MATCH(I1492,数据元说明!C:C,0),6)</f>
        <v>C..30</v>
      </c>
      <c r="M1492" s="138" t="s">
        <v>4470</v>
      </c>
      <c r="N1492" s="143" t="s">
        <v>57</v>
      </c>
      <c r="O1492" s="140"/>
      <c r="P1492" s="140"/>
    </row>
    <row r="1493" s="35" customFormat="1" ht="30" customHeight="1" outlineLevel="1" spans="1:16">
      <c r="A1493" s="93"/>
      <c r="B1493" s="94"/>
      <c r="C1493" s="95"/>
      <c r="D1493" s="95"/>
      <c r="E1493" s="94"/>
      <c r="F1493" s="158" t="s">
        <v>333</v>
      </c>
      <c r="G1493" s="43" t="s">
        <v>1523</v>
      </c>
      <c r="H1493" s="153" t="s">
        <v>4545</v>
      </c>
      <c r="I1493" s="158" t="s">
        <v>333</v>
      </c>
      <c r="J1493" s="213" t="str">
        <f>INDEX(数据元说明!A:F,MATCH(I1493,数据元说明!C:C,0),2)</f>
        <v>001012</v>
      </c>
      <c r="K1493" s="158" t="str">
        <f>INDEX(数据元说明!A:F,MATCH(I1493,数据元说明!C:C,0),5)</f>
        <v>银行内部机构号。应具有标识机构的唯一性。</v>
      </c>
      <c r="L1493" s="213" t="str">
        <f>INDEX(数据元说明!A:F,MATCH(I1493,数据元说明!C:C,0),6)</f>
        <v>C..30</v>
      </c>
      <c r="M1493" s="138" t="s">
        <v>4472</v>
      </c>
      <c r="N1493" s="143" t="s">
        <v>57</v>
      </c>
      <c r="O1493" s="44"/>
      <c r="P1493" s="99"/>
    </row>
    <row r="1494" s="89" customFormat="1" ht="30" customHeight="1" outlineLevel="1" spans="1:16">
      <c r="A1494" s="154"/>
      <c r="B1494" s="155"/>
      <c r="C1494" s="156"/>
      <c r="D1494" s="156"/>
      <c r="E1494" s="155"/>
      <c r="F1494" s="158" t="s">
        <v>1532</v>
      </c>
      <c r="G1494" s="213" t="s">
        <v>1533</v>
      </c>
      <c r="H1494" s="153" t="s">
        <v>4546</v>
      </c>
      <c r="I1494" s="158" t="s">
        <v>282</v>
      </c>
      <c r="J1494" s="213" t="str">
        <f>INDEX(数据元说明!A:F,MATCH(I1494,数据元说明!C:C,0),2)</f>
        <v>001001</v>
      </c>
      <c r="K1494" s="158" t="str">
        <f>INDEX(数据元说明!A:F,MATCH(I1494,数据元说明!C:C,0),5)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494" s="213" t="str">
        <f>INDEX(数据元说明!A:F,MATCH(I1494,数据元说明!C:C,0),6)</f>
        <v>C..400</v>
      </c>
      <c r="M1494" s="138" t="s">
        <v>4474</v>
      </c>
      <c r="N1494" s="143" t="s">
        <v>57</v>
      </c>
      <c r="O1494" s="140"/>
      <c r="P1494" s="140"/>
    </row>
    <row r="1495" s="89" customFormat="1" ht="30" customHeight="1" outlineLevel="1" spans="1:16">
      <c r="A1495" s="154"/>
      <c r="B1495" s="155"/>
      <c r="C1495" s="156"/>
      <c r="D1495" s="156"/>
      <c r="E1495" s="155"/>
      <c r="F1495" s="158" t="s">
        <v>4481</v>
      </c>
      <c r="G1495" s="213" t="s">
        <v>4482</v>
      </c>
      <c r="H1495" s="153" t="s">
        <v>4547</v>
      </c>
      <c r="I1495" s="158" t="s">
        <v>934</v>
      </c>
      <c r="J1495" s="410" t="str">
        <f>INDEX(数据元说明!A:F,MATCH(I1495,数据元说明!C:C,0),2)</f>
        <v>005050</v>
      </c>
      <c r="K1495" s="158" t="str">
        <f>INDEX(数据元说明!A:F,MATCH(I1495,数据元说明!C:C,0),5)</f>
        <v>承兑汇票，保函，信用证，其他-银行自定义。无法以枚举类型填报的，以“其他-XX”填报，其中“XX”为银行自定义业务种类。</v>
      </c>
      <c r="L1495" s="213" t="str">
        <f>INDEX(数据元说明!A:F,MATCH(I1495,数据元说明!C:C,0),6)</f>
        <v>C..30</v>
      </c>
      <c r="M1495" s="138"/>
      <c r="N1495" s="143" t="s">
        <v>57</v>
      </c>
      <c r="O1495" s="140"/>
      <c r="P1495" s="140"/>
    </row>
    <row r="1496" s="89" customFormat="1" ht="30" customHeight="1" outlineLevel="1" spans="1:16">
      <c r="A1496" s="154"/>
      <c r="B1496" s="155"/>
      <c r="C1496" s="156"/>
      <c r="D1496" s="156"/>
      <c r="E1496" s="155"/>
      <c r="F1496" s="158" t="s">
        <v>4548</v>
      </c>
      <c r="G1496" s="213" t="s">
        <v>4549</v>
      </c>
      <c r="H1496" s="153" t="s">
        <v>4550</v>
      </c>
      <c r="I1496" s="158" t="s">
        <v>681</v>
      </c>
      <c r="J1496" s="213" t="str">
        <f>INDEX(数据元说明!A:F,MATCH(I1496,数据元说明!C:C,0),2)</f>
        <v>003028</v>
      </c>
      <c r="K1496" s="158" t="str">
        <f>INDEX(数据元说明!A:F,MATCH(I1496,数据元说明!C:C,0),5)</f>
        <v>合同号。</v>
      </c>
      <c r="L1496" s="213" t="str">
        <f>INDEX(数据元说明!A:F,MATCH(I1496,数据元说明!C:C,0),6)</f>
        <v>C..100</v>
      </c>
      <c r="M1496" s="138" t="s">
        <v>4551</v>
      </c>
      <c r="N1496" s="143" t="s">
        <v>57</v>
      </c>
      <c r="O1496" s="140"/>
      <c r="P1496" s="140"/>
    </row>
    <row r="1497" s="89" customFormat="1" ht="30" customHeight="1" outlineLevel="1" spans="1:16">
      <c r="A1497" s="154"/>
      <c r="B1497" s="155"/>
      <c r="C1497" s="156"/>
      <c r="D1497" s="156"/>
      <c r="E1497" s="155"/>
      <c r="F1497" s="158" t="s">
        <v>624</v>
      </c>
      <c r="G1497" s="213" t="s">
        <v>1989</v>
      </c>
      <c r="H1497" s="153" t="s">
        <v>4552</v>
      </c>
      <c r="I1497" s="158" t="s">
        <v>624</v>
      </c>
      <c r="J1497" s="213" t="str">
        <f>INDEX(数据元说明!A:F,MATCH(I1497,数据元说明!C:C,0),2)</f>
        <v>003014</v>
      </c>
      <c r="K1497" s="158" t="str">
        <f>INDEX(数据元说明!A:F,MATCH(I1497,数据元说明!C:C,0),5)</f>
        <v>遵循《GB/T 12406 表示货币和资金的代码》的字母代码，如CNY。上述文件所列币种无法涵盖的，允许银行自定义填报。多个币种合计折算为人民币（本外币合计）的，填报为BWB。</v>
      </c>
      <c r="L1497" s="213" t="str">
        <f>INDEX(数据元说明!A:F,MATCH(I1497,数据元说明!C:C,0),6)</f>
        <v>C3</v>
      </c>
      <c r="M1497" s="138"/>
      <c r="N1497" s="143" t="s">
        <v>57</v>
      </c>
      <c r="O1497" s="140"/>
      <c r="P1497" s="140"/>
    </row>
    <row r="1498" s="89" customFormat="1" ht="30" customHeight="1" outlineLevel="1" spans="1:16">
      <c r="A1498" s="154"/>
      <c r="B1498" s="155"/>
      <c r="C1498" s="156"/>
      <c r="D1498" s="156"/>
      <c r="E1498" s="155"/>
      <c r="F1498" s="158" t="s">
        <v>2910</v>
      </c>
      <c r="G1498" s="213" t="s">
        <v>2911</v>
      </c>
      <c r="H1498" s="153" t="s">
        <v>4553</v>
      </c>
      <c r="I1498" s="158" t="s">
        <v>609</v>
      </c>
      <c r="J1498" s="213" t="str">
        <f>INDEX(数据元说明!A:F,MATCH(I1498,数据元说明!C:C,0),2)</f>
        <v>003010</v>
      </c>
      <c r="K1498" s="158" t="str">
        <f>INDEX(数据元说明!A:F,MATCH(I1498,数据元说明!C:C,0),5)</f>
        <v>与币种相对应金额。</v>
      </c>
      <c r="L1498" s="213" t="str">
        <f>INDEX(数据元说明!A:F,MATCH(I1498,数据元说明!C:C,0),6)</f>
        <v>D20.2</v>
      </c>
      <c r="M1498" s="138" t="s">
        <v>4554</v>
      </c>
      <c r="N1498" s="143" t="s">
        <v>57</v>
      </c>
      <c r="O1498" s="140"/>
      <c r="P1498" s="140"/>
    </row>
    <row r="1499" s="81" customFormat="1" ht="30" customHeight="1" outlineLevel="1" spans="1:16">
      <c r="A1499" s="167"/>
      <c r="B1499" s="168"/>
      <c r="C1499" s="44"/>
      <c r="D1499" s="44"/>
      <c r="E1499" s="168"/>
      <c r="F1499" s="157" t="s">
        <v>811</v>
      </c>
      <c r="G1499" s="43" t="s">
        <v>4555</v>
      </c>
      <c r="H1499" s="153" t="s">
        <v>4556</v>
      </c>
      <c r="I1499" s="157" t="s">
        <v>811</v>
      </c>
      <c r="J1499" s="407" t="str">
        <f>INDEX(数据元说明!A:F,MATCH(I1499,数据元说明!C:C,0),2)</f>
        <v>005019</v>
      </c>
      <c r="K1499" s="158" t="str">
        <f>INDEX(数据元说明!A:F,MATCH(I1499,数据元说明!C:C,0),5)</f>
        <v>贸易背景真实性审查收集的单据编号，没有编号的单据由银行自定义一个唯一识别单据的编号。</v>
      </c>
      <c r="L1499" s="43" t="str">
        <f>INDEX(数据元说明!A:F,MATCH(I1499,数据元说明!C:C,0),6)</f>
        <v>C..30</v>
      </c>
      <c r="M1499" s="158" t="s">
        <v>1587</v>
      </c>
      <c r="N1499" s="164" t="s">
        <v>57</v>
      </c>
      <c r="O1499" s="140"/>
      <c r="P1499" s="140"/>
    </row>
    <row r="1500" s="81" customFormat="1" ht="30" customHeight="1" outlineLevel="1" spans="1:16">
      <c r="A1500" s="167"/>
      <c r="B1500" s="168"/>
      <c r="C1500" s="44"/>
      <c r="D1500" s="44"/>
      <c r="E1500" s="168"/>
      <c r="F1500" s="157" t="s">
        <v>815</v>
      </c>
      <c r="G1500" s="43" t="s">
        <v>4557</v>
      </c>
      <c r="H1500" s="153" t="s">
        <v>4558</v>
      </c>
      <c r="I1500" s="157" t="s">
        <v>815</v>
      </c>
      <c r="J1500" s="407" t="str">
        <f>INDEX(数据元说明!A:F,MATCH(I1500,数据元说明!C:C,0),2)</f>
        <v>005020</v>
      </c>
      <c r="K1500" s="158" t="str">
        <f>INDEX(数据元说明!A:F,MATCH(I1500,数据元说明!C:C,0),5)</f>
        <v>银行自定义。例如：商业发票、增值税发票、提单、报关单、货物清单等。</v>
      </c>
      <c r="L1500" s="43" t="str">
        <f>INDEX(数据元说明!A:F,MATCH(I1500,数据元说明!C:C,0),6)</f>
        <v>C..30</v>
      </c>
      <c r="M1500" s="158"/>
      <c r="N1500" s="164" t="s">
        <v>57</v>
      </c>
      <c r="O1500" s="140"/>
      <c r="P1500" s="140"/>
    </row>
    <row r="1501" s="81" customFormat="1" ht="30" customHeight="1" outlineLevel="1" spans="1:16">
      <c r="A1501" s="167"/>
      <c r="B1501" s="168"/>
      <c r="C1501" s="44"/>
      <c r="D1501" s="44"/>
      <c r="E1501" s="168"/>
      <c r="F1501" s="157" t="s">
        <v>4559</v>
      </c>
      <c r="G1501" s="43" t="s">
        <v>4560</v>
      </c>
      <c r="H1501" s="153" t="s">
        <v>4561</v>
      </c>
      <c r="I1501" s="157" t="s">
        <v>624</v>
      </c>
      <c r="J1501" s="43" t="str">
        <f>INDEX(数据元说明!A:F,MATCH(I1501,数据元说明!C:C,0),2)</f>
        <v>003014</v>
      </c>
      <c r="K1501" s="158" t="str">
        <f>INDEX(数据元说明!A:F,MATCH(I1501,数据元说明!C:C,0),5)</f>
        <v>遵循《GB/T 12406 表示货币和资金的代码》的字母代码，如CNY。上述文件所列币种无法涵盖的，允许银行自定义填报。多个币种合计折算为人民币（本外币合计）的，填报为BWB。</v>
      </c>
      <c r="L1501" s="43" t="str">
        <f>INDEX(数据元说明!A:F,MATCH(I1501,数据元说明!C:C,0),6)</f>
        <v>C3</v>
      </c>
      <c r="M1501" s="158"/>
      <c r="N1501" s="164" t="s">
        <v>57</v>
      </c>
      <c r="O1501" s="140"/>
      <c r="P1501" s="140"/>
    </row>
    <row r="1502" s="81" customFormat="1" ht="30" customHeight="1" outlineLevel="1" spans="1:16">
      <c r="A1502" s="167"/>
      <c r="B1502" s="168"/>
      <c r="C1502" s="44"/>
      <c r="D1502" s="44"/>
      <c r="E1502" s="168"/>
      <c r="F1502" s="157" t="s">
        <v>4562</v>
      </c>
      <c r="G1502" s="43" t="s">
        <v>4563</v>
      </c>
      <c r="H1502" s="153" t="s">
        <v>4564</v>
      </c>
      <c r="I1502" s="157" t="s">
        <v>609</v>
      </c>
      <c r="J1502" s="43" t="str">
        <f>INDEX(数据元说明!A:F,MATCH(I1502,数据元说明!C:C,0),2)</f>
        <v>003010</v>
      </c>
      <c r="K1502" s="158" t="str">
        <f>INDEX(数据元说明!A:F,MATCH(I1502,数据元说明!C:C,0),5)</f>
        <v>与币种相对应金额。</v>
      </c>
      <c r="L1502" s="43" t="str">
        <f>INDEX(数据元说明!A:F,MATCH(I1502,数据元说明!C:C,0),6)</f>
        <v>D20.2</v>
      </c>
      <c r="M1502" s="158" t="s">
        <v>4565</v>
      </c>
      <c r="N1502" s="164" t="s">
        <v>57</v>
      </c>
      <c r="O1502" s="140"/>
      <c r="P1502" s="140"/>
    </row>
    <row r="1503" s="81" customFormat="1" ht="30" customHeight="1" outlineLevel="1" spans="1:16">
      <c r="A1503" s="134"/>
      <c r="B1503" s="47"/>
      <c r="C1503" s="39"/>
      <c r="D1503" s="39"/>
      <c r="E1503" s="47"/>
      <c r="F1503" s="169" t="s">
        <v>449</v>
      </c>
      <c r="G1503" s="148" t="s">
        <v>1571</v>
      </c>
      <c r="H1503" s="148" t="s">
        <v>4566</v>
      </c>
      <c r="I1503" s="169" t="s">
        <v>449</v>
      </c>
      <c r="J1503" s="170" t="str">
        <f>INDEX(数据元说明!A:F,MATCH(I1503,数据元说明!C:C,0),2)</f>
        <v>001040</v>
      </c>
      <c r="K1503" s="171" t="str">
        <f>INDEX(数据元说明!A:F,MATCH(I1503,数据元说明!C:C,0),5)</f>
        <v>银行自定义。</v>
      </c>
      <c r="L1503" s="170" t="str">
        <f>INDEX(数据元说明!A:F,MATCH(I1503,数据元说明!C:C,0),6)</f>
        <v>C..600</v>
      </c>
      <c r="M1503" s="149" t="s">
        <v>1573</v>
      </c>
      <c r="N1503" s="143" t="s">
        <v>57</v>
      </c>
      <c r="O1503" s="173"/>
      <c r="P1503" s="173"/>
    </row>
    <row r="1504" s="61" customFormat="1" ht="30" customHeight="1" outlineLevel="1" spans="1:16">
      <c r="A1504" s="93"/>
      <c r="B1504" s="94"/>
      <c r="C1504" s="95"/>
      <c r="D1504" s="95"/>
      <c r="E1504" s="94"/>
      <c r="F1504" s="97" t="s">
        <v>1574</v>
      </c>
      <c r="G1504" s="29" t="s">
        <v>1575</v>
      </c>
      <c r="H1504" s="96" t="s">
        <v>4567</v>
      </c>
      <c r="I1504" s="97" t="s">
        <v>302</v>
      </c>
      <c r="J1504" s="29" t="str">
        <f>INDEX(数据元说明!A:F,MATCH(I1504,数据元说明!C:C,0),2)</f>
        <v>001005</v>
      </c>
      <c r="K1504" s="98" t="str">
        <f>INDEX(数据元说明!A:F,MATCH(I1504,数据元说明!C:C,0),5)</f>
        <v>YYYYMMDD，默认值99991231。</v>
      </c>
      <c r="L1504" s="29" t="str">
        <f>INDEX(数据元说明!A:F,MATCH(I1504,数据元说明!C:C,0),6)</f>
        <v>C8</v>
      </c>
      <c r="M1504" s="98" t="s">
        <v>1577</v>
      </c>
      <c r="N1504" s="143" t="s">
        <v>57</v>
      </c>
      <c r="O1504" s="99"/>
      <c r="P1504" s="99"/>
    </row>
    <row r="1505" s="81" customFormat="1" ht="30" customHeight="1" spans="1:16">
      <c r="A1505" s="179"/>
      <c r="B1505" s="180"/>
      <c r="C1505" s="37" t="s">
        <v>225</v>
      </c>
      <c r="D1505" s="38" t="s">
        <v>226</v>
      </c>
      <c r="E1505" s="181" t="s">
        <v>4568</v>
      </c>
      <c r="F1505" s="182"/>
      <c r="G1505" s="183"/>
      <c r="H1505" s="181"/>
      <c r="I1505" s="182"/>
      <c r="J1505" s="183"/>
      <c r="K1505" s="128"/>
      <c r="L1505" s="183"/>
      <c r="M1505" s="128" t="str">
        <f>INDEX(表结构总览!E:H,MATCH(D1505,表结构总览!E:E,0),4)</f>
        <v>报送范围：参照1104报表G01_I_1[13.委托贷款]口径，报送所有个人及对公委托贷款业务，包括现金管理项下委托贷款、非现金管理项下委托贷款和公积金委托贷款。对于现金管理项下委托贷款，每发生一笔放款仅报送一次，以后不再报送，贷款状态以“其他-现金管理项下”报送。结清或者终结的委托贷款，在报送合同最后状态的次月不再填报。</v>
      </c>
      <c r="N1505" s="140" t="s">
        <v>25</v>
      </c>
      <c r="O1505" s="140" t="s">
        <v>449</v>
      </c>
      <c r="P1505" s="140"/>
    </row>
    <row r="1506" s="61" customFormat="1" ht="30" customHeight="1" outlineLevel="1" spans="1:16">
      <c r="A1506" s="184"/>
      <c r="B1506" s="185"/>
      <c r="C1506" s="25"/>
      <c r="D1506" s="25"/>
      <c r="E1506" s="36"/>
      <c r="F1506" s="131" t="s">
        <v>325</v>
      </c>
      <c r="G1506" s="31" t="s">
        <v>1520</v>
      </c>
      <c r="H1506" s="132" t="s">
        <v>4569</v>
      </c>
      <c r="I1506" s="131" t="s">
        <v>325</v>
      </c>
      <c r="J1506" s="31" t="str">
        <f>INDEX(数据元说明!A:F,MATCH(I1506,数据元说明!C:C,0),2)</f>
        <v>001010</v>
      </c>
      <c r="K1506" s="133" t="str">
        <f>INDEX(数据元说明!A:F,MATCH(I1506,数据元说明!C:C,0),5)</f>
        <v>12位人行支付行号或SWIFT行号。</v>
      </c>
      <c r="L1506" s="31" t="str">
        <f>INDEX(数据元说明!A:F,MATCH(I1506,数据元说明!C:C,0),6)</f>
        <v>C..30</v>
      </c>
      <c r="M1506" s="133" t="s">
        <v>4570</v>
      </c>
      <c r="N1506" s="99"/>
      <c r="O1506" s="99"/>
      <c r="P1506" s="99"/>
    </row>
    <row r="1507" s="61" customFormat="1" ht="30" customHeight="1" outlineLevel="1" spans="1:16">
      <c r="A1507" s="130"/>
      <c r="B1507" s="36"/>
      <c r="C1507" s="25"/>
      <c r="D1507" s="25"/>
      <c r="E1507" s="36"/>
      <c r="F1507" s="131" t="s">
        <v>329</v>
      </c>
      <c r="G1507" s="31" t="s">
        <v>1526</v>
      </c>
      <c r="H1507" s="132" t="s">
        <v>4571</v>
      </c>
      <c r="I1507" s="131" t="s">
        <v>329</v>
      </c>
      <c r="J1507" s="31" t="str">
        <f>INDEX(数据元说明!A:F,MATCH(I1507,数据元说明!C:C,0),2)</f>
        <v>001011</v>
      </c>
      <c r="K1507" s="133" t="str">
        <f>INDEX(数据元说明!A:F,MATCH(I1507,数据元说明!C:C,0),5)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07" s="31" t="str">
        <f>INDEX(数据元说明!A:F,MATCH(I1507,数据元说明!C:C,0),6)</f>
        <v>C..30</v>
      </c>
      <c r="M1507" s="133" t="s">
        <v>4470</v>
      </c>
      <c r="N1507" s="99"/>
      <c r="O1507" s="99"/>
      <c r="P1507" s="99"/>
    </row>
    <row r="1508" s="61" customFormat="1" ht="30" customHeight="1" outlineLevel="1" spans="1:16">
      <c r="A1508" s="130"/>
      <c r="B1508" s="36"/>
      <c r="C1508" s="25"/>
      <c r="D1508" s="25"/>
      <c r="E1508" s="36"/>
      <c r="F1508" s="131" t="s">
        <v>333</v>
      </c>
      <c r="G1508" s="31" t="s">
        <v>1523</v>
      </c>
      <c r="H1508" s="132" t="s">
        <v>4572</v>
      </c>
      <c r="I1508" s="131" t="s">
        <v>333</v>
      </c>
      <c r="J1508" s="31" t="str">
        <f>INDEX(数据元说明!A:F,MATCH(I1508,数据元说明!C:C,0),2)</f>
        <v>001012</v>
      </c>
      <c r="K1508" s="133" t="str">
        <f>INDEX(数据元说明!A:F,MATCH(I1508,数据元说明!C:C,0),5)</f>
        <v>银行内部机构号。应具有标识机构的唯一性。</v>
      </c>
      <c r="L1508" s="31" t="str">
        <f>INDEX(数据元说明!A:F,MATCH(I1508,数据元说明!C:C,0),6)</f>
        <v>C..30</v>
      </c>
      <c r="M1508" s="133" t="s">
        <v>4573</v>
      </c>
      <c r="N1508" s="99"/>
      <c r="O1508" s="99"/>
      <c r="P1508" s="99"/>
    </row>
    <row r="1509" s="92" customFormat="1" ht="30" customHeight="1" outlineLevel="1" spans="1:16">
      <c r="A1509" s="93"/>
      <c r="B1509" s="94"/>
      <c r="C1509" s="95"/>
      <c r="D1509" s="95"/>
      <c r="E1509" s="94"/>
      <c r="F1509" s="98" t="s">
        <v>1532</v>
      </c>
      <c r="G1509" s="101" t="s">
        <v>1533</v>
      </c>
      <c r="H1509" s="132" t="s">
        <v>4574</v>
      </c>
      <c r="I1509" s="98" t="s">
        <v>282</v>
      </c>
      <c r="J1509" s="101" t="str">
        <f>INDEX(数据元说明!A:F,MATCH(I1509,数据元说明!C:C,0),2)</f>
        <v>001001</v>
      </c>
      <c r="K1509" s="98" t="str">
        <f>INDEX(数据元说明!A:F,MATCH(I1509,数据元说明!C:C,0),5)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09" s="101" t="str">
        <f>INDEX(数据元说明!A:F,MATCH(I1509,数据元说明!C:C,0),6)</f>
        <v>C..400</v>
      </c>
      <c r="M1509" s="133" t="s">
        <v>4474</v>
      </c>
      <c r="N1509" s="99"/>
      <c r="O1509" s="99"/>
      <c r="P1509" s="99"/>
    </row>
    <row r="1510" s="81" customFormat="1" ht="30" customHeight="1" outlineLevel="1" spans="1:16">
      <c r="A1510" s="167"/>
      <c r="B1510" s="168"/>
      <c r="C1510" s="176"/>
      <c r="D1510" s="176"/>
      <c r="E1510" s="168"/>
      <c r="F1510" s="157" t="s">
        <v>2325</v>
      </c>
      <c r="G1510" s="43" t="s">
        <v>2326</v>
      </c>
      <c r="H1510" s="137" t="s">
        <v>4575</v>
      </c>
      <c r="I1510" s="135" t="s">
        <v>574</v>
      </c>
      <c r="J1510" s="43" t="str">
        <f>INDEX(数据元说明!A:F,MATCH(I1510,数据元说明!C:C,0),2)</f>
        <v>003002</v>
      </c>
      <c r="K1510" s="158" t="str">
        <f>INDEX(数据元说明!A:F,MATCH(I1510,数据元说明!C:C,0),5)</f>
        <v>机构实际使用的总账会计科目编码。</v>
      </c>
      <c r="L1510" s="43" t="str">
        <f>INDEX(数据元说明!A:F,MATCH(I1510,数据元说明!C:C,0),6)</f>
        <v>C..200</v>
      </c>
      <c r="M1510" s="138" t="s">
        <v>2328</v>
      </c>
      <c r="N1510" s="143" t="s">
        <v>57</v>
      </c>
      <c r="O1510" s="139"/>
      <c r="P1510" s="139" t="s">
        <v>1588</v>
      </c>
    </row>
    <row r="1511" s="81" customFormat="1" ht="30" customHeight="1" outlineLevel="1" spans="1:16">
      <c r="A1511" s="167"/>
      <c r="B1511" s="168"/>
      <c r="C1511" s="176"/>
      <c r="D1511" s="176"/>
      <c r="E1511" s="168"/>
      <c r="F1511" s="157" t="s">
        <v>2329</v>
      </c>
      <c r="G1511" s="43" t="s">
        <v>2330</v>
      </c>
      <c r="H1511" s="137" t="s">
        <v>4576</v>
      </c>
      <c r="I1511" s="135" t="s">
        <v>578</v>
      </c>
      <c r="J1511" s="43" t="str">
        <f>INDEX(数据元说明!A:F,MATCH(I1511,数据元说明!C:C,0),2)</f>
        <v>003003</v>
      </c>
      <c r="K1511" s="158" t="str">
        <f>INDEX(数据元说明!A:F,MATCH(I1511,数据元说明!C:C,0),5)</f>
        <v>机构实际使用的总账会计科目编码对应的名称。</v>
      </c>
      <c r="L1511" s="43" t="str">
        <f>INDEX(数据元说明!A:F,MATCH(I1511,数据元说明!C:C,0),6)</f>
        <v>C..200</v>
      </c>
      <c r="M1511" s="138" t="s">
        <v>2328</v>
      </c>
      <c r="N1511" s="143" t="s">
        <v>57</v>
      </c>
      <c r="O1511" s="139"/>
      <c r="P1511" s="139" t="s">
        <v>1588</v>
      </c>
    </row>
    <row r="1512" s="81" customFormat="1" ht="71" outlineLevel="1" spans="1:16">
      <c r="A1512" s="141"/>
      <c r="B1512" s="142"/>
      <c r="C1512" s="39"/>
      <c r="D1512" s="39"/>
      <c r="E1512" s="47"/>
      <c r="F1512" s="135" t="s">
        <v>2895</v>
      </c>
      <c r="G1512" s="136" t="s">
        <v>4478</v>
      </c>
      <c r="H1512" s="137" t="s">
        <v>4577</v>
      </c>
      <c r="I1512" s="135" t="s">
        <v>681</v>
      </c>
      <c r="J1512" s="136" t="str">
        <f>INDEX(数据元说明!A:F,MATCH(I1512,数据元说明!C:C,0),2)</f>
        <v>003028</v>
      </c>
      <c r="K1512" s="138" t="str">
        <f>INDEX(数据元说明!A:F,MATCH(I1512,数据元说明!C:C,0),5)</f>
        <v>合同号。</v>
      </c>
      <c r="L1512" s="136" t="str">
        <f>INDEX(数据元说明!A:F,MATCH(I1512,数据元说明!C:C,0),6)</f>
        <v>C..100</v>
      </c>
      <c r="M1512" s="138" t="s">
        <v>4578</v>
      </c>
      <c r="N1512" s="129" t="s">
        <v>25</v>
      </c>
      <c r="O1512" s="129" t="s">
        <v>1673</v>
      </c>
      <c r="P1512" s="139"/>
    </row>
    <row r="1513" s="81" customFormat="1" ht="106" outlineLevel="1" spans="1:16">
      <c r="A1513" s="141"/>
      <c r="B1513" s="142"/>
      <c r="C1513" s="39"/>
      <c r="D1513" s="39"/>
      <c r="E1513" s="47"/>
      <c r="F1513" s="135" t="s">
        <v>2752</v>
      </c>
      <c r="G1513" s="136" t="s">
        <v>2753</v>
      </c>
      <c r="H1513" s="137" t="s">
        <v>4579</v>
      </c>
      <c r="I1513" s="135" t="s">
        <v>677</v>
      </c>
      <c r="J1513" s="136" t="str">
        <f>INDEX(数据元说明!A:F,MATCH(I1513,数据元说明!C:C,0),2)</f>
        <v>003027</v>
      </c>
      <c r="K1513" s="138" t="str">
        <f>INDEX(数据元说明!A:F,MATCH(I1513,数据元说明!C:C,0),5)</f>
        <v>借据统一编号。</v>
      </c>
      <c r="L1513" s="136" t="str">
        <f>INDEX(数据元说明!A:F,MATCH(I1513,数据元说明!C:C,0),6)</f>
        <v>C..100</v>
      </c>
      <c r="M1513" s="138" t="s">
        <v>4580</v>
      </c>
      <c r="N1513" s="129" t="s">
        <v>25</v>
      </c>
      <c r="O1513" s="129" t="s">
        <v>1673</v>
      </c>
      <c r="P1513" s="139" t="s">
        <v>1588</v>
      </c>
    </row>
    <row r="1514" s="81" customFormat="1" ht="30" customHeight="1" outlineLevel="1" spans="1:16">
      <c r="A1514" s="141"/>
      <c r="B1514" s="142"/>
      <c r="C1514" s="39"/>
      <c r="D1514" s="39"/>
      <c r="E1514" s="47"/>
      <c r="F1514" s="135" t="s">
        <v>890</v>
      </c>
      <c r="G1514" s="136" t="s">
        <v>4581</v>
      </c>
      <c r="H1514" s="137" t="s">
        <v>4582</v>
      </c>
      <c r="I1514" s="135" t="s">
        <v>890</v>
      </c>
      <c r="J1514" s="406" t="str">
        <f>INDEX(数据元说明!A:F,MATCH(I1514,数据元说明!C:C,0),2)</f>
        <v>005039</v>
      </c>
      <c r="K1514" s="138" t="str">
        <f>INDEX(数据元说明!A:F,MATCH(I1514,数据元说明!C:C,0),5)</f>
        <v>现金管理项下委托贷款，非现金管理项下委托贷款，公积金贷款。</v>
      </c>
      <c r="L1514" s="136" t="str">
        <f>INDEX(数据元说明!A:F,MATCH(I1514,数据元说明!C:C,0),6)</f>
        <v>C..30</v>
      </c>
      <c r="M1514" s="138"/>
      <c r="N1514" s="129" t="s">
        <v>57</v>
      </c>
      <c r="O1514" s="139"/>
      <c r="P1514" s="140"/>
    </row>
    <row r="1515" s="81" customFormat="1" ht="30" customHeight="1" outlineLevel="1" spans="1:16">
      <c r="A1515" s="134"/>
      <c r="B1515" s="47"/>
      <c r="C1515" s="39"/>
      <c r="D1515" s="39"/>
      <c r="E1515" s="47"/>
      <c r="F1515" s="135" t="s">
        <v>624</v>
      </c>
      <c r="G1515" s="136" t="s">
        <v>1989</v>
      </c>
      <c r="H1515" s="137" t="s">
        <v>4583</v>
      </c>
      <c r="I1515" s="135" t="s">
        <v>624</v>
      </c>
      <c r="J1515" s="136" t="str">
        <f>INDEX(数据元说明!A:F,MATCH(I1515,数据元说明!C:C,0),2)</f>
        <v>003014</v>
      </c>
      <c r="K1515" s="138" t="str">
        <f>INDEX(数据元说明!A:F,MATCH(I1515,数据元说明!C:C,0),5)</f>
        <v>遵循《GB/T 12406 表示货币和资金的代码》的字母代码，如CNY。上述文件所列币种无法涵盖的，允许银行自定义填报。多个币种合计折算为人民币（本外币合计）的，填报为BWB。</v>
      </c>
      <c r="L1515" s="136" t="str">
        <f>INDEX(数据元说明!A:F,MATCH(I1515,数据元说明!C:C,0),6)</f>
        <v>C3</v>
      </c>
      <c r="M1515" s="138"/>
      <c r="N1515" s="140" t="s">
        <v>57</v>
      </c>
      <c r="O1515" s="140"/>
      <c r="P1515" s="140"/>
    </row>
    <row r="1516" s="81" customFormat="1" ht="30" customHeight="1" outlineLevel="1" spans="1:16">
      <c r="A1516" s="141"/>
      <c r="B1516" s="142"/>
      <c r="C1516" s="39"/>
      <c r="D1516" s="39"/>
      <c r="E1516" s="47"/>
      <c r="F1516" s="135" t="s">
        <v>2910</v>
      </c>
      <c r="G1516" s="136" t="s">
        <v>2762</v>
      </c>
      <c r="H1516" s="137" t="s">
        <v>4584</v>
      </c>
      <c r="I1516" s="135" t="s">
        <v>609</v>
      </c>
      <c r="J1516" s="136" t="str">
        <f>INDEX(数据元说明!A:F,MATCH(I1516,数据元说明!C:C,0),2)</f>
        <v>003010</v>
      </c>
      <c r="K1516" s="138" t="str">
        <f>INDEX(数据元说明!A:F,MATCH(I1516,数据元说明!C:C,0),5)</f>
        <v>与币种相对应金额。</v>
      </c>
      <c r="L1516" s="136" t="str">
        <f>INDEX(数据元说明!A:F,MATCH(I1516,数据元说明!C:C,0),6)</f>
        <v>D20.2</v>
      </c>
      <c r="M1516" s="138" t="s">
        <v>4585</v>
      </c>
      <c r="N1516" s="143" t="s">
        <v>57</v>
      </c>
      <c r="O1516" s="139"/>
      <c r="P1516" s="139"/>
    </row>
    <row r="1517" s="81" customFormat="1" ht="30" customHeight="1" outlineLevel="1" spans="1:16">
      <c r="A1517" s="134"/>
      <c r="B1517" s="47"/>
      <c r="C1517" s="39"/>
      <c r="D1517" s="39"/>
      <c r="E1517" s="47"/>
      <c r="F1517" s="135" t="s">
        <v>2913</v>
      </c>
      <c r="G1517" s="136" t="s">
        <v>2914</v>
      </c>
      <c r="H1517" s="137" t="s">
        <v>4586</v>
      </c>
      <c r="I1517" s="135" t="s">
        <v>302</v>
      </c>
      <c r="J1517" s="136" t="str">
        <f>INDEX(数据元说明!A:F,MATCH(I1517,数据元说明!C:C,0),2)</f>
        <v>001005</v>
      </c>
      <c r="K1517" s="138" t="str">
        <f>INDEX(数据元说明!A:F,MATCH(I1517,数据元说明!C:C,0),5)</f>
        <v>YYYYMMDD，默认值99991231。</v>
      </c>
      <c r="L1517" s="136" t="str">
        <f>INDEX(数据元说明!A:F,MATCH(I1517,数据元说明!C:C,0),6)</f>
        <v>C8</v>
      </c>
      <c r="M1517" s="138" t="s">
        <v>4587</v>
      </c>
      <c r="N1517" s="129" t="s">
        <v>25</v>
      </c>
      <c r="O1517" s="129" t="s">
        <v>1673</v>
      </c>
      <c r="P1517" s="140"/>
    </row>
    <row r="1518" s="81" customFormat="1" ht="30" customHeight="1" outlineLevel="1" spans="1:16">
      <c r="A1518" s="134"/>
      <c r="B1518" s="47"/>
      <c r="C1518" s="39"/>
      <c r="D1518" s="39"/>
      <c r="E1518" s="47"/>
      <c r="F1518" s="135" t="s">
        <v>2917</v>
      </c>
      <c r="G1518" s="136" t="s">
        <v>2918</v>
      </c>
      <c r="H1518" s="137" t="s">
        <v>4588</v>
      </c>
      <c r="I1518" s="135" t="s">
        <v>302</v>
      </c>
      <c r="J1518" s="136" t="str">
        <f>INDEX(数据元说明!A:F,MATCH(I1518,数据元说明!C:C,0),2)</f>
        <v>001005</v>
      </c>
      <c r="K1518" s="138" t="str">
        <f>INDEX(数据元说明!A:F,MATCH(I1518,数据元说明!C:C,0),5)</f>
        <v>YYYYMMDD，默认值99991231。</v>
      </c>
      <c r="L1518" s="136" t="str">
        <f>INDEX(数据元说明!A:F,MATCH(I1518,数据元说明!C:C,0),6)</f>
        <v>C8</v>
      </c>
      <c r="M1518" s="138" t="s">
        <v>4589</v>
      </c>
      <c r="N1518" s="129" t="s">
        <v>25</v>
      </c>
      <c r="O1518" s="129" t="s">
        <v>1673</v>
      </c>
      <c r="P1518" s="140"/>
    </row>
    <row r="1519" s="61" customFormat="1" ht="30" customHeight="1" outlineLevel="1" spans="1:16">
      <c r="A1519" s="184"/>
      <c r="B1519" s="185"/>
      <c r="C1519" s="25"/>
      <c r="D1519" s="25"/>
      <c r="E1519" s="36"/>
      <c r="F1519" s="131" t="s">
        <v>4590</v>
      </c>
      <c r="G1519" s="31" t="s">
        <v>4591</v>
      </c>
      <c r="H1519" s="132" t="s">
        <v>4592</v>
      </c>
      <c r="I1519" s="131" t="s">
        <v>453</v>
      </c>
      <c r="J1519" s="31" t="str">
        <f>INDEX(数据元说明!A:F,MATCH(I1519,数据元说明!C:C,0),2)</f>
        <v>002001</v>
      </c>
      <c r="K1519" s="133" t="str">
        <f>INDEX(数据元说明!A:F,MATCH(I1519,数据元说明!C:C,0),5)</f>
        <v>银行自定义的唯一识别客户的标识。供应链融资的填写供应链融资编码。</v>
      </c>
      <c r="L1519" s="31" t="str">
        <f>INDEX(数据元说明!A:F,MATCH(I1519,数据元说明!C:C,0),6)</f>
        <v>C..60</v>
      </c>
      <c r="M1519" s="133" t="s">
        <v>4593</v>
      </c>
      <c r="N1519" s="33" t="s">
        <v>25</v>
      </c>
      <c r="O1519" s="99"/>
      <c r="P1519" s="33" t="s">
        <v>1588</v>
      </c>
    </row>
    <row r="1520" s="81" customFormat="1" ht="30" customHeight="1" outlineLevel="1" spans="1:16">
      <c r="A1520" s="134"/>
      <c r="B1520" s="47"/>
      <c r="C1520" s="39"/>
      <c r="D1520" s="39"/>
      <c r="E1520" s="47"/>
      <c r="F1520" s="135" t="s">
        <v>4594</v>
      </c>
      <c r="G1520" s="136" t="s">
        <v>4595</v>
      </c>
      <c r="H1520" s="137" t="s">
        <v>4596</v>
      </c>
      <c r="I1520" s="135" t="s">
        <v>282</v>
      </c>
      <c r="J1520" s="136" t="str">
        <f>INDEX(数据元说明!A:F,MATCH(I1520,数据元说明!C:C,0),2)</f>
        <v>001001</v>
      </c>
      <c r="K1520" s="138" t="str">
        <f>INDEX(数据元说明!A:F,MATCH(I1520,数据元说明!C:C,0),5)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20" s="136" t="str">
        <f>INDEX(数据元说明!A:F,MATCH(I1520,数据元说明!C:C,0),6)</f>
        <v>C..400</v>
      </c>
      <c r="M1520" s="138" t="s">
        <v>4597</v>
      </c>
      <c r="N1520" s="139" t="s">
        <v>25</v>
      </c>
      <c r="O1520" s="139" t="s">
        <v>1613</v>
      </c>
      <c r="P1520" s="140"/>
    </row>
    <row r="1521" s="81" customFormat="1" ht="30" customHeight="1" outlineLevel="1" spans="1:16">
      <c r="A1521" s="167"/>
      <c r="B1521" s="168"/>
      <c r="C1521" s="156"/>
      <c r="D1521" s="156"/>
      <c r="E1521" s="155"/>
      <c r="F1521" s="157" t="s">
        <v>4598</v>
      </c>
      <c r="G1521" s="43" t="s">
        <v>4599</v>
      </c>
      <c r="H1521" s="137" t="s">
        <v>4600</v>
      </c>
      <c r="I1521" s="157" t="s">
        <v>697</v>
      </c>
      <c r="J1521" s="43" t="str">
        <f>INDEX(数据元说明!A:F,MATCH(I1521,数据元说明!C:C,0),2)</f>
        <v>003032</v>
      </c>
      <c r="K1521" s="158" t="str">
        <f>INDEX(数据元说明!A:F,MATCH(I1521,数据元说明!C:C,0),5)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521" s="43" t="str">
        <f>INDEX(数据元说明!A:F,MATCH(I1521,数据元说明!C:C,0),6)</f>
        <v>C..60</v>
      </c>
      <c r="M1521" s="158" t="s">
        <v>4601</v>
      </c>
      <c r="N1521" s="129" t="s">
        <v>25</v>
      </c>
      <c r="O1521" s="139" t="s">
        <v>1673</v>
      </c>
      <c r="P1521" s="140" t="s">
        <v>1606</v>
      </c>
    </row>
    <row r="1522" s="81" customFormat="1" ht="30" customHeight="1" outlineLevel="1" spans="1:16">
      <c r="A1522" s="141"/>
      <c r="B1522" s="142"/>
      <c r="C1522" s="39"/>
      <c r="D1522" s="39"/>
      <c r="E1522" s="47"/>
      <c r="F1522" s="135" t="s">
        <v>4602</v>
      </c>
      <c r="G1522" s="136" t="s">
        <v>4603</v>
      </c>
      <c r="H1522" s="137" t="s">
        <v>4604</v>
      </c>
      <c r="I1522" s="135" t="s">
        <v>282</v>
      </c>
      <c r="J1522" s="43" t="str">
        <f>INDEX(数据元说明!A:F,MATCH(I1522,数据元说明!C:C,0),2)</f>
        <v>001001</v>
      </c>
      <c r="K1522" s="158" t="str">
        <f>INDEX(数据元说明!A:F,MATCH(I1522,数据元说明!C:C,0),5)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22" s="43" t="str">
        <f>INDEX(数据元说明!A:F,MATCH(I1522,数据元说明!C:C,0),6)</f>
        <v>C..400</v>
      </c>
      <c r="M1522" s="138" t="s">
        <v>4605</v>
      </c>
      <c r="N1522" s="129" t="s">
        <v>25</v>
      </c>
      <c r="O1522" s="139" t="s">
        <v>1673</v>
      </c>
      <c r="P1522" s="140"/>
    </row>
    <row r="1523" s="81" customFormat="1" ht="30" customHeight="1" outlineLevel="1" spans="1:16">
      <c r="A1523" s="141"/>
      <c r="B1523" s="142"/>
      <c r="C1523" s="39"/>
      <c r="D1523" s="39"/>
      <c r="E1523" s="47"/>
      <c r="F1523" s="135" t="s">
        <v>4432</v>
      </c>
      <c r="G1523" s="136" t="s">
        <v>4433</v>
      </c>
      <c r="H1523" s="137" t="s">
        <v>4606</v>
      </c>
      <c r="I1523" s="135" t="s">
        <v>282</v>
      </c>
      <c r="J1523" s="136" t="str">
        <f>INDEX(数据元说明!A:F,MATCH(I1523,数据元说明!C:C,0),2)</f>
        <v>001001</v>
      </c>
      <c r="K1523" s="138" t="str">
        <f>INDEX(数据元说明!A:F,MATCH(I1523,数据元说明!C:C,0),5)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23" s="136" t="str">
        <f>INDEX(数据元说明!A:F,MATCH(I1523,数据元说明!C:C,0),6)</f>
        <v>C..400</v>
      </c>
      <c r="M1523" s="138" t="s">
        <v>4607</v>
      </c>
      <c r="N1523" s="139" t="s">
        <v>25</v>
      </c>
      <c r="O1523" s="139" t="s">
        <v>1613</v>
      </c>
      <c r="P1523" s="140" t="s">
        <v>1588</v>
      </c>
    </row>
    <row r="1524" s="35" customFormat="1" ht="30" customHeight="1" outlineLevel="1" spans="1:16">
      <c r="A1524" s="93"/>
      <c r="B1524" s="94"/>
      <c r="C1524" s="95"/>
      <c r="D1524" s="95"/>
      <c r="E1524" s="94"/>
      <c r="F1524" s="158" t="s">
        <v>4436</v>
      </c>
      <c r="G1524" s="43" t="s">
        <v>4437</v>
      </c>
      <c r="H1524" s="137" t="s">
        <v>4608</v>
      </c>
      <c r="I1524" s="157" t="s">
        <v>697</v>
      </c>
      <c r="J1524" s="213" t="str">
        <f>INDEX(数据元说明!A:F,MATCH(I1524,数据元说明!C:C,0),2)</f>
        <v>003032</v>
      </c>
      <c r="K1524" s="158" t="str">
        <f>INDEX(数据元说明!A:F,MATCH(I1524,数据元说明!C:C,0),5)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524" s="213" t="str">
        <f>INDEX(数据元说明!A:F,MATCH(I1524,数据元说明!C:C,0),6)</f>
        <v>C..60</v>
      </c>
      <c r="M1524" s="138" t="s">
        <v>4609</v>
      </c>
      <c r="N1524" s="198" t="s">
        <v>25</v>
      </c>
      <c r="O1524" s="198" t="s">
        <v>449</v>
      </c>
      <c r="P1524" s="99"/>
    </row>
    <row r="1525" s="35" customFormat="1" ht="30" customHeight="1" outlineLevel="1" spans="1:16">
      <c r="A1525" s="93"/>
      <c r="B1525" s="94"/>
      <c r="C1525" s="95"/>
      <c r="D1525" s="95"/>
      <c r="E1525" s="94"/>
      <c r="F1525" s="158" t="s">
        <v>4440</v>
      </c>
      <c r="G1525" s="43" t="s">
        <v>4521</v>
      </c>
      <c r="H1525" s="137" t="s">
        <v>4610</v>
      </c>
      <c r="I1525" s="158" t="s">
        <v>282</v>
      </c>
      <c r="J1525" s="213" t="str">
        <f>INDEX(数据元说明!A:F,MATCH(I1525,数据元说明!C:C,0),2)</f>
        <v>001001</v>
      </c>
      <c r="K1525" s="158" t="str">
        <f>INDEX(数据元说明!A:F,MATCH(I1525,数据元说明!C:C,0),5)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25" s="213" t="str">
        <f>INDEX(数据元说明!A:F,MATCH(I1525,数据元说明!C:C,0),6)</f>
        <v>C..400</v>
      </c>
      <c r="M1525" s="138"/>
      <c r="N1525" s="198" t="s">
        <v>25</v>
      </c>
      <c r="O1525" s="198" t="s">
        <v>449</v>
      </c>
      <c r="P1525" s="99"/>
    </row>
    <row r="1526" s="61" customFormat="1" ht="30" customHeight="1" outlineLevel="1" spans="1:16">
      <c r="A1526" s="130"/>
      <c r="B1526" s="36"/>
      <c r="C1526" s="25"/>
      <c r="D1526" s="25"/>
      <c r="E1526" s="36"/>
      <c r="F1526" s="131" t="s">
        <v>4611</v>
      </c>
      <c r="G1526" s="31" t="s">
        <v>4612</v>
      </c>
      <c r="H1526" s="132" t="s">
        <v>4613</v>
      </c>
      <c r="I1526" s="131" t="s">
        <v>287</v>
      </c>
      <c r="J1526" s="31" t="str">
        <f>INDEX(数据元说明!A:F,MATCH(I1526,数据元说明!C:C,0),2)</f>
        <v>001002</v>
      </c>
      <c r="K1526" s="133" t="str">
        <f>INDEX(数据元说明!A:F,MATCH(I1526,数据元说明!C:C,0),5)</f>
        <v>是，否。</v>
      </c>
      <c r="L1526" s="31" t="str">
        <f>INDEX(数据元说明!A:F,MATCH(I1526,数据元说明!C:C,0),6)</f>
        <v>C3</v>
      </c>
      <c r="M1526" s="133"/>
      <c r="N1526" s="99"/>
      <c r="O1526" s="99"/>
      <c r="P1526" s="99"/>
    </row>
    <row r="1527" s="35" customFormat="1" ht="30" customHeight="1" outlineLevel="1" spans="1:16">
      <c r="A1527" s="93"/>
      <c r="B1527" s="94"/>
      <c r="C1527" s="95"/>
      <c r="D1527" s="95"/>
      <c r="E1527" s="94"/>
      <c r="F1527" s="158" t="s">
        <v>3534</v>
      </c>
      <c r="G1527" s="43" t="s">
        <v>3535</v>
      </c>
      <c r="H1527" s="137" t="s">
        <v>4614</v>
      </c>
      <c r="I1527" s="158" t="s">
        <v>624</v>
      </c>
      <c r="J1527" s="213" t="str">
        <f>INDEX(数据元说明!A:F,MATCH(I1527,数据元说明!C:C,0),2)</f>
        <v>003014</v>
      </c>
      <c r="K1527" s="158" t="str">
        <f>INDEX(数据元说明!A:F,MATCH(I1527,数据元说明!C:C,0),5)</f>
        <v>遵循《GB/T 12406 表示货币和资金的代码》的字母代码，如CNY。上述文件所列币种无法涵盖的，允许银行自定义填报。多个币种合计折算为人民币（本外币合计）的，填报为BWB。</v>
      </c>
      <c r="L1527" s="213" t="str">
        <f>INDEX(数据元说明!A:F,MATCH(I1527,数据元说明!C:C,0),6)</f>
        <v>C3</v>
      </c>
      <c r="M1527" s="138" t="s">
        <v>3537</v>
      </c>
      <c r="N1527" s="143" t="s">
        <v>57</v>
      </c>
      <c r="O1527" s="44"/>
      <c r="P1527" s="99"/>
    </row>
    <row r="1528" s="81" customFormat="1" ht="88" outlineLevel="1" spans="1:16">
      <c r="A1528" s="134"/>
      <c r="B1528" s="47"/>
      <c r="C1528" s="39"/>
      <c r="D1528" s="39"/>
      <c r="E1528" s="47"/>
      <c r="F1528" s="135" t="s">
        <v>3538</v>
      </c>
      <c r="G1528" s="136" t="s">
        <v>3539</v>
      </c>
      <c r="H1528" s="137" t="s">
        <v>4615</v>
      </c>
      <c r="I1528" s="157" t="s">
        <v>609</v>
      </c>
      <c r="J1528" s="136" t="str">
        <f>INDEX(数据元说明!A:F,MATCH(I1528,数据元说明!C:C,0),2)</f>
        <v>003010</v>
      </c>
      <c r="K1528" s="138" t="str">
        <f>INDEX(数据元说明!A:F,MATCH(I1528,数据元说明!C:C,0),5)</f>
        <v>与币种相对应金额。</v>
      </c>
      <c r="L1528" s="136" t="str">
        <f>INDEX(数据元说明!A:F,MATCH(I1528,数据元说明!C:C,0),6)</f>
        <v>D20.2</v>
      </c>
      <c r="M1528" s="138" t="s">
        <v>4616</v>
      </c>
      <c r="N1528" s="129" t="s">
        <v>25</v>
      </c>
      <c r="O1528" s="129" t="s">
        <v>449</v>
      </c>
      <c r="P1528" s="140"/>
    </row>
    <row r="1529" s="61" customFormat="1" ht="30" customHeight="1" outlineLevel="1" spans="1:16">
      <c r="A1529" s="130"/>
      <c r="B1529" s="36"/>
      <c r="C1529" s="25"/>
      <c r="D1529" s="25"/>
      <c r="E1529" s="36"/>
      <c r="F1529" s="131" t="s">
        <v>3694</v>
      </c>
      <c r="G1529" s="31" t="s">
        <v>2929</v>
      </c>
      <c r="H1529" s="132" t="s">
        <v>4617</v>
      </c>
      <c r="I1529" s="131" t="s">
        <v>349</v>
      </c>
      <c r="J1529" s="31" t="str">
        <f>INDEX(数据元说明!A:F,MATCH(I1529,数据元说明!C:C,0),2)</f>
        <v>001016</v>
      </c>
      <c r="K1529" s="133" t="str">
        <f>INDEX(数据元说明!A:F,MATCH(I1529,数据元说明!C:C,0),5)</f>
        <v>工号，银行自定义。</v>
      </c>
      <c r="L1529" s="31" t="str">
        <f>INDEX(数据元说明!A:F,MATCH(I1529,数据元说明!C:C,0),6)</f>
        <v>C..30</v>
      </c>
      <c r="M1529" s="133" t="s">
        <v>4463</v>
      </c>
      <c r="N1529" s="99"/>
      <c r="O1529" s="99"/>
      <c r="P1529" s="99"/>
    </row>
    <row r="1530" s="81" customFormat="1" ht="53" outlineLevel="1" spans="1:16">
      <c r="A1530" s="134"/>
      <c r="B1530" s="47"/>
      <c r="C1530" s="39"/>
      <c r="D1530" s="39"/>
      <c r="E1530" s="47"/>
      <c r="F1530" s="135" t="s">
        <v>839</v>
      </c>
      <c r="G1530" s="136" t="s">
        <v>2777</v>
      </c>
      <c r="H1530" s="137" t="s">
        <v>4618</v>
      </c>
      <c r="I1530" s="135" t="s">
        <v>839</v>
      </c>
      <c r="J1530" s="406" t="str">
        <f>INDEX(数据元说明!A:F,MATCH(I1530,数据元说明!C:C,0),2)</f>
        <v>005026</v>
      </c>
      <c r="K1530" s="138" t="str">
        <f>INDEX(数据元说明!A:F,MATCH(I1530,数据元说明!C:C,0),5)</f>
        <v>正常、结清、逾期、核销、转让，其他-银行自定义。以枚举类型填报，如无法以枚举类型填报，则以“其他-XX”填报，其中“XX”为银行自定义状态。</v>
      </c>
      <c r="L1530" s="136" t="str">
        <f>INDEX(数据元说明!A:F,MATCH(I1530,数据元说明!C:C,0),6)</f>
        <v>C..30</v>
      </c>
      <c r="M1530" s="138" t="s">
        <v>4619</v>
      </c>
      <c r="N1530" s="129" t="s">
        <v>25</v>
      </c>
      <c r="O1530" s="129" t="s">
        <v>4310</v>
      </c>
      <c r="P1530" s="140"/>
    </row>
    <row r="1531" s="81" customFormat="1" ht="30" customHeight="1" outlineLevel="1" spans="1:16">
      <c r="A1531" s="134"/>
      <c r="B1531" s="47"/>
      <c r="C1531" s="39"/>
      <c r="D1531" s="39"/>
      <c r="E1531" s="47"/>
      <c r="F1531" s="169" t="s">
        <v>449</v>
      </c>
      <c r="G1531" s="148" t="s">
        <v>1571</v>
      </c>
      <c r="H1531" s="148" t="s">
        <v>4620</v>
      </c>
      <c r="I1531" s="169" t="s">
        <v>449</v>
      </c>
      <c r="J1531" s="170" t="str">
        <f>INDEX(数据元说明!A:F,MATCH(I1531,数据元说明!C:C,0),2)</f>
        <v>001040</v>
      </c>
      <c r="K1531" s="171" t="str">
        <f>INDEX(数据元说明!A:F,MATCH(I1531,数据元说明!C:C,0),5)</f>
        <v>银行自定义。</v>
      </c>
      <c r="L1531" s="170" t="str">
        <f>INDEX(数据元说明!A:F,MATCH(I1531,数据元说明!C:C,0),6)</f>
        <v>C..600</v>
      </c>
      <c r="M1531" s="149" t="s">
        <v>1573</v>
      </c>
      <c r="N1531" s="143" t="s">
        <v>57</v>
      </c>
      <c r="O1531" s="173"/>
      <c r="P1531" s="173"/>
    </row>
    <row r="1532" s="61" customFormat="1" ht="30" customHeight="1" outlineLevel="1" spans="1:16">
      <c r="A1532" s="130"/>
      <c r="B1532" s="36"/>
      <c r="C1532" s="25"/>
      <c r="D1532" s="25"/>
      <c r="E1532" s="36"/>
      <c r="F1532" s="131" t="s">
        <v>1574</v>
      </c>
      <c r="G1532" s="31" t="s">
        <v>1575</v>
      </c>
      <c r="H1532" s="132" t="s">
        <v>4621</v>
      </c>
      <c r="I1532" s="131" t="s">
        <v>302</v>
      </c>
      <c r="J1532" s="31" t="str">
        <f>INDEX(数据元说明!A:F,MATCH(I1532,数据元说明!C:C,0),2)</f>
        <v>001005</v>
      </c>
      <c r="K1532" s="133" t="str">
        <f>INDEX(数据元说明!A:F,MATCH(I1532,数据元说明!C:C,0),5)</f>
        <v>YYYYMMDD，默认值99991231。</v>
      </c>
      <c r="L1532" s="31" t="str">
        <f>INDEX(数据元说明!A:F,MATCH(I1532,数据元说明!C:C,0),6)</f>
        <v>C8</v>
      </c>
      <c r="M1532" s="133" t="s">
        <v>1577</v>
      </c>
      <c r="N1532" s="99"/>
      <c r="O1532" s="99"/>
      <c r="P1532" s="99"/>
    </row>
    <row r="1533" s="83" customFormat="1" ht="30" customHeight="1" spans="1:16">
      <c r="A1533" s="188"/>
      <c r="B1533" s="189"/>
      <c r="C1533" s="190" t="s">
        <v>228</v>
      </c>
      <c r="D1533" s="191" t="s">
        <v>229</v>
      </c>
      <c r="E1533" s="192" t="s">
        <v>4622</v>
      </c>
      <c r="F1533" s="193"/>
      <c r="G1533" s="194"/>
      <c r="H1533" s="192"/>
      <c r="I1533" s="193"/>
      <c r="J1533" s="194"/>
      <c r="K1533" s="195"/>
      <c r="L1533" s="194"/>
      <c r="M1533" s="193" t="str">
        <f>INDEX(表结构总览!E:H,MATCH(D1533,表结构总览!E:E,0),4)</f>
        <v>报送范围：参照1104报表G01_I中[15.代理代销业务]填报口径。填报在阶段开始日到结束日之间，银行新做的代理代销业务。根据G01_I[15.7其他]口径，代理销售他行发行的理财产品也需要报送，包括填报机构理财子公司发行的理财产品。涉及分红、付息等交易无需报送。涉及赎回、卖出的交易需要报送。</v>
      </c>
      <c r="N1533" s="143" t="s">
        <v>57</v>
      </c>
      <c r="O1533" s="143"/>
      <c r="P1533" s="212"/>
    </row>
    <row r="1534" s="61" customFormat="1" ht="30" customHeight="1" spans="1:16">
      <c r="A1534" s="130"/>
      <c r="B1534" s="36"/>
      <c r="C1534" s="25"/>
      <c r="D1534" s="44"/>
      <c r="E1534" s="36"/>
      <c r="F1534" s="135" t="s">
        <v>325</v>
      </c>
      <c r="G1534" s="245" t="s">
        <v>1520</v>
      </c>
      <c r="H1534" s="137" t="s">
        <v>4623</v>
      </c>
      <c r="I1534" s="135" t="s">
        <v>325</v>
      </c>
      <c r="J1534" s="136" t="str">
        <f>INDEX(数据元说明!A:F,MATCH(I1534,数据元说明!C:C,0),2)</f>
        <v>001010</v>
      </c>
      <c r="K1534" s="138" t="str">
        <f>INDEX(数据元说明!A:F,MATCH(I1534,数据元说明!C:C,0),5)</f>
        <v>12位人行支付行号或SWIFT行号。</v>
      </c>
      <c r="L1534" s="136" t="str">
        <f>INDEX(数据元说明!A:F,MATCH(I1534,数据元说明!C:C,0),6)</f>
        <v>C..30</v>
      </c>
      <c r="M1534" s="138" t="s">
        <v>4624</v>
      </c>
      <c r="N1534" s="143" t="s">
        <v>57</v>
      </c>
      <c r="P1534" s="41"/>
    </row>
    <row r="1535" s="81" customFormat="1" ht="30" customHeight="1" outlineLevel="1" spans="1:16">
      <c r="A1535" s="134"/>
      <c r="B1535" s="47"/>
      <c r="C1535" s="39"/>
      <c r="D1535" s="39"/>
      <c r="E1535" s="47"/>
      <c r="F1535" s="135" t="s">
        <v>329</v>
      </c>
      <c r="G1535" s="136" t="s">
        <v>1526</v>
      </c>
      <c r="H1535" s="137" t="s">
        <v>4625</v>
      </c>
      <c r="I1535" s="135" t="s">
        <v>329</v>
      </c>
      <c r="J1535" s="136" t="str">
        <f>INDEX(数据元说明!A:F,MATCH(I1535,数据元说明!C:C,0),2)</f>
        <v>001011</v>
      </c>
      <c r="K1535" s="138" t="str">
        <f>INDEX(数据元说明!A:F,MATCH(I1535,数据元说明!C:C,0),5)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35" s="136" t="str">
        <f>INDEX(数据元说明!A:F,MATCH(I1535,数据元说明!C:C,0),6)</f>
        <v>C..30</v>
      </c>
      <c r="M1535" s="138" t="s">
        <v>4470</v>
      </c>
      <c r="N1535" s="143" t="s">
        <v>57</v>
      </c>
      <c r="O1535" s="140"/>
      <c r="P1535" s="140"/>
    </row>
    <row r="1536" s="81" customFormat="1" ht="30" customHeight="1" spans="1:16">
      <c r="A1536" s="134"/>
      <c r="B1536" s="47"/>
      <c r="C1536" s="39"/>
      <c r="D1536" s="44"/>
      <c r="E1536" s="47"/>
      <c r="F1536" s="135" t="s">
        <v>333</v>
      </c>
      <c r="G1536" s="245" t="s">
        <v>1523</v>
      </c>
      <c r="H1536" s="137" t="s">
        <v>4626</v>
      </c>
      <c r="I1536" s="135" t="s">
        <v>333</v>
      </c>
      <c r="J1536" s="136" t="str">
        <f>INDEX(数据元说明!A:F,MATCH(I1536,数据元说明!C:C,0),2)</f>
        <v>001012</v>
      </c>
      <c r="K1536" s="138" t="str">
        <f>INDEX(数据元说明!A:F,MATCH(I1536,数据元说明!C:C,0),5)</f>
        <v>银行内部机构号。应具有标识机构的唯一性。</v>
      </c>
      <c r="L1536" s="136" t="str">
        <f>INDEX(数据元说明!A:F,MATCH(I1536,数据元说明!C:C,0),6)</f>
        <v>C..30</v>
      </c>
      <c r="M1536" s="138" t="s">
        <v>4627</v>
      </c>
      <c r="N1536" s="143" t="s">
        <v>57</v>
      </c>
      <c r="P1536" s="205"/>
    </row>
    <row r="1537" s="89" customFormat="1" ht="30" customHeight="1" outlineLevel="1" spans="1:16">
      <c r="A1537" s="154"/>
      <c r="B1537" s="155"/>
      <c r="C1537" s="156"/>
      <c r="D1537" s="156"/>
      <c r="E1537" s="155"/>
      <c r="F1537" s="158" t="s">
        <v>1532</v>
      </c>
      <c r="G1537" s="213" t="s">
        <v>1533</v>
      </c>
      <c r="H1537" s="137" t="s">
        <v>4628</v>
      </c>
      <c r="I1537" s="158" t="s">
        <v>282</v>
      </c>
      <c r="J1537" s="213" t="str">
        <f>INDEX(数据元说明!A:F,MATCH(I1537,数据元说明!C:C,0),2)</f>
        <v>001001</v>
      </c>
      <c r="K1537" s="158" t="str">
        <f>INDEX(数据元说明!A:F,MATCH(I1537,数据元说明!C:C,0),5)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37" s="213" t="str">
        <f>INDEX(数据元说明!A:F,MATCH(I1537,数据元说明!C:C,0),6)</f>
        <v>C..400</v>
      </c>
      <c r="M1537" s="138" t="s">
        <v>4474</v>
      </c>
      <c r="N1537" s="143" t="s">
        <v>57</v>
      </c>
      <c r="O1537" s="140"/>
      <c r="P1537" s="140"/>
    </row>
    <row r="1538" s="61" customFormat="1" ht="30" customHeight="1" spans="1:16">
      <c r="A1538" s="130"/>
      <c r="B1538" s="36"/>
      <c r="C1538" s="25"/>
      <c r="D1538" s="44"/>
      <c r="E1538" s="36"/>
      <c r="F1538" s="135" t="s">
        <v>453</v>
      </c>
      <c r="G1538" s="245" t="s">
        <v>1680</v>
      </c>
      <c r="H1538" s="137" t="s">
        <v>4629</v>
      </c>
      <c r="I1538" s="135" t="s">
        <v>453</v>
      </c>
      <c r="J1538" s="136" t="str">
        <f>INDEX(数据元说明!A:F,MATCH(I1538,数据元说明!C:C,0),2)</f>
        <v>002001</v>
      </c>
      <c r="K1538" s="138" t="str">
        <f>INDEX(数据元说明!A:F,MATCH(I1538,数据元说明!C:C,0),5)</f>
        <v>银行自定义的唯一识别客户的标识。供应链融资的填写供应链融资编码。</v>
      </c>
      <c r="L1538" s="136" t="str">
        <f>INDEX(数据元说明!A:F,MATCH(I1538,数据元说明!C:C,0),6)</f>
        <v>C..60</v>
      </c>
      <c r="M1538" s="138" t="s">
        <v>4630</v>
      </c>
      <c r="N1538" s="143" t="s">
        <v>57</v>
      </c>
      <c r="P1538" s="41"/>
    </row>
    <row r="1539" s="61" customFormat="1" ht="30" customHeight="1" spans="1:16">
      <c r="A1539" s="130"/>
      <c r="B1539" s="36"/>
      <c r="C1539" s="25"/>
      <c r="D1539" s="256"/>
      <c r="E1539" s="36"/>
      <c r="F1539" s="135" t="s">
        <v>1864</v>
      </c>
      <c r="G1539" s="245" t="s">
        <v>2334</v>
      </c>
      <c r="H1539" s="137" t="s">
        <v>4631</v>
      </c>
      <c r="I1539" s="135" t="s">
        <v>628</v>
      </c>
      <c r="J1539" s="136" t="str">
        <f>INDEX(数据元说明!A:F,MATCH(I1539,数据元说明!C:C,0),2)</f>
        <v>003015</v>
      </c>
      <c r="K1539" s="138" t="str">
        <f>INDEX(数据元说明!A:F,MATCH(I1539,数据元说明!C:C,0),5)</f>
        <v>账户归属者的名称。如果客户为个人，则为隐私，银行机构变形，变形规则见《采集技术接口说明》。客户是境内涉密机构的，账户名称填报为“*********”。其他情况，则为非隐私，不做变形。</v>
      </c>
      <c r="L1539" s="136" t="str">
        <f>INDEX(数据元说明!A:F,MATCH(I1539,数据元说明!C:C,0),6)</f>
        <v>C..400</v>
      </c>
      <c r="M1539" s="138" t="s">
        <v>4632</v>
      </c>
      <c r="N1539" s="143" t="s">
        <v>57</v>
      </c>
      <c r="P1539" s="41"/>
    </row>
    <row r="1540" s="81" customFormat="1" ht="30" customHeight="1" outlineLevel="1" spans="1:16">
      <c r="A1540" s="167"/>
      <c r="B1540" s="168"/>
      <c r="C1540" s="156"/>
      <c r="D1540" s="156"/>
      <c r="E1540" s="155"/>
      <c r="F1540" s="157" t="s">
        <v>4633</v>
      </c>
      <c r="G1540" s="43" t="s">
        <v>4634</v>
      </c>
      <c r="H1540" s="137" t="s">
        <v>4635</v>
      </c>
      <c r="I1540" s="157" t="s">
        <v>697</v>
      </c>
      <c r="J1540" s="43" t="str">
        <f>INDEX(数据元说明!A:F,MATCH(I1540,数据元说明!C:C,0),2)</f>
        <v>003032</v>
      </c>
      <c r="K1540" s="158" t="str">
        <f>INDEX(数据元说明!A:F,MATCH(I1540,数据元说明!C:C,0),5)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540" s="43" t="str">
        <f>INDEX(数据元说明!A:F,MATCH(I1540,数据元说明!C:C,0),6)</f>
        <v>C..60</v>
      </c>
      <c r="M1540" s="158" t="s">
        <v>4636</v>
      </c>
      <c r="N1540" s="143" t="s">
        <v>57</v>
      </c>
      <c r="O1540" s="140"/>
      <c r="P1540" s="140" t="s">
        <v>1606</v>
      </c>
    </row>
    <row r="1541" s="81" customFormat="1" ht="30" customHeight="1" outlineLevel="1" spans="1:16">
      <c r="A1541" s="141"/>
      <c r="B1541" s="142"/>
      <c r="C1541" s="39"/>
      <c r="D1541" s="39"/>
      <c r="E1541" s="47"/>
      <c r="F1541" s="157" t="s">
        <v>4637</v>
      </c>
      <c r="G1541" s="136" t="s">
        <v>4638</v>
      </c>
      <c r="H1541" s="137" t="s">
        <v>4639</v>
      </c>
      <c r="I1541" s="135" t="s">
        <v>282</v>
      </c>
      <c r="J1541" s="43" t="str">
        <f>INDEX(数据元说明!A:F,MATCH(I1541,数据元说明!C:C,0),2)</f>
        <v>001001</v>
      </c>
      <c r="K1541" s="158" t="str">
        <f>INDEX(数据元说明!A:F,MATCH(I1541,数据元说明!C:C,0),5)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41" s="43" t="str">
        <f>INDEX(数据元说明!A:F,MATCH(I1541,数据元说明!C:C,0),6)</f>
        <v>C..400</v>
      </c>
      <c r="M1541" s="158" t="s">
        <v>4640</v>
      </c>
      <c r="N1541" s="143" t="s">
        <v>57</v>
      </c>
      <c r="O1541" s="140"/>
      <c r="P1541" s="140"/>
    </row>
    <row r="1542" s="61" customFormat="1" ht="30" customHeight="1" spans="1:16">
      <c r="A1542" s="130"/>
      <c r="B1542" s="36"/>
      <c r="C1542" s="25"/>
      <c r="D1542" s="44"/>
      <c r="E1542" s="36"/>
      <c r="F1542" s="135" t="s">
        <v>1113</v>
      </c>
      <c r="G1542" s="245" t="s">
        <v>4641</v>
      </c>
      <c r="H1542" s="137" t="s">
        <v>4642</v>
      </c>
      <c r="I1542" s="135" t="s">
        <v>1113</v>
      </c>
      <c r="J1542" s="406" t="str">
        <f>INDEX(数据元说明!A:F,MATCH(I1542,数据元说明!C:C,0),2)</f>
        <v>010005</v>
      </c>
      <c r="K1542" s="138" t="str">
        <f>INDEX(数据元说明!A:F,MATCH(I1542,数据元说明!C:C,0),5)</f>
        <v>识别交易的唯一编号，可以是合同号、成交编号或者其他自定义的编号。</v>
      </c>
      <c r="L1542" s="136" t="str">
        <f>INDEX(数据元说明!A:F,MATCH(I1542,数据元说明!C:C,0),6)</f>
        <v>C..40</v>
      </c>
      <c r="M1542" s="138" t="s">
        <v>4643</v>
      </c>
      <c r="N1542" s="143" t="s">
        <v>57</v>
      </c>
      <c r="P1542" s="41"/>
    </row>
    <row r="1543" s="61" customFormat="1" ht="30" customHeight="1" spans="1:16">
      <c r="A1543" s="130"/>
      <c r="B1543" s="36"/>
      <c r="C1543" s="25"/>
      <c r="D1543" s="44"/>
      <c r="E1543" s="36"/>
      <c r="F1543" s="135" t="s">
        <v>1497</v>
      </c>
      <c r="G1543" s="245" t="s">
        <v>4644</v>
      </c>
      <c r="H1543" s="137" t="s">
        <v>4645</v>
      </c>
      <c r="I1543" s="135" t="s">
        <v>1497</v>
      </c>
      <c r="J1543" s="406" t="str">
        <f>INDEX(数据元说明!A:F,MATCH(I1543,数据元说明!C:C,0),2)</f>
        <v>010100</v>
      </c>
      <c r="K1543" s="138" t="str">
        <f>INDEX(数据元说明!A:F,MATCH(I1543,数据元说明!C:C,0),5)</f>
        <v>债券承销，代理代销信托计划，代理代销资产管理计划，代理代销保险产品，代理代销基金，代理贵金属交易，代销他行理财产品，其他-银行自定义类型。无法以枚举类型填报的，以“其他-XX”填报，其中XX为银行自定义类型。</v>
      </c>
      <c r="L1543" s="136" t="str">
        <f>INDEX(数据元说明!A:F,MATCH(I1543,数据元说明!C:C,0),6)</f>
        <v>C..60</v>
      </c>
      <c r="M1543" s="138" t="s">
        <v>4646</v>
      </c>
      <c r="N1543" s="143" t="s">
        <v>57</v>
      </c>
      <c r="P1543" s="41"/>
    </row>
    <row r="1544" s="61" customFormat="1" ht="30" customHeight="1" spans="1:16">
      <c r="A1544" s="130"/>
      <c r="B1544" s="36"/>
      <c r="C1544" s="25"/>
      <c r="E1544" s="36"/>
      <c r="F1544" s="135" t="s">
        <v>4647</v>
      </c>
      <c r="G1544" s="245" t="s">
        <v>4648</v>
      </c>
      <c r="H1544" s="137" t="s">
        <v>4649</v>
      </c>
      <c r="I1544" s="135" t="s">
        <v>739</v>
      </c>
      <c r="J1544" s="136" t="str">
        <f>INDEX(数据元说明!A:F,MATCH(I1544,数据元说明!C:C,0),2)</f>
        <v>005001</v>
      </c>
      <c r="K1544" s="138" t="str">
        <f>INDEX(数据元说明!A:F,MATCH(I1544,数据元说明!C:C,0),5)</f>
        <v>银行内部产品中文名称，银行自定义。</v>
      </c>
      <c r="L1544" s="136" t="str">
        <f>INDEX(数据元说明!A:F,MATCH(I1544,数据元说明!C:C,0),6)</f>
        <v>C..200</v>
      </c>
      <c r="M1544" s="138"/>
      <c r="N1544" s="143" t="s">
        <v>57</v>
      </c>
      <c r="P1544" s="41"/>
    </row>
    <row r="1545" s="61" customFormat="1" ht="30" customHeight="1" spans="1:16">
      <c r="A1545" s="130"/>
      <c r="B1545" s="36"/>
      <c r="C1545" s="25"/>
      <c r="E1545" s="36"/>
      <c r="F1545" s="135" t="s">
        <v>3437</v>
      </c>
      <c r="G1545" s="245" t="s">
        <v>3438</v>
      </c>
      <c r="H1545" s="137" t="s">
        <v>4650</v>
      </c>
      <c r="I1545" s="135" t="s">
        <v>1129</v>
      </c>
      <c r="J1545" s="406" t="str">
        <f>INDEX(数据元说明!A:F,MATCH(I1545,数据元说明!C:C,0),2)</f>
        <v>010009</v>
      </c>
      <c r="K1545" s="138" t="str">
        <f>INDEX(数据元说明!A:F,MATCH(I1545,数据元说明!C:C,0),5)</f>
        <v>买入，卖出。</v>
      </c>
      <c r="L1545" s="136" t="str">
        <f>INDEX(数据元说明!A:F,MATCH(I1545,数据元说明!C:C,0),6)</f>
        <v>C6</v>
      </c>
      <c r="M1545" s="138"/>
      <c r="N1545" s="143"/>
      <c r="P1545" s="41"/>
    </row>
    <row r="1546" s="61" customFormat="1" ht="30" customHeight="1" spans="1:16">
      <c r="A1546" s="130"/>
      <c r="B1546" s="36"/>
      <c r="C1546" s="25"/>
      <c r="D1546" s="257"/>
      <c r="E1546" s="36"/>
      <c r="F1546" s="135" t="s">
        <v>4651</v>
      </c>
      <c r="G1546" s="245" t="s">
        <v>4652</v>
      </c>
      <c r="H1546" s="137" t="s">
        <v>4653</v>
      </c>
      <c r="I1546" s="135" t="s">
        <v>302</v>
      </c>
      <c r="J1546" s="136" t="str">
        <f>INDEX(数据元说明!A:F,MATCH(I1546,数据元说明!C:C,0),2)</f>
        <v>001005</v>
      </c>
      <c r="K1546" s="138" t="str">
        <f>INDEX(数据元说明!A:F,MATCH(I1546,数据元说明!C:C,0),5)</f>
        <v>YYYYMMDD，默认值99991231。</v>
      </c>
      <c r="L1546" s="136" t="str">
        <f>INDEX(数据元说明!A:F,MATCH(I1546,数据元说明!C:C,0),6)</f>
        <v>C8</v>
      </c>
      <c r="M1546" s="138" t="s">
        <v>4654</v>
      </c>
      <c r="N1546" s="143" t="s">
        <v>57</v>
      </c>
      <c r="P1546" s="41"/>
    </row>
    <row r="1547" s="61" customFormat="1" ht="30" customHeight="1" spans="1:16">
      <c r="A1547" s="130"/>
      <c r="B1547" s="36"/>
      <c r="C1547" s="25"/>
      <c r="D1547" s="258"/>
      <c r="E1547" s="36"/>
      <c r="F1547" s="135" t="s">
        <v>624</v>
      </c>
      <c r="G1547" s="245" t="s">
        <v>1989</v>
      </c>
      <c r="H1547" s="137" t="s">
        <v>4655</v>
      </c>
      <c r="I1547" s="135" t="s">
        <v>624</v>
      </c>
      <c r="J1547" s="136" t="str">
        <f>INDEX(数据元说明!A:F,MATCH(I1547,数据元说明!C:C,0),2)</f>
        <v>003014</v>
      </c>
      <c r="K1547" s="138" t="str">
        <f>INDEX(数据元说明!A:F,MATCH(I1547,数据元说明!C:C,0),5)</f>
        <v>遵循《GB/T 12406 表示货币和资金的代码》的字母代码，如CNY。上述文件所列币种无法涵盖的，允许银行自定义填报。多个币种合计折算为人民币（本外币合计）的，填报为BWB。</v>
      </c>
      <c r="L1547" s="136" t="str">
        <f>INDEX(数据元说明!A:F,MATCH(I1547,数据元说明!C:C,0),6)</f>
        <v>C3</v>
      </c>
      <c r="M1547" s="138"/>
      <c r="N1547" s="143" t="s">
        <v>57</v>
      </c>
      <c r="P1547" s="41"/>
    </row>
    <row r="1548" s="61" customFormat="1" ht="30" customHeight="1" spans="1:16">
      <c r="A1548" s="130"/>
      <c r="B1548" s="36"/>
      <c r="C1548" s="25"/>
      <c r="D1548" s="257"/>
      <c r="E1548" s="36"/>
      <c r="F1548" s="135" t="s">
        <v>2404</v>
      </c>
      <c r="G1548" s="245" t="s">
        <v>2405</v>
      </c>
      <c r="H1548" s="137" t="s">
        <v>4656</v>
      </c>
      <c r="I1548" s="135" t="s">
        <v>609</v>
      </c>
      <c r="J1548" s="136" t="str">
        <f>INDEX(数据元说明!A:F,MATCH(I1548,数据元说明!C:C,0),2)</f>
        <v>003010</v>
      </c>
      <c r="K1548" s="138" t="str">
        <f>INDEX(数据元说明!A:F,MATCH(I1548,数据元说明!C:C,0),5)</f>
        <v>与币种相对应金额。</v>
      </c>
      <c r="L1548" s="136" t="str">
        <f>INDEX(数据元说明!A:F,MATCH(I1548,数据元说明!C:C,0),6)</f>
        <v>D20.2</v>
      </c>
      <c r="M1548" s="138" t="s">
        <v>4657</v>
      </c>
      <c r="N1548" s="143" t="s">
        <v>57</v>
      </c>
      <c r="P1548" s="41"/>
    </row>
    <row r="1549" s="61" customFormat="1" ht="30" customHeight="1" spans="1:16">
      <c r="A1549" s="130"/>
      <c r="B1549" s="36"/>
      <c r="C1549" s="25"/>
      <c r="D1549" s="44"/>
      <c r="E1549" s="36"/>
      <c r="F1549" s="135" t="s">
        <v>4658</v>
      </c>
      <c r="G1549" s="245" t="s">
        <v>4659</v>
      </c>
      <c r="H1549" s="137" t="s">
        <v>4660</v>
      </c>
      <c r="I1549" s="135" t="s">
        <v>282</v>
      </c>
      <c r="J1549" s="136" t="str">
        <f>INDEX(数据元说明!A:F,MATCH(I1549,数据元说明!C:C,0),2)</f>
        <v>001001</v>
      </c>
      <c r="K1549" s="138" t="str">
        <f>INDEX(数据元说明!A:F,MATCH(I1549,数据元说明!C:C,0),5)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49" s="136" t="str">
        <f>INDEX(数据元说明!A:F,MATCH(I1549,数据元说明!C:C,0),6)</f>
        <v>C..400</v>
      </c>
      <c r="M1549" s="138" t="s">
        <v>4661</v>
      </c>
      <c r="N1549" s="143" t="s">
        <v>57</v>
      </c>
      <c r="P1549" s="41"/>
    </row>
    <row r="1550" s="35" customFormat="1" ht="30" customHeight="1" outlineLevel="1" spans="1:16">
      <c r="A1550" s="93"/>
      <c r="B1550" s="94"/>
      <c r="C1550" s="95"/>
      <c r="D1550" s="95"/>
      <c r="E1550" s="94"/>
      <c r="F1550" s="138" t="s">
        <v>4662</v>
      </c>
      <c r="G1550" s="245" t="s">
        <v>4663</v>
      </c>
      <c r="H1550" s="137" t="s">
        <v>4664</v>
      </c>
      <c r="I1550" s="138" t="s">
        <v>1133</v>
      </c>
      <c r="J1550" s="410" t="str">
        <f>INDEX(数据元说明!A:F,MATCH(I1550,数据元说明!C:C,0),2)</f>
        <v>010010</v>
      </c>
      <c r="K1550" s="158" t="str">
        <f>INDEX(数据元说明!A:F,MATCH(I1550,数据元说明!C:C,0),5)</f>
        <v>优先填报外部专业性的评级公司对融资人主体或资产的信用评级结果，如无，则由填报机构内部对融资人主体或资产的信用评级结果。</v>
      </c>
      <c r="L1550" s="257" t="s">
        <v>552</v>
      </c>
      <c r="M1550" s="138" t="s">
        <v>4665</v>
      </c>
      <c r="N1550" s="187" t="s">
        <v>25</v>
      </c>
      <c r="O1550" s="129" t="s">
        <v>275</v>
      </c>
      <c r="P1550" s="259"/>
    </row>
    <row r="1551" s="61" customFormat="1" ht="30" customHeight="1" spans="1:16">
      <c r="A1551" s="130"/>
      <c r="B1551" s="36"/>
      <c r="C1551" s="25"/>
      <c r="D1551" s="25"/>
      <c r="E1551" s="36"/>
      <c r="F1551" s="135" t="s">
        <v>4666</v>
      </c>
      <c r="G1551" s="245" t="s">
        <v>4667</v>
      </c>
      <c r="H1551" s="137" t="s">
        <v>4668</v>
      </c>
      <c r="I1551" s="135" t="s">
        <v>282</v>
      </c>
      <c r="J1551" s="136" t="str">
        <f>INDEX(数据元说明!A:F,MATCH(I1551,数据元说明!C:C,0),2)</f>
        <v>001001</v>
      </c>
      <c r="K1551" s="138" t="str">
        <f>INDEX(数据元说明!A:F,MATCH(I1551,数据元说明!C:C,0),5)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51" s="136" t="str">
        <f>INDEX(数据元说明!A:F,MATCH(I1551,数据元说明!C:C,0),6)</f>
        <v>C..400</v>
      </c>
      <c r="M1551" s="138" t="s">
        <v>4669</v>
      </c>
      <c r="N1551" s="139" t="s">
        <v>25</v>
      </c>
      <c r="O1551" s="139" t="s">
        <v>280</v>
      </c>
      <c r="P1551" s="205"/>
    </row>
    <row r="1552" s="35" customFormat="1" ht="30" customHeight="1" outlineLevel="1" spans="1:16">
      <c r="A1552" s="93"/>
      <c r="B1552" s="94"/>
      <c r="C1552" s="95"/>
      <c r="D1552" s="95"/>
      <c r="E1552" s="94"/>
      <c r="F1552" s="222" t="s">
        <v>4670</v>
      </c>
      <c r="G1552" s="245" t="s">
        <v>4671</v>
      </c>
      <c r="H1552" s="137" t="s">
        <v>4672</v>
      </c>
      <c r="I1552" s="157" t="s">
        <v>697</v>
      </c>
      <c r="J1552" s="213" t="str">
        <f>INDEX(数据元说明!A:F,MATCH(I1552,数据元说明!C:C,0),2)</f>
        <v>003032</v>
      </c>
      <c r="K1552" s="158" t="str">
        <f>INDEX(数据元说明!A:F,MATCH(I1552,数据元说明!C:C,0),5)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552" s="258" t="s">
        <v>385</v>
      </c>
      <c r="M1552" s="138" t="s">
        <v>4673</v>
      </c>
      <c r="N1552" s="143" t="s">
        <v>57</v>
      </c>
      <c r="O1552" s="140"/>
      <c r="P1552" s="259"/>
    </row>
    <row r="1553" s="35" customFormat="1" ht="30" customHeight="1" outlineLevel="1" spans="1:16">
      <c r="A1553" s="93"/>
      <c r="B1553" s="94"/>
      <c r="C1553" s="95"/>
      <c r="D1553" s="95"/>
      <c r="E1553" s="94"/>
      <c r="F1553" s="222" t="s">
        <v>4674</v>
      </c>
      <c r="G1553" s="245" t="s">
        <v>4675</v>
      </c>
      <c r="H1553" s="137" t="s">
        <v>4676</v>
      </c>
      <c r="I1553" s="222" t="s">
        <v>282</v>
      </c>
      <c r="J1553" s="213" t="str">
        <f>INDEX(数据元说明!A:F,MATCH(I1553,数据元说明!C:C,0),2)</f>
        <v>001001</v>
      </c>
      <c r="K1553" s="158" t="str">
        <f>INDEX(数据元说明!A:F,MATCH(I1553,数据元说明!C:C,0),5)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53" s="258" t="s">
        <v>323</v>
      </c>
      <c r="M1553" s="222" t="s">
        <v>4677</v>
      </c>
      <c r="N1553" s="143" t="s">
        <v>57</v>
      </c>
      <c r="O1553" s="140"/>
      <c r="P1553" s="259"/>
    </row>
    <row r="1554" s="35" customFormat="1" ht="30" customHeight="1" outlineLevel="1" spans="1:16">
      <c r="A1554" s="93"/>
      <c r="B1554" s="94"/>
      <c r="C1554" s="95"/>
      <c r="D1554" s="95"/>
      <c r="E1554" s="94"/>
      <c r="F1554" s="158" t="s">
        <v>3534</v>
      </c>
      <c r="G1554" s="43" t="s">
        <v>3535</v>
      </c>
      <c r="H1554" s="137" t="s">
        <v>4678</v>
      </c>
      <c r="I1554" s="158" t="s">
        <v>624</v>
      </c>
      <c r="J1554" s="213" t="str">
        <f>INDEX(数据元说明!A:F,MATCH(I1554,数据元说明!C:C,0),2)</f>
        <v>003014</v>
      </c>
      <c r="K1554" s="158" t="str">
        <f>INDEX(数据元说明!A:F,MATCH(I1554,数据元说明!C:C,0),5)</f>
        <v>遵循《GB/T 12406 表示货币和资金的代码》的字母代码，如CNY。上述文件所列币种无法涵盖的，允许银行自定义填报。多个币种合计折算为人民币（本外币合计）的，填报为BWB。</v>
      </c>
      <c r="L1554" s="213" t="str">
        <f>INDEX(数据元说明!A:F,MATCH(I1554,数据元说明!C:C,0),6)</f>
        <v>C3</v>
      </c>
      <c r="M1554" s="138" t="s">
        <v>3537</v>
      </c>
      <c r="N1554" s="143" t="s">
        <v>57</v>
      </c>
      <c r="O1554" s="44"/>
      <c r="P1554" s="99"/>
    </row>
    <row r="1555" s="35" customFormat="1" ht="30" customHeight="1" outlineLevel="1" spans="1:16">
      <c r="A1555" s="93"/>
      <c r="B1555" s="94"/>
      <c r="C1555" s="95"/>
      <c r="D1555" s="95"/>
      <c r="E1555" s="94"/>
      <c r="F1555" s="157" t="s">
        <v>3538</v>
      </c>
      <c r="G1555" s="245" t="s">
        <v>3539</v>
      </c>
      <c r="H1555" s="137" t="s">
        <v>4679</v>
      </c>
      <c r="I1555" s="157" t="s">
        <v>609</v>
      </c>
      <c r="J1555" s="213" t="str">
        <f>INDEX(数据元说明!A:F,MATCH(I1555,数据元说明!C:C,0),2)</f>
        <v>003010</v>
      </c>
      <c r="K1555" s="158" t="str">
        <f>INDEX(数据元说明!A:F,MATCH(I1555,数据元说明!C:C,0),5)</f>
        <v>与币种相对应金额。</v>
      </c>
      <c r="L1555" s="213" t="str">
        <f>INDEX(数据元说明!A:F,MATCH(I1555,数据元说明!C:C,0),6)</f>
        <v>D20.2</v>
      </c>
      <c r="M1555" s="138" t="s">
        <v>3541</v>
      </c>
      <c r="N1555" s="143" t="s">
        <v>57</v>
      </c>
      <c r="O1555" s="44"/>
      <c r="P1555" s="99"/>
    </row>
    <row r="1556" s="35" customFormat="1" ht="30" customHeight="1" outlineLevel="1" spans="1:16">
      <c r="A1556" s="93"/>
      <c r="B1556" s="94"/>
      <c r="C1556" s="95"/>
      <c r="D1556" s="95"/>
      <c r="E1556" s="94"/>
      <c r="F1556" s="157" t="s">
        <v>714</v>
      </c>
      <c r="G1556" s="245" t="s">
        <v>2431</v>
      </c>
      <c r="H1556" s="137" t="s">
        <v>4680</v>
      </c>
      <c r="I1556" s="157" t="s">
        <v>714</v>
      </c>
      <c r="J1556" s="213" t="str">
        <f>INDEX(数据元说明!A:F,MATCH(I1556,数据元说明!C:C,0),2)</f>
        <v>004004</v>
      </c>
      <c r="K1556" s="158" t="str">
        <f>INDEX(数据元说明!A:F,MATCH(I1556,数据元说明!C:C,0),5)</f>
        <v>现，转。</v>
      </c>
      <c r="L1556" s="213" t="str">
        <f>INDEX(数据元说明!A:F,MATCH(I1556,数据元说明!C:C,0),6)</f>
        <v>C3</v>
      </c>
      <c r="M1556" s="138"/>
      <c r="N1556" s="143"/>
      <c r="O1556" s="44"/>
      <c r="P1556" s="99"/>
    </row>
    <row r="1557" s="61" customFormat="1" ht="30" customHeight="1" spans="1:16">
      <c r="A1557" s="130"/>
      <c r="B1557" s="36"/>
      <c r="C1557" s="25"/>
      <c r="E1557" s="36"/>
      <c r="F1557" s="135" t="s">
        <v>3694</v>
      </c>
      <c r="G1557" s="245" t="s">
        <v>4681</v>
      </c>
      <c r="H1557" s="137" t="s">
        <v>4682</v>
      </c>
      <c r="I1557" s="135" t="s">
        <v>349</v>
      </c>
      <c r="J1557" s="136" t="str">
        <f>INDEX(数据元说明!A:F,MATCH(I1557,数据元说明!C:C,0),2)</f>
        <v>001016</v>
      </c>
      <c r="K1557" s="138" t="str">
        <f>INDEX(数据元说明!A:F,MATCH(I1557,数据元说明!C:C,0),5)</f>
        <v>工号，银行自定义。</v>
      </c>
      <c r="L1557" s="136" t="str">
        <f>INDEX(数据元说明!A:F,MATCH(I1557,数据元说明!C:C,0),6)</f>
        <v>C..30</v>
      </c>
      <c r="M1557" s="138" t="s">
        <v>4683</v>
      </c>
      <c r="N1557" s="143" t="s">
        <v>57</v>
      </c>
      <c r="P1557" s="41"/>
    </row>
    <row r="1558" s="81" customFormat="1" ht="30" customHeight="1" outlineLevel="1" spans="1:16">
      <c r="A1558" s="134"/>
      <c r="B1558" s="47"/>
      <c r="C1558" s="39"/>
      <c r="D1558" s="39"/>
      <c r="E1558" s="47"/>
      <c r="F1558" s="169" t="s">
        <v>449</v>
      </c>
      <c r="G1558" s="148" t="s">
        <v>1571</v>
      </c>
      <c r="H1558" s="148" t="s">
        <v>4684</v>
      </c>
      <c r="I1558" s="169" t="s">
        <v>449</v>
      </c>
      <c r="J1558" s="170" t="str">
        <f>INDEX(数据元说明!A:F,MATCH(I1558,数据元说明!C:C,0),2)</f>
        <v>001040</v>
      </c>
      <c r="K1558" s="171" t="str">
        <f>INDEX(数据元说明!A:F,MATCH(I1558,数据元说明!C:C,0),5)</f>
        <v>银行自定义。</v>
      </c>
      <c r="L1558" s="170" t="str">
        <f>INDEX(数据元说明!A:F,MATCH(I1558,数据元说明!C:C,0),6)</f>
        <v>C..600</v>
      </c>
      <c r="M1558" s="149" t="s">
        <v>1573</v>
      </c>
      <c r="N1558" s="143" t="s">
        <v>57</v>
      </c>
      <c r="O1558" s="173"/>
      <c r="P1558" s="173"/>
    </row>
    <row r="1559" ht="30" customHeight="1" outlineLevel="1" spans="1:16">
      <c r="E1559" s="94"/>
      <c r="F1559" s="97" t="s">
        <v>1574</v>
      </c>
      <c r="G1559" s="29" t="s">
        <v>1575</v>
      </c>
      <c r="H1559" s="132" t="s">
        <v>4685</v>
      </c>
      <c r="I1559" s="97" t="s">
        <v>302</v>
      </c>
      <c r="J1559" s="29" t="str">
        <f>INDEX(数据元说明!A:F,MATCH(I1559,数据元说明!C:C,0),2)</f>
        <v>001005</v>
      </c>
      <c r="K1559" s="98" t="str">
        <f>INDEX(数据元说明!A:F,MATCH(I1559,数据元说明!C:C,0),5)</f>
        <v>YYYYMMDD，默认值99991231。</v>
      </c>
      <c r="L1559" s="29" t="str">
        <f>INDEX(数据元说明!A:F,MATCH(I1559,数据元说明!C:C,0),6)</f>
        <v>C8</v>
      </c>
      <c r="M1559" s="98" t="s">
        <v>1577</v>
      </c>
      <c r="P1559" s="99"/>
    </row>
    <row r="1560" s="83" customFormat="1" ht="28" customHeight="1" spans="1:16">
      <c r="A1560" s="210"/>
      <c r="B1560" s="211"/>
      <c r="C1560" s="190" t="s">
        <v>231</v>
      </c>
      <c r="D1560" s="191" t="s">
        <v>232</v>
      </c>
      <c r="E1560" s="192" t="s">
        <v>4686</v>
      </c>
      <c r="F1560" s="193"/>
      <c r="G1560" s="194"/>
      <c r="H1560" s="192"/>
      <c r="I1560" s="193"/>
      <c r="J1560" s="194"/>
      <c r="K1560" s="195"/>
      <c r="L1560" s="194"/>
      <c r="M1560" s="193" t="str">
        <f>INDEX(表结构总览!E:H,MATCH(D1560,表结构总览!E:E,0),4)</f>
        <v>填报在阶段开始日到结束日之间，银行做的代客资金交易信息。包括代客结售汇、代客衍生品交易及其他代客资金交易业务。对于衍生品交易，涉及远期交易的仅在合同签订时报送一笔远端交易信息，交割时不必报送，但代客平盘交易需要按照单笔报送。对于掉期类衍生品交易仅需填报远端交易。债券承销，以及代销信托、资管计划、基金、贵金属等填报至代理代销信息表中。自营资金不报送在本表。</v>
      </c>
      <c r="N1560" s="143" t="s">
        <v>57</v>
      </c>
      <c r="O1560" s="164"/>
      <c r="P1560" s="164"/>
    </row>
    <row r="1561" s="35" customFormat="1" ht="30" customHeight="1" outlineLevel="1" spans="1:16">
      <c r="A1561" s="93"/>
      <c r="B1561" s="94"/>
      <c r="C1561" s="95"/>
      <c r="D1561" s="95"/>
      <c r="E1561" s="94"/>
      <c r="F1561" s="158" t="s">
        <v>325</v>
      </c>
      <c r="G1561" s="245" t="s">
        <v>1520</v>
      </c>
      <c r="H1561" s="153" t="s">
        <v>4687</v>
      </c>
      <c r="I1561" s="158" t="s">
        <v>325</v>
      </c>
      <c r="J1561" s="213" t="str">
        <f>INDEX(数据元说明!A:F,MATCH(I1561,数据元说明!C:C,0),2)</f>
        <v>001010</v>
      </c>
      <c r="K1561" s="158" t="str">
        <f>INDEX(数据元说明!A:F,MATCH(I1561,数据元说明!C:C,0),5)</f>
        <v>12位人行支付行号或SWIFT行号。</v>
      </c>
      <c r="L1561" s="213" t="str">
        <f>INDEX(数据元说明!A:F,MATCH(I1561,数据元说明!C:C,0),6)</f>
        <v>C..30</v>
      </c>
      <c r="M1561" s="138" t="s">
        <v>4624</v>
      </c>
      <c r="N1561" s="143" t="s">
        <v>57</v>
      </c>
      <c r="O1561" s="140"/>
      <c r="P1561" s="259"/>
    </row>
    <row r="1562" s="81" customFormat="1" ht="30" customHeight="1" outlineLevel="1" spans="1:16">
      <c r="A1562" s="134"/>
      <c r="B1562" s="47"/>
      <c r="C1562" s="39"/>
      <c r="D1562" s="39"/>
      <c r="E1562" s="47"/>
      <c r="F1562" s="135" t="s">
        <v>329</v>
      </c>
      <c r="G1562" s="136" t="s">
        <v>1526</v>
      </c>
      <c r="H1562" s="153" t="s">
        <v>4688</v>
      </c>
      <c r="I1562" s="135" t="s">
        <v>329</v>
      </c>
      <c r="J1562" s="136" t="str">
        <f>INDEX(数据元说明!A:F,MATCH(I1562,数据元说明!C:C,0),2)</f>
        <v>001011</v>
      </c>
      <c r="K1562" s="138" t="str">
        <f>INDEX(数据元说明!A:F,MATCH(I1562,数据元说明!C:C,0),5)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62" s="136" t="str">
        <f>INDEX(数据元说明!A:F,MATCH(I1562,数据元说明!C:C,0),6)</f>
        <v>C..30</v>
      </c>
      <c r="M1562" s="138" t="s">
        <v>4470</v>
      </c>
      <c r="N1562" s="143" t="s">
        <v>57</v>
      </c>
      <c r="O1562" s="140"/>
      <c r="P1562" s="140"/>
    </row>
    <row r="1563" s="35" customFormat="1" ht="30" customHeight="1" outlineLevel="1" spans="1:16">
      <c r="A1563" s="93"/>
      <c r="B1563" s="94"/>
      <c r="C1563" s="95"/>
      <c r="D1563" s="95"/>
      <c r="E1563" s="94"/>
      <c r="F1563" s="158" t="s">
        <v>333</v>
      </c>
      <c r="G1563" s="245" t="s">
        <v>1523</v>
      </c>
      <c r="H1563" s="153" t="s">
        <v>4689</v>
      </c>
      <c r="I1563" s="158" t="s">
        <v>333</v>
      </c>
      <c r="J1563" s="213" t="str">
        <f>INDEX(数据元说明!A:F,MATCH(I1563,数据元说明!C:C,0),2)</f>
        <v>001012</v>
      </c>
      <c r="K1563" s="158" t="str">
        <f>INDEX(数据元说明!A:F,MATCH(I1563,数据元说明!C:C,0),5)</f>
        <v>银行内部机构号。应具有标识机构的唯一性。</v>
      </c>
      <c r="L1563" s="213" t="str">
        <f>INDEX(数据元说明!A:F,MATCH(I1563,数据元说明!C:C,0),6)</f>
        <v>C..30</v>
      </c>
      <c r="M1563" s="138" t="s">
        <v>4627</v>
      </c>
      <c r="N1563" s="143" t="s">
        <v>57</v>
      </c>
      <c r="O1563" s="140"/>
      <c r="P1563" s="259"/>
    </row>
    <row r="1564" s="89" customFormat="1" ht="30" customHeight="1" outlineLevel="1" spans="1:16">
      <c r="A1564" s="154"/>
      <c r="B1564" s="155"/>
      <c r="C1564" s="156"/>
      <c r="D1564" s="156"/>
      <c r="E1564" s="155"/>
      <c r="F1564" s="158" t="s">
        <v>1532</v>
      </c>
      <c r="G1564" s="213" t="s">
        <v>1533</v>
      </c>
      <c r="H1564" s="153" t="s">
        <v>4690</v>
      </c>
      <c r="I1564" s="158" t="s">
        <v>282</v>
      </c>
      <c r="J1564" s="213" t="str">
        <f>INDEX(数据元说明!A:F,MATCH(I1564,数据元说明!C:C,0),2)</f>
        <v>001001</v>
      </c>
      <c r="K1564" s="158" t="str">
        <f>INDEX(数据元说明!A:F,MATCH(I1564,数据元说明!C:C,0),5)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64" s="213" t="str">
        <f>INDEX(数据元说明!A:F,MATCH(I1564,数据元说明!C:C,0),6)</f>
        <v>C..400</v>
      </c>
      <c r="M1564" s="138" t="s">
        <v>4474</v>
      </c>
      <c r="N1564" s="143" t="s">
        <v>57</v>
      </c>
      <c r="O1564" s="140"/>
      <c r="P1564" s="140"/>
    </row>
    <row r="1565" s="61" customFormat="1" ht="30" customHeight="1" spans="1:16">
      <c r="A1565" s="130"/>
      <c r="B1565" s="36"/>
      <c r="C1565" s="25"/>
      <c r="D1565" s="44"/>
      <c r="E1565" s="36"/>
      <c r="F1565" s="135" t="s">
        <v>453</v>
      </c>
      <c r="G1565" s="245" t="s">
        <v>1680</v>
      </c>
      <c r="H1565" s="153" t="s">
        <v>4691</v>
      </c>
      <c r="I1565" s="135" t="s">
        <v>453</v>
      </c>
      <c r="J1565" s="136" t="str">
        <f>INDEX(数据元说明!A:F,MATCH(I1565,数据元说明!C:C,0),2)</f>
        <v>002001</v>
      </c>
      <c r="K1565" s="138" t="str">
        <f>INDEX(数据元说明!A:F,MATCH(I1565,数据元说明!C:C,0),5)</f>
        <v>银行自定义的唯一识别客户的标识。供应链融资的填写供应链融资编码。</v>
      </c>
      <c r="L1565" s="136" t="str">
        <f>INDEX(数据元说明!A:F,MATCH(I1565,数据元说明!C:C,0),6)</f>
        <v>C..60</v>
      </c>
      <c r="M1565" s="138" t="s">
        <v>4692</v>
      </c>
      <c r="N1565" s="143" t="s">
        <v>57</v>
      </c>
      <c r="P1565" s="41"/>
    </row>
    <row r="1566" s="61" customFormat="1" ht="30" customHeight="1" spans="1:16">
      <c r="A1566" s="130"/>
      <c r="B1566" s="36"/>
      <c r="C1566" s="25"/>
      <c r="D1566" s="256"/>
      <c r="E1566" s="36"/>
      <c r="F1566" s="135" t="s">
        <v>1864</v>
      </c>
      <c r="G1566" s="245" t="s">
        <v>2334</v>
      </c>
      <c r="H1566" s="153" t="s">
        <v>4693</v>
      </c>
      <c r="I1566" s="135" t="s">
        <v>628</v>
      </c>
      <c r="J1566" s="136" t="str">
        <f>INDEX(数据元说明!A:F,MATCH(I1566,数据元说明!C:C,0),2)</f>
        <v>003015</v>
      </c>
      <c r="K1566" s="138" t="str">
        <f>INDEX(数据元说明!A:F,MATCH(I1566,数据元说明!C:C,0),5)</f>
        <v>账户归属者的名称。如果客户为个人，则为隐私，银行机构变形，变形规则见《采集技术接口说明》。客户是境内涉密机构的，账户名称填报为“*********”。其他情况，则为非隐私，不做变形。</v>
      </c>
      <c r="L1566" s="136" t="str">
        <f>INDEX(数据元说明!A:F,MATCH(I1566,数据元说明!C:C,0),6)</f>
        <v>C..400</v>
      </c>
      <c r="M1566" s="138" t="s">
        <v>4694</v>
      </c>
      <c r="N1566" s="143" t="s">
        <v>57</v>
      </c>
      <c r="P1566" s="41"/>
    </row>
    <row r="1567" s="81" customFormat="1" ht="30" customHeight="1" outlineLevel="1" spans="1:16">
      <c r="A1567" s="167"/>
      <c r="B1567" s="168"/>
      <c r="C1567" s="156"/>
      <c r="D1567" s="156"/>
      <c r="E1567" s="155"/>
      <c r="F1567" s="157" t="s">
        <v>4633</v>
      </c>
      <c r="G1567" s="43" t="s">
        <v>4634</v>
      </c>
      <c r="H1567" s="153" t="s">
        <v>4695</v>
      </c>
      <c r="I1567" s="157" t="s">
        <v>697</v>
      </c>
      <c r="J1567" s="43" t="str">
        <f>INDEX(数据元说明!A:F,MATCH(I1567,数据元说明!C:C,0),2)</f>
        <v>003032</v>
      </c>
      <c r="K1567" s="158" t="str">
        <f>INDEX(数据元说明!A:F,MATCH(I1567,数据元说明!C:C,0),5)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567" s="43" t="str">
        <f>INDEX(数据元说明!A:F,MATCH(I1567,数据元说明!C:C,0),6)</f>
        <v>C..60</v>
      </c>
      <c r="M1567" s="138" t="s">
        <v>4696</v>
      </c>
      <c r="N1567" s="143" t="s">
        <v>57</v>
      </c>
      <c r="O1567" s="140"/>
      <c r="P1567" s="140"/>
    </row>
    <row r="1568" s="81" customFormat="1" ht="30" customHeight="1" outlineLevel="1" spans="1:16">
      <c r="A1568" s="141"/>
      <c r="B1568" s="142"/>
      <c r="C1568" s="39"/>
      <c r="D1568" s="39"/>
      <c r="E1568" s="47"/>
      <c r="F1568" s="157" t="s">
        <v>4637</v>
      </c>
      <c r="G1568" s="136" t="s">
        <v>4638</v>
      </c>
      <c r="H1568" s="153" t="s">
        <v>4697</v>
      </c>
      <c r="I1568" s="135" t="s">
        <v>282</v>
      </c>
      <c r="J1568" s="43" t="str">
        <f>INDEX(数据元说明!A:F,MATCH(I1568,数据元说明!C:C,0),2)</f>
        <v>001001</v>
      </c>
      <c r="K1568" s="158" t="str">
        <f>INDEX(数据元说明!A:F,MATCH(I1568,数据元说明!C:C,0),5)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68" s="43" t="str">
        <f>INDEX(数据元说明!A:F,MATCH(I1568,数据元说明!C:C,0),6)</f>
        <v>C..400</v>
      </c>
      <c r="M1568" s="138"/>
      <c r="N1568" s="143" t="s">
        <v>57</v>
      </c>
      <c r="O1568" s="140"/>
      <c r="P1568" s="140"/>
    </row>
    <row r="1569" s="61" customFormat="1" ht="30" customHeight="1" spans="1:16">
      <c r="A1569" s="130"/>
      <c r="B1569" s="36"/>
      <c r="C1569" s="25"/>
      <c r="D1569" s="44"/>
      <c r="E1569" s="36"/>
      <c r="F1569" s="135" t="s">
        <v>1113</v>
      </c>
      <c r="G1569" s="245" t="s">
        <v>4641</v>
      </c>
      <c r="H1569" s="153" t="s">
        <v>4698</v>
      </c>
      <c r="I1569" s="135" t="s">
        <v>1113</v>
      </c>
      <c r="J1569" s="406" t="str">
        <f>INDEX(数据元说明!A:F,MATCH(I1569,数据元说明!C:C,0),2)</f>
        <v>010005</v>
      </c>
      <c r="K1569" s="138" t="str">
        <f>INDEX(数据元说明!A:F,MATCH(I1569,数据元说明!C:C,0),5)</f>
        <v>识别交易的唯一编号，可以是合同号、成交编号或者其他自定义的编号。</v>
      </c>
      <c r="L1569" s="136" t="str">
        <f>INDEX(数据元说明!A:F,MATCH(I1569,数据元说明!C:C,0),6)</f>
        <v>C..40</v>
      </c>
      <c r="M1569" s="138" t="s">
        <v>4643</v>
      </c>
      <c r="N1569" s="143" t="s">
        <v>57</v>
      </c>
      <c r="P1569" s="41"/>
    </row>
    <row r="1570" s="35" customFormat="1" ht="30" customHeight="1" outlineLevel="1" spans="1:16">
      <c r="A1570" s="93"/>
      <c r="B1570" s="94"/>
      <c r="C1570" s="95"/>
      <c r="D1570" s="95"/>
      <c r="E1570" s="94"/>
      <c r="F1570" s="158" t="s">
        <v>4699</v>
      </c>
      <c r="G1570" s="245" t="s">
        <v>4700</v>
      </c>
      <c r="H1570" s="153" t="s">
        <v>4701</v>
      </c>
      <c r="I1570" s="158" t="s">
        <v>1485</v>
      </c>
      <c r="J1570" s="411" t="str">
        <f>INDEX(数据元说明!A:F,MATCH(I1570,数据元说明!C:C,0),2)</f>
        <v>010097</v>
      </c>
      <c r="K1570" s="158" t="str">
        <f>INDEX(数据元说明!A:F,MATCH(I1570,数据元说明!C:C,0),5)</f>
        <v>利率类产品，汇率类产品，商品及其他类产品，股权相关类产品，信用类产品，贵金属类产品，复合类产品</v>
      </c>
      <c r="L1570" s="213" t="str">
        <f>INDEX(数据元说明!A:F,MATCH(I1570,数据元说明!C:C,0),6)</f>
        <v>C..30</v>
      </c>
      <c r="M1570" s="138"/>
      <c r="N1570" s="143" t="s">
        <v>57</v>
      </c>
      <c r="O1570" s="140"/>
      <c r="P1570" s="259"/>
    </row>
    <row r="1571" s="90" customFormat="1" ht="57" customHeight="1" outlineLevel="1" spans="1:16">
      <c r="A1571" s="130"/>
      <c r="B1571" s="36"/>
      <c r="C1571" s="25"/>
      <c r="D1571" s="25"/>
      <c r="E1571" s="36"/>
      <c r="F1571" s="138" t="s">
        <v>4481</v>
      </c>
      <c r="G1571" s="245" t="s">
        <v>4482</v>
      </c>
      <c r="H1571" s="153" t="s">
        <v>4702</v>
      </c>
      <c r="I1571" s="138" t="s">
        <v>1489</v>
      </c>
      <c r="J1571" s="411" t="str">
        <f>INDEX(数据元说明!A:F,MATCH(I1571,数据元说明!C:C,0),2)</f>
        <v>010098</v>
      </c>
      <c r="K1571" s="138" t="str">
        <f>INDEX(数据元说明!A:F,MATCH(I1571,数据元说明!C:C,0),5)</f>
        <v>买入期权，卖出期权，远期买入，远期卖出，卖出，结汇，售汇，质押式正回购，质押式逆回购，买断式正回购，买断式逆回购，外汇互换，货币互换，利率互换支付固定利率，利率互换支付浮动利率，利率远期支付固定利率，利率远期支付浮动利率，承销，分销买入，分销卖出，协议存入，协议存出，债券借贷－借入，债券借贷－借出，现金支付，现金收取，其他-银行自定义。无法以枚举类型填报的，以“其他-XX”填报，其中“XX”为银行自定义类型。</v>
      </c>
      <c r="L1571" s="140" t="str">
        <f>INDEX(数据元说明!A:F,MATCH(I1571,数据元说明!C:C,0),6)</f>
        <v>C..30</v>
      </c>
      <c r="M1571" s="138"/>
      <c r="N1571" s="198" t="s">
        <v>25</v>
      </c>
      <c r="O1571" s="198" t="s">
        <v>1516</v>
      </c>
      <c r="P1571" s="259"/>
    </row>
    <row r="1572" s="35" customFormat="1" ht="30" customHeight="1" outlineLevel="1" spans="1:16">
      <c r="A1572" s="93"/>
      <c r="B1572" s="94"/>
      <c r="C1572" s="95"/>
      <c r="D1572" s="95"/>
      <c r="E1572" s="94"/>
      <c r="F1572" s="133" t="s">
        <v>739</v>
      </c>
      <c r="G1572" s="59" t="s">
        <v>4703</v>
      </c>
      <c r="H1572" s="96" t="s">
        <v>4704</v>
      </c>
      <c r="I1572" s="133" t="s">
        <v>739</v>
      </c>
      <c r="J1572" s="213" t="str">
        <f>INDEX(数据元说明!A:F,MATCH(I1572,数据元说明!C:C,0),2)</f>
        <v>005001</v>
      </c>
      <c r="K1572" s="133" t="s">
        <v>741</v>
      </c>
      <c r="L1572" s="256" t="s">
        <v>356</v>
      </c>
      <c r="M1572" s="138"/>
      <c r="N1572" s="143" t="s">
        <v>57</v>
      </c>
      <c r="O1572" s="99"/>
      <c r="P1572" s="260"/>
    </row>
    <row r="1573" s="81" customFormat="1" ht="36" spans="1:16">
      <c r="A1573" s="134"/>
      <c r="B1573" s="47"/>
      <c r="C1573" s="39"/>
      <c r="D1573" s="39"/>
      <c r="E1573" s="47"/>
      <c r="F1573" s="158" t="s">
        <v>3437</v>
      </c>
      <c r="G1573" s="245" t="s">
        <v>3438</v>
      </c>
      <c r="H1573" s="153" t="s">
        <v>4705</v>
      </c>
      <c r="I1573" s="135" t="s">
        <v>1129</v>
      </c>
      <c r="J1573" s="406" t="str">
        <f>INDEX(数据元说明!A:F,MATCH(I1573,数据元说明!C:C,0),2)</f>
        <v>010009</v>
      </c>
      <c r="K1573" s="138" t="str">
        <f>INDEX(数据元说明!A:F,MATCH(I1573,数据元说明!C:C,0),5)</f>
        <v>买入，卖出。</v>
      </c>
      <c r="L1573" s="136" t="str">
        <f>INDEX(数据元说明!A:F,MATCH(I1573,数据元说明!C:C,0),6)</f>
        <v>C6</v>
      </c>
      <c r="M1573" s="138" t="s">
        <v>4706</v>
      </c>
      <c r="N1573" s="140" t="s">
        <v>25</v>
      </c>
      <c r="O1573" s="139" t="s">
        <v>1516</v>
      </c>
      <c r="P1573" s="205"/>
    </row>
    <row r="1574" s="35" customFormat="1" ht="30" customHeight="1" outlineLevel="1" spans="1:16">
      <c r="A1574" s="93"/>
      <c r="B1574" s="94"/>
      <c r="C1574" s="95"/>
      <c r="D1574" s="95"/>
      <c r="E1574" s="94"/>
      <c r="F1574" s="138" t="s">
        <v>4707</v>
      </c>
      <c r="G1574" s="245" t="s">
        <v>4708</v>
      </c>
      <c r="H1574" s="153" t="s">
        <v>4709</v>
      </c>
      <c r="I1574" s="135" t="s">
        <v>624</v>
      </c>
      <c r="J1574" s="213" t="str">
        <f>INDEX(数据元说明!A:F,MATCH(I1574,数据元说明!C:C,0),2)</f>
        <v>003014</v>
      </c>
      <c r="K1574" s="158" t="str">
        <f>INDEX(数据元说明!A:F,MATCH(I1574,数据元说明!C:C,0),5)</f>
        <v>遵循《GB/T 12406 表示货币和资金的代码》的字母代码，如CNY。上述文件所列币种无法涵盖的，允许银行自定义填报。多个币种合计折算为人民币（本外币合计）的，填报为BWB。</v>
      </c>
      <c r="L1574" s="213" t="str">
        <f>INDEX(数据元说明!A:F,MATCH(I1574,数据元说明!C:C,0),6)</f>
        <v>C3</v>
      </c>
      <c r="M1574" s="138" t="s">
        <v>4710</v>
      </c>
      <c r="N1574" s="143" t="s">
        <v>57</v>
      </c>
      <c r="O1574" s="140"/>
      <c r="P1574" s="259"/>
    </row>
    <row r="1575" s="35" customFormat="1" ht="30" customHeight="1" outlineLevel="1" spans="1:16">
      <c r="A1575" s="93"/>
      <c r="B1575" s="94"/>
      <c r="C1575" s="95"/>
      <c r="D1575" s="95"/>
      <c r="E1575" s="94"/>
      <c r="F1575" s="158" t="s">
        <v>4711</v>
      </c>
      <c r="G1575" s="245" t="s">
        <v>4712</v>
      </c>
      <c r="H1575" s="153" t="s">
        <v>4713</v>
      </c>
      <c r="I1575" s="135" t="s">
        <v>609</v>
      </c>
      <c r="J1575" s="213" t="str">
        <f>INDEX(数据元说明!A:F,MATCH(I1575,数据元说明!C:C,0),2)</f>
        <v>003010</v>
      </c>
      <c r="K1575" s="158" t="str">
        <f>INDEX(数据元说明!A:F,MATCH(I1575,数据元说明!C:C,0),5)</f>
        <v>与币种相对应金额。</v>
      </c>
      <c r="L1575" s="213" t="str">
        <f>INDEX(数据元说明!A:F,MATCH(I1575,数据元说明!C:C,0),6)</f>
        <v>D20.2</v>
      </c>
      <c r="M1575" s="138" t="s">
        <v>4714</v>
      </c>
      <c r="N1575" s="143" t="s">
        <v>57</v>
      </c>
      <c r="O1575" s="140"/>
      <c r="P1575" s="259"/>
    </row>
    <row r="1576" s="81" customFormat="1" ht="53" spans="1:16">
      <c r="A1576" s="134"/>
      <c r="B1576" s="39"/>
      <c r="C1576" s="39"/>
      <c r="D1576" s="39"/>
      <c r="E1576" s="47"/>
      <c r="F1576" s="138" t="s">
        <v>4715</v>
      </c>
      <c r="G1576" s="245" t="s">
        <v>4716</v>
      </c>
      <c r="H1576" s="153" t="s">
        <v>4717</v>
      </c>
      <c r="I1576" s="135" t="s">
        <v>660</v>
      </c>
      <c r="J1576" s="136" t="str">
        <f>INDEX(数据元说明!A:F,MATCH(I1576,数据元说明!C:C,0),2)</f>
        <v>003023</v>
      </c>
      <c r="K1576" s="138" t="str">
        <f>INDEX(数据元说明!A:F,MATCH(I1576,数据元说明!C:C,0),5)</f>
        <v>百分比为单位，即%，如4.5%填报为4.5。</v>
      </c>
      <c r="L1576" s="136" t="str">
        <f>INDEX(数据元说明!A:F,MATCH(I1576,数据元说明!C:C,0),6)</f>
        <v>D10.4</v>
      </c>
      <c r="M1576" s="138" t="s">
        <v>4718</v>
      </c>
      <c r="N1576" s="143" t="s">
        <v>57</v>
      </c>
      <c r="O1576" s="139"/>
      <c r="P1576" s="205"/>
    </row>
    <row r="1577" s="35" customFormat="1" ht="30" customHeight="1" outlineLevel="1" spans="1:16">
      <c r="A1577" s="93"/>
      <c r="B1577" s="94"/>
      <c r="C1577" s="95"/>
      <c r="D1577" s="95"/>
      <c r="E1577" s="94"/>
      <c r="F1577" s="158" t="s">
        <v>4651</v>
      </c>
      <c r="G1577" s="245" t="s">
        <v>4652</v>
      </c>
      <c r="H1577" s="153" t="s">
        <v>4719</v>
      </c>
      <c r="I1577" s="135" t="s">
        <v>302</v>
      </c>
      <c r="J1577" s="213" t="str">
        <f>INDEX(数据元说明!A:F,MATCH(I1577,数据元说明!C:C,0),2)</f>
        <v>001005</v>
      </c>
      <c r="K1577" s="158" t="str">
        <f>INDEX(数据元说明!A:F,MATCH(I1577,数据元说明!C:C,0),5)</f>
        <v>YYYYMMDD，默认值99991231。</v>
      </c>
      <c r="L1577" s="257" t="s">
        <v>305</v>
      </c>
      <c r="M1577" s="138"/>
      <c r="N1577" s="143" t="s">
        <v>57</v>
      </c>
      <c r="O1577" s="140"/>
      <c r="P1577" s="259"/>
    </row>
    <row r="1578" s="81" customFormat="1" ht="30" customHeight="1" outlineLevel="1" spans="1:16">
      <c r="A1578" s="167"/>
      <c r="B1578" s="168"/>
      <c r="C1578" s="176"/>
      <c r="D1578" s="176"/>
      <c r="E1578" s="155"/>
      <c r="F1578" s="138" t="s">
        <v>2913</v>
      </c>
      <c r="G1578" s="43" t="s">
        <v>3584</v>
      </c>
      <c r="H1578" s="153" t="s">
        <v>4720</v>
      </c>
      <c r="I1578" s="135" t="s">
        <v>302</v>
      </c>
      <c r="J1578" s="43" t="str">
        <f>INDEX(数据元说明!A:F,MATCH(I1578,数据元说明!C:C,0),2)</f>
        <v>001005</v>
      </c>
      <c r="K1578" s="158" t="str">
        <f>INDEX(数据元说明!A:F,MATCH(I1578,数据元说明!C:C,0),5)</f>
        <v>YYYYMMDD，默认值99991231。</v>
      </c>
      <c r="L1578" s="43" t="str">
        <f>INDEX(数据元说明!A:F,MATCH(I1578,数据元说明!C:C,0),6)</f>
        <v>C8</v>
      </c>
      <c r="M1578" s="138" t="s">
        <v>4721</v>
      </c>
      <c r="N1578" s="164" t="s">
        <v>57</v>
      </c>
      <c r="O1578" s="139"/>
      <c r="P1578" s="139"/>
    </row>
    <row r="1579" s="81" customFormat="1" ht="30" customHeight="1" outlineLevel="1" spans="1:16">
      <c r="A1579" s="167"/>
      <c r="B1579" s="168"/>
      <c r="C1579" s="176"/>
      <c r="D1579" s="176"/>
      <c r="E1579" s="155"/>
      <c r="F1579" s="158" t="s">
        <v>2917</v>
      </c>
      <c r="G1579" s="43" t="s">
        <v>2918</v>
      </c>
      <c r="H1579" s="153" t="s">
        <v>4722</v>
      </c>
      <c r="I1579" s="135" t="s">
        <v>302</v>
      </c>
      <c r="J1579" s="43" t="str">
        <f>INDEX(数据元说明!A:F,MATCH(I1579,数据元说明!C:C,0),2)</f>
        <v>001005</v>
      </c>
      <c r="K1579" s="158" t="str">
        <f>INDEX(数据元说明!A:F,MATCH(I1579,数据元说明!C:C,0),5)</f>
        <v>YYYYMMDD，默认值99991231。</v>
      </c>
      <c r="L1579" s="43" t="str">
        <f>INDEX(数据元说明!A:F,MATCH(I1579,数据元说明!C:C,0),6)</f>
        <v>C8</v>
      </c>
      <c r="M1579" s="138" t="s">
        <v>4723</v>
      </c>
      <c r="N1579" s="143" t="s">
        <v>57</v>
      </c>
      <c r="O1579" s="140"/>
      <c r="P1579" s="140"/>
    </row>
    <row r="1580" s="35" customFormat="1" ht="30" customHeight="1" outlineLevel="1" spans="1:16">
      <c r="A1580" s="93"/>
      <c r="B1580" s="94"/>
      <c r="C1580" s="95"/>
      <c r="D1580" s="95"/>
      <c r="E1580" s="94"/>
      <c r="F1580" s="138" t="s">
        <v>1493</v>
      </c>
      <c r="G1580" s="245" t="s">
        <v>4724</v>
      </c>
      <c r="H1580" s="153" t="s">
        <v>4725</v>
      </c>
      <c r="I1580" s="135" t="s">
        <v>1493</v>
      </c>
      <c r="J1580" s="410" t="str">
        <f>INDEX(数据元说明!A:F,MATCH(I1580,数据元说明!C:C,0),2)</f>
        <v>010099</v>
      </c>
      <c r="K1580" s="158" t="str">
        <f>INDEX(数据元说明!A:F,MATCH(I1580,数据元说明!C:C,0),5)</f>
        <v>政府机关，银行业金融机构，非银行业金融机构，境外金融机构，公司客户，个人客户。</v>
      </c>
      <c r="L1580" s="257" t="s">
        <v>323</v>
      </c>
      <c r="M1580" s="138" t="s">
        <v>4726</v>
      </c>
      <c r="N1580" s="143" t="s">
        <v>57</v>
      </c>
      <c r="O1580" s="140"/>
      <c r="P1580" s="259"/>
    </row>
    <row r="1581" s="35" customFormat="1" ht="30" customHeight="1" outlineLevel="1" spans="1:16">
      <c r="A1581" s="93"/>
      <c r="B1581" s="94"/>
      <c r="C1581" s="95"/>
      <c r="D1581" s="95"/>
      <c r="E1581" s="94"/>
      <c r="F1581" s="158" t="s">
        <v>3474</v>
      </c>
      <c r="G1581" s="245" t="s">
        <v>3475</v>
      </c>
      <c r="H1581" s="153" t="s">
        <v>4727</v>
      </c>
      <c r="I1581" s="135" t="s">
        <v>628</v>
      </c>
      <c r="J1581" s="213" t="str">
        <f>INDEX(数据元说明!A:F,MATCH(I1581,数据元说明!C:C,0),2)</f>
        <v>003015</v>
      </c>
      <c r="K1581" s="158" t="str">
        <f>INDEX(数据元说明!A:F,MATCH(I1581,数据元说明!C:C,0),5)</f>
        <v>账户归属者的名称。如果客户为个人，则为隐私，银行机构变形，变形规则见《采集技术接口说明》。客户是境内涉密机构的，账户名称填报为“*********”。其他情况，则为非隐私，不做变形。</v>
      </c>
      <c r="L1581" s="257" t="s">
        <v>356</v>
      </c>
      <c r="M1581" s="138" t="s">
        <v>4726</v>
      </c>
      <c r="N1581" s="143" t="s">
        <v>57</v>
      </c>
      <c r="O1581" s="140"/>
      <c r="P1581" s="259"/>
    </row>
    <row r="1582" s="35" customFormat="1" ht="30" customHeight="1" outlineLevel="1" spans="1:16">
      <c r="A1582" s="93"/>
      <c r="B1582" s="94"/>
      <c r="C1582" s="95"/>
      <c r="D1582" s="95"/>
      <c r="E1582" s="94"/>
      <c r="F1582" s="138" t="s">
        <v>4728</v>
      </c>
      <c r="G1582" s="245" t="s">
        <v>4729</v>
      </c>
      <c r="H1582" s="153" t="s">
        <v>4730</v>
      </c>
      <c r="I1582" s="135" t="s">
        <v>1133</v>
      </c>
      <c r="J1582" s="410" t="str">
        <f>INDEX(数据元说明!A:F,MATCH(I1582,数据元说明!C:C,0),2)</f>
        <v>010010</v>
      </c>
      <c r="K1582" s="158" t="str">
        <f>INDEX(数据元说明!A:F,MATCH(I1582,数据元说明!C:C,0),5)</f>
        <v>优先填报外部专业性的评级公司对融资人主体或资产的信用评级结果，如无，则由填报机构内部对融资人主体或资产的信用评级结果。</v>
      </c>
      <c r="L1582" s="257" t="s">
        <v>552</v>
      </c>
      <c r="M1582" s="138" t="s">
        <v>4731</v>
      </c>
      <c r="N1582" s="187" t="s">
        <v>25</v>
      </c>
      <c r="O1582" s="129" t="s">
        <v>275</v>
      </c>
      <c r="P1582" s="259"/>
    </row>
    <row r="1583" s="61" customFormat="1" ht="30" customHeight="1" spans="1:16">
      <c r="A1583" s="130"/>
      <c r="B1583" s="36"/>
      <c r="C1583" s="25"/>
      <c r="D1583" s="25"/>
      <c r="E1583" s="36"/>
      <c r="F1583" s="158" t="s">
        <v>4732</v>
      </c>
      <c r="G1583" s="245" t="s">
        <v>4733</v>
      </c>
      <c r="H1583" s="153" t="s">
        <v>4734</v>
      </c>
      <c r="I1583" s="135" t="s">
        <v>282</v>
      </c>
      <c r="J1583" s="136" t="str">
        <f>INDEX(数据元说明!A:F,MATCH(I1583,数据元说明!C:C,0),2)</f>
        <v>001001</v>
      </c>
      <c r="K1583" s="138" t="str">
        <f>INDEX(数据元说明!A:F,MATCH(I1583,数据元说明!C:C,0),5)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83" s="136" t="str">
        <f>INDEX(数据元说明!A:F,MATCH(I1583,数据元说明!C:C,0),6)</f>
        <v>C..400</v>
      </c>
      <c r="M1583" s="138"/>
      <c r="N1583" s="139" t="s">
        <v>25</v>
      </c>
      <c r="O1583" s="139" t="s">
        <v>280</v>
      </c>
      <c r="P1583" s="205"/>
    </row>
    <row r="1584" s="35" customFormat="1" ht="30" customHeight="1" outlineLevel="1" spans="1:16">
      <c r="A1584" s="93"/>
      <c r="B1584" s="94"/>
      <c r="C1584" s="95"/>
      <c r="D1584" s="95"/>
      <c r="E1584" s="94"/>
      <c r="F1584" s="138" t="s">
        <v>3963</v>
      </c>
      <c r="G1584" s="245" t="s">
        <v>4735</v>
      </c>
      <c r="H1584" s="153" t="s">
        <v>4736</v>
      </c>
      <c r="I1584" s="135" t="s">
        <v>697</v>
      </c>
      <c r="J1584" s="213" t="str">
        <f>INDEX(数据元说明!A:F,MATCH(I1584,数据元说明!C:C,0),2)</f>
        <v>003032</v>
      </c>
      <c r="K1584" s="158" t="str">
        <f>INDEX(数据元说明!A:F,MATCH(I1584,数据元说明!C:C,0),5)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584" s="258" t="s">
        <v>385</v>
      </c>
      <c r="M1584" s="138" t="s">
        <v>4737</v>
      </c>
      <c r="N1584" s="143" t="s">
        <v>57</v>
      </c>
      <c r="O1584" s="140"/>
      <c r="P1584" s="259"/>
    </row>
    <row r="1585" s="35" customFormat="1" ht="30" customHeight="1" outlineLevel="1" spans="1:16">
      <c r="A1585" s="93"/>
      <c r="B1585" s="94"/>
      <c r="C1585" s="95"/>
      <c r="D1585" s="95"/>
      <c r="E1585" s="94"/>
      <c r="F1585" s="158" t="s">
        <v>3478</v>
      </c>
      <c r="G1585" s="245" t="s">
        <v>3479</v>
      </c>
      <c r="H1585" s="153" t="s">
        <v>4738</v>
      </c>
      <c r="I1585" s="135" t="s">
        <v>325</v>
      </c>
      <c r="J1585" s="213" t="str">
        <f>INDEX(数据元说明!A:F,MATCH(I1585,数据元说明!C:C,0),2)</f>
        <v>001010</v>
      </c>
      <c r="K1585" s="158" t="str">
        <f>INDEX(数据元说明!A:F,MATCH(I1585,数据元说明!C:C,0),5)</f>
        <v>12位人行支付行号或SWIFT行号。</v>
      </c>
      <c r="L1585" s="258" t="s">
        <v>323</v>
      </c>
      <c r="M1585" s="138" t="s">
        <v>4739</v>
      </c>
      <c r="N1585" s="143" t="s">
        <v>57</v>
      </c>
      <c r="O1585" s="140"/>
      <c r="P1585" s="259"/>
    </row>
    <row r="1586" s="35" customFormat="1" ht="30" customHeight="1" outlineLevel="1" spans="1:16">
      <c r="A1586" s="93"/>
      <c r="B1586" s="94"/>
      <c r="C1586" s="95"/>
      <c r="D1586" s="95"/>
      <c r="E1586" s="94"/>
      <c r="F1586" s="138" t="s">
        <v>4740</v>
      </c>
      <c r="G1586" s="245" t="s">
        <v>4741</v>
      </c>
      <c r="H1586" s="153" t="s">
        <v>4742</v>
      </c>
      <c r="I1586" s="135" t="s">
        <v>282</v>
      </c>
      <c r="J1586" s="213" t="str">
        <f>INDEX(数据元说明!A:F,MATCH(I1586,数据元说明!C:C,0),2)</f>
        <v>001001</v>
      </c>
      <c r="K1586" s="158" t="str">
        <f>INDEX(数据元说明!A:F,MATCH(I1586,数据元说明!C:C,0),5)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586" s="258" t="s">
        <v>323</v>
      </c>
      <c r="M1586" s="138"/>
      <c r="N1586" s="143" t="s">
        <v>57</v>
      </c>
      <c r="O1586" s="140"/>
      <c r="P1586" s="259"/>
    </row>
    <row r="1587" s="35" customFormat="1" ht="30" customHeight="1" outlineLevel="1" spans="1:16">
      <c r="A1587" s="93"/>
      <c r="B1587" s="94"/>
      <c r="C1587" s="95"/>
      <c r="D1587" s="95"/>
      <c r="E1587" s="94"/>
      <c r="F1587" s="158" t="s">
        <v>3534</v>
      </c>
      <c r="G1587" s="43" t="s">
        <v>3535</v>
      </c>
      <c r="H1587" s="153" t="s">
        <v>4743</v>
      </c>
      <c r="I1587" s="135" t="s">
        <v>624</v>
      </c>
      <c r="J1587" s="213" t="str">
        <f>INDEX(数据元说明!A:F,MATCH(I1587,数据元说明!C:C,0),2)</f>
        <v>003014</v>
      </c>
      <c r="K1587" s="158" t="str">
        <f>INDEX(数据元说明!A:F,MATCH(I1587,数据元说明!C:C,0),5)</f>
        <v>遵循《GB/T 12406 表示货币和资金的代码》的字母代码，如CNY。上述文件所列币种无法涵盖的，允许银行自定义填报。多个币种合计折算为人民币（本外币合计）的，填报为BWB。</v>
      </c>
      <c r="L1587" s="213" t="str">
        <f>INDEX(数据元说明!A:F,MATCH(I1587,数据元说明!C:C,0),6)</f>
        <v>C3</v>
      </c>
      <c r="M1587" s="138" t="s">
        <v>3537</v>
      </c>
      <c r="N1587" s="143" t="s">
        <v>57</v>
      </c>
      <c r="O1587" s="44"/>
      <c r="P1587" s="99"/>
    </row>
    <row r="1588" s="35" customFormat="1" ht="30" customHeight="1" outlineLevel="1" spans="1:16">
      <c r="A1588" s="93"/>
      <c r="B1588" s="94"/>
      <c r="C1588" s="95"/>
      <c r="D1588" s="95"/>
      <c r="E1588" s="94"/>
      <c r="F1588" s="138" t="s">
        <v>3538</v>
      </c>
      <c r="G1588" s="245" t="s">
        <v>3539</v>
      </c>
      <c r="H1588" s="153" t="s">
        <v>4744</v>
      </c>
      <c r="I1588" s="135" t="s">
        <v>609</v>
      </c>
      <c r="J1588" s="213" t="str">
        <f>INDEX(数据元说明!A:F,MATCH(I1588,数据元说明!C:C,0),2)</f>
        <v>003010</v>
      </c>
      <c r="K1588" s="158" t="str">
        <f>INDEX(数据元说明!A:F,MATCH(I1588,数据元说明!C:C,0),5)</f>
        <v>与币种相对应金额。</v>
      </c>
      <c r="L1588" s="213" t="str">
        <f>INDEX(数据元说明!A:F,MATCH(I1588,数据元说明!C:C,0),6)</f>
        <v>D20.2</v>
      </c>
      <c r="M1588" s="138" t="s">
        <v>3537</v>
      </c>
      <c r="N1588" s="143" t="s">
        <v>57</v>
      </c>
      <c r="O1588" s="44"/>
      <c r="P1588" s="99"/>
    </row>
    <row r="1589" s="35" customFormat="1" ht="30" customHeight="1" outlineLevel="1" spans="1:16">
      <c r="A1589" s="93"/>
      <c r="B1589" s="94"/>
      <c r="C1589" s="95"/>
      <c r="D1589" s="95"/>
      <c r="E1589" s="94"/>
      <c r="F1589" s="158" t="s">
        <v>3542</v>
      </c>
      <c r="G1589" s="245" t="s">
        <v>3543</v>
      </c>
      <c r="H1589" s="153" t="s">
        <v>4745</v>
      </c>
      <c r="I1589" s="135" t="s">
        <v>292</v>
      </c>
      <c r="J1589" s="213" t="str">
        <f>INDEX(数据元说明!A:F,MATCH(I1589,数据元说明!C:C,0),2)</f>
        <v>001003</v>
      </c>
      <c r="K1589" s="158" t="str">
        <f>INDEX(数据元说明!A:F,MATCH(I1589,数据元说明!C:C,0),5)</f>
        <v>百分比为单位，即1/100，保留两位小数。如4.5%则填报为4.50。</v>
      </c>
      <c r="L1589" s="213" t="str">
        <f>INDEX(数据元说明!A:F,MATCH(I1589,数据元说明!C:C,0),6)</f>
        <v>D20.2</v>
      </c>
      <c r="M1589" s="138" t="s">
        <v>3617</v>
      </c>
      <c r="N1589" s="143" t="s">
        <v>57</v>
      </c>
      <c r="O1589" s="99"/>
      <c r="P1589" s="99"/>
    </row>
    <row r="1590" s="35" customFormat="1" ht="30" customHeight="1" outlineLevel="1" spans="1:16">
      <c r="A1590" s="93"/>
      <c r="B1590" s="94"/>
      <c r="C1590" s="95"/>
      <c r="D1590" s="95"/>
      <c r="E1590" s="94"/>
      <c r="F1590" s="138" t="s">
        <v>3546</v>
      </c>
      <c r="G1590" s="245" t="s">
        <v>3547</v>
      </c>
      <c r="H1590" s="153" t="s">
        <v>4746</v>
      </c>
      <c r="I1590" s="135" t="s">
        <v>624</v>
      </c>
      <c r="J1590" s="213" t="str">
        <f>INDEX(数据元说明!A:F,MATCH(I1590,数据元说明!C:C,0),2)</f>
        <v>003014</v>
      </c>
      <c r="K1590" s="158" t="str">
        <f>INDEX(数据元说明!A:F,MATCH(I1590,数据元说明!C:C,0),5)</f>
        <v>遵循《GB/T 12406 表示货币和资金的代码》的字母代码，如CNY。上述文件所列币种无法涵盖的，允许银行自定义填报。多个币种合计折算为人民币（本外币合计）的，填报为BWB。</v>
      </c>
      <c r="L1590" s="213" t="str">
        <f>INDEX(数据元说明!A:F,MATCH(I1590,数据元说明!C:C,0),6)</f>
        <v>C3</v>
      </c>
      <c r="M1590" s="138" t="s">
        <v>4456</v>
      </c>
      <c r="N1590" s="143" t="s">
        <v>57</v>
      </c>
      <c r="O1590" s="99"/>
      <c r="P1590" s="99"/>
    </row>
    <row r="1591" s="35" customFormat="1" ht="30" customHeight="1" outlineLevel="1" spans="1:16">
      <c r="A1591" s="93"/>
      <c r="B1591" s="94"/>
      <c r="C1591" s="95"/>
      <c r="D1591" s="95"/>
      <c r="E1591" s="94"/>
      <c r="F1591" s="157" t="s">
        <v>3550</v>
      </c>
      <c r="G1591" s="245" t="s">
        <v>3551</v>
      </c>
      <c r="H1591" s="153" t="s">
        <v>4747</v>
      </c>
      <c r="I1591" s="157" t="s">
        <v>609</v>
      </c>
      <c r="J1591" s="213" t="str">
        <f>INDEX(数据元说明!A:F,MATCH(I1591,数据元说明!C:C,0),2)</f>
        <v>003010</v>
      </c>
      <c r="K1591" s="158" t="str">
        <f>INDEX(数据元说明!A:F,MATCH(I1591,数据元说明!C:C,0),5)</f>
        <v>与币种相对应金额。</v>
      </c>
      <c r="L1591" s="213" t="str">
        <f>INDEX(数据元说明!A:F,MATCH(I1591,数据元说明!C:C,0),6)</f>
        <v>D20.2</v>
      </c>
      <c r="M1591" s="138" t="s">
        <v>4458</v>
      </c>
      <c r="N1591" s="143" t="s">
        <v>57</v>
      </c>
      <c r="O1591" s="99"/>
      <c r="P1591" s="99"/>
    </row>
    <row r="1592" s="35" customFormat="1" ht="30" customHeight="1" outlineLevel="1" spans="1:16">
      <c r="A1592" s="93"/>
      <c r="B1592" s="94"/>
      <c r="C1592" s="95"/>
      <c r="D1592" s="95"/>
      <c r="E1592" s="94"/>
      <c r="F1592" s="138" t="s">
        <v>3694</v>
      </c>
      <c r="G1592" s="245" t="s">
        <v>4461</v>
      </c>
      <c r="H1592" s="153" t="s">
        <v>4748</v>
      </c>
      <c r="I1592" s="138" t="s">
        <v>349</v>
      </c>
      <c r="J1592" s="213" t="str">
        <f>INDEX(数据元说明!A:F,MATCH(I1592,数据元说明!C:C,0),2)</f>
        <v>001016</v>
      </c>
      <c r="K1592" s="158" t="str">
        <f>INDEX(数据元说明!A:F,MATCH(I1592,数据元说明!C:C,0),5)</f>
        <v>工号，银行自定义。</v>
      </c>
      <c r="L1592" s="257" t="s">
        <v>323</v>
      </c>
      <c r="M1592" s="138" t="s">
        <v>4463</v>
      </c>
      <c r="N1592" s="143" t="s">
        <v>57</v>
      </c>
      <c r="O1592" s="140"/>
      <c r="P1592" s="259"/>
    </row>
    <row r="1593" s="81" customFormat="1" ht="30" customHeight="1" outlineLevel="1" spans="1:16">
      <c r="A1593" s="134"/>
      <c r="B1593" s="47"/>
      <c r="C1593" s="39"/>
      <c r="D1593" s="39"/>
      <c r="E1593" s="47"/>
      <c r="F1593" s="169" t="s">
        <v>449</v>
      </c>
      <c r="G1593" s="148" t="s">
        <v>1571</v>
      </c>
      <c r="H1593" s="148" t="s">
        <v>4749</v>
      </c>
      <c r="I1593" s="169" t="s">
        <v>449</v>
      </c>
      <c r="J1593" s="170" t="str">
        <f>INDEX(数据元说明!A:F,MATCH(I1593,数据元说明!C:C,0),2)</f>
        <v>001040</v>
      </c>
      <c r="K1593" s="171" t="str">
        <f>INDEX(数据元说明!A:F,MATCH(I1593,数据元说明!C:C,0),5)</f>
        <v>银行自定义。</v>
      </c>
      <c r="L1593" s="170" t="str">
        <f>INDEX(数据元说明!A:F,MATCH(I1593,数据元说明!C:C,0),6)</f>
        <v>C..600</v>
      </c>
      <c r="M1593" s="149" t="s">
        <v>1573</v>
      </c>
      <c r="N1593" s="143" t="s">
        <v>57</v>
      </c>
      <c r="O1593" s="173"/>
      <c r="P1593" s="173"/>
    </row>
    <row r="1594" s="35" customFormat="1" ht="30" customHeight="1" outlineLevel="1" spans="1:16">
      <c r="A1594" s="93"/>
      <c r="B1594" s="94"/>
      <c r="C1594" s="95"/>
      <c r="D1594" s="95"/>
      <c r="E1594" s="94"/>
      <c r="F1594" s="138" t="s">
        <v>1574</v>
      </c>
      <c r="G1594" s="245" t="s">
        <v>1575</v>
      </c>
      <c r="H1594" s="153" t="s">
        <v>4750</v>
      </c>
      <c r="I1594" s="138" t="s">
        <v>302</v>
      </c>
      <c r="J1594" s="213" t="str">
        <f>INDEX(数据元说明!A:F,MATCH(I1594,数据元说明!C:C,0),2)</f>
        <v>001005</v>
      </c>
      <c r="K1594" s="158" t="str">
        <f>INDEX(数据元说明!A:F,MATCH(I1594,数据元说明!C:C,0),5)</f>
        <v>YYYYMMDD，默认值99991231。</v>
      </c>
      <c r="L1594" s="257" t="s">
        <v>305</v>
      </c>
      <c r="M1594" s="138" t="s">
        <v>1577</v>
      </c>
      <c r="N1594" s="143" t="s">
        <v>57</v>
      </c>
      <c r="O1594" s="140"/>
      <c r="P1594" s="259"/>
    </row>
    <row r="1595" s="61" customFormat="1" ht="30" customHeight="1" spans="1:16">
      <c r="A1595" s="119" t="s">
        <v>234</v>
      </c>
      <c r="B1595" s="120" t="s">
        <v>235</v>
      </c>
      <c r="C1595" s="121"/>
      <c r="D1595" s="121"/>
      <c r="E1595" s="120"/>
      <c r="F1595" s="122"/>
      <c r="G1595" s="203"/>
      <c r="H1595" s="174"/>
      <c r="I1595" s="122"/>
      <c r="J1595" s="123"/>
      <c r="K1595" s="124"/>
      <c r="L1595" s="123"/>
      <c r="M1595" s="175"/>
      <c r="N1595" s="99"/>
      <c r="O1595" s="99"/>
      <c r="P1595" s="41"/>
    </row>
    <row r="1596" s="61" customFormat="1" ht="30" customHeight="1" spans="1:16">
      <c r="A1596" s="249"/>
      <c r="B1596" s="52"/>
      <c r="C1596" s="50" t="s">
        <v>236</v>
      </c>
      <c r="D1596" s="51" t="s">
        <v>237</v>
      </c>
      <c r="E1596" s="250" t="s">
        <v>4751</v>
      </c>
      <c r="F1596" s="251"/>
      <c r="G1596" s="261"/>
      <c r="H1596" s="250"/>
      <c r="I1596" s="251"/>
      <c r="J1596" s="53"/>
      <c r="K1596" s="252"/>
      <c r="L1596" s="53"/>
      <c r="M1596" s="128" t="str">
        <f>INDEX(表结构总览!E:H,MATCH(D1596,表结构总览!E:E,0),4)</f>
        <v>国家外汇管理局公布汇率的主要币种，填报各主要外币与人民币的折算汇率。其他货币对人民币的折算汇率，以当天美元兑人民币的基准汇率与同一天国际外汇市场其他货币兑美元汇率套算确定。机构可只填报常见的外币信息，但至少应包含其它表中填报使用过的所有外币。</v>
      </c>
      <c r="N1596" s="198" t="s">
        <v>25</v>
      </c>
      <c r="O1596" s="198" t="s">
        <v>449</v>
      </c>
      <c r="P1596" s="41"/>
    </row>
    <row r="1597" ht="30" customHeight="1" outlineLevel="1" spans="1:16">
      <c r="E1597" s="94"/>
      <c r="F1597" s="97" t="s">
        <v>325</v>
      </c>
      <c r="G1597" s="262" t="s">
        <v>1520</v>
      </c>
      <c r="H1597" s="96" t="s">
        <v>4752</v>
      </c>
      <c r="I1597" s="97" t="s">
        <v>325</v>
      </c>
      <c r="J1597" s="29" t="str">
        <f>INDEX(数据元说明!A:F,MATCH(I1597,数据元说明!C:C,0),2)</f>
        <v>001010</v>
      </c>
      <c r="K1597" s="98" t="str">
        <f>INDEX(数据元说明!A:F,MATCH(I1597,数据元说明!C:C,0),5)</f>
        <v>12位人行支付行号或SWIFT行号。</v>
      </c>
      <c r="L1597" s="29" t="str">
        <f>INDEX(数据元说明!A:F,MATCH(I1597,数据元说明!C:C,0),6)</f>
        <v>C..30</v>
      </c>
      <c r="M1597" s="98" t="s">
        <v>1579</v>
      </c>
    </row>
    <row r="1598" s="61" customFormat="1" ht="30" customHeight="1" outlineLevel="1" spans="1:16">
      <c r="A1598" s="130"/>
      <c r="B1598" s="36"/>
      <c r="C1598" s="25"/>
      <c r="D1598" s="25"/>
      <c r="E1598" s="36"/>
      <c r="F1598" s="131" t="s">
        <v>329</v>
      </c>
      <c r="G1598" s="31" t="s">
        <v>1526</v>
      </c>
      <c r="H1598" s="96" t="s">
        <v>4753</v>
      </c>
      <c r="I1598" s="131" t="s">
        <v>329</v>
      </c>
      <c r="J1598" s="31" t="str">
        <f>INDEX(数据元说明!A:F,MATCH(I1598,数据元说明!C:C,0),2)</f>
        <v>001011</v>
      </c>
      <c r="K1598" s="133" t="str">
        <f>INDEX(数据元说明!A:F,MATCH(I1598,数据元说明!C:C,0),5)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598" s="31" t="str">
        <f>INDEX(数据元说明!A:F,MATCH(I1598,数据元说明!C:C,0),6)</f>
        <v>C..30</v>
      </c>
      <c r="M1598" s="133" t="s">
        <v>3204</v>
      </c>
      <c r="N1598" s="260"/>
      <c r="O1598" s="99"/>
      <c r="P1598" s="99"/>
    </row>
    <row r="1599" ht="30" customHeight="1" outlineLevel="1" spans="1:16">
      <c r="E1599" s="94"/>
      <c r="F1599" s="97" t="s">
        <v>333</v>
      </c>
      <c r="G1599" s="262" t="s">
        <v>1523</v>
      </c>
      <c r="H1599" s="96" t="s">
        <v>4754</v>
      </c>
      <c r="I1599" s="97" t="s">
        <v>333</v>
      </c>
      <c r="J1599" s="29" t="str">
        <f>INDEX(数据元说明!A:F,MATCH(I1599,数据元说明!C:C,0),2)</f>
        <v>001012</v>
      </c>
      <c r="K1599" s="98" t="str">
        <f>INDEX(数据元说明!A:F,MATCH(I1599,数据元说明!C:C,0),5)</f>
        <v>银行内部机构号。应具有标识机构的唯一性。</v>
      </c>
      <c r="L1599" s="29" t="str">
        <f>INDEX(数据元说明!A:F,MATCH(I1599,数据元说明!C:C,0),6)</f>
        <v>C..30</v>
      </c>
      <c r="M1599" s="98" t="s">
        <v>1834</v>
      </c>
    </row>
    <row r="1600" ht="30" customHeight="1" outlineLevel="1" spans="1:16">
      <c r="E1600" s="94"/>
      <c r="F1600" s="157" t="s">
        <v>1532</v>
      </c>
      <c r="G1600" s="263" t="s">
        <v>1533</v>
      </c>
      <c r="H1600" s="153" t="s">
        <v>4755</v>
      </c>
      <c r="I1600" s="157" t="s">
        <v>282</v>
      </c>
      <c r="J1600" s="43" t="str">
        <f>INDEX(数据元说明!A:F,MATCH(I1600,数据元说明!C:C,0),2)</f>
        <v>001001</v>
      </c>
      <c r="K1600" s="158" t="str">
        <f>INDEX(数据元说明!A:F,MATCH(I1600,数据元说明!C:C,0),5)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00" s="43" t="str">
        <f>INDEX(数据元说明!A:F,MATCH(I1600,数据元说明!C:C,0),6)</f>
        <v>C..400</v>
      </c>
      <c r="M1600" s="158" t="s">
        <v>1584</v>
      </c>
      <c r="N1600" s="139" t="s">
        <v>25</v>
      </c>
      <c r="O1600" s="139" t="s">
        <v>280</v>
      </c>
      <c r="P1600" s="205"/>
    </row>
    <row r="1601" ht="30" customHeight="1" outlineLevel="1" spans="1:16">
      <c r="E1601" s="94"/>
      <c r="F1601" s="97" t="s">
        <v>4756</v>
      </c>
      <c r="G1601" s="262" t="s">
        <v>4757</v>
      </c>
      <c r="H1601" s="96" t="s">
        <v>4758</v>
      </c>
      <c r="I1601" s="97" t="s">
        <v>412</v>
      </c>
      <c r="J1601" s="29" t="str">
        <f>INDEX(数据元说明!A:F,MATCH(I1601,数据元说明!C:C,0),2)</f>
        <v>001032</v>
      </c>
      <c r="K1601" s="98" t="str">
        <f>INDEX(数据元说明!A:F,MATCH(I1601,数据元说明!C:C,0),5)</f>
        <v>数量。</v>
      </c>
      <c r="L1601" s="29" t="str">
        <f>INDEX(数据元说明!A:F,MATCH(I1601,数据元说明!C:C,0),6)</f>
        <v>D20</v>
      </c>
      <c r="M1601" s="158" t="s">
        <v>4759</v>
      </c>
      <c r="N1601" s="143" t="s">
        <v>57</v>
      </c>
      <c r="O1601" s="139"/>
      <c r="P1601" s="205"/>
    </row>
    <row r="1602" ht="30" customHeight="1" outlineLevel="1" spans="1:16">
      <c r="E1602" s="94"/>
      <c r="F1602" s="97" t="s">
        <v>4125</v>
      </c>
      <c r="G1602" s="262" t="s">
        <v>4126</v>
      </c>
      <c r="H1602" s="96" t="s">
        <v>4760</v>
      </c>
      <c r="I1602" s="97" t="s">
        <v>624</v>
      </c>
      <c r="J1602" s="29" t="str">
        <f>INDEX(数据元说明!A:F,MATCH(I1602,数据元说明!C:C,0),2)</f>
        <v>003014</v>
      </c>
      <c r="K1602" s="98" t="str">
        <f>INDEX(数据元说明!A:F,MATCH(I1602,数据元说明!C:C,0),5)</f>
        <v>遵循《GB/T 12406 表示货币和资金的代码》的字母代码，如CNY。上述文件所列币种无法涵盖的，允许银行自定义填报。多个币种合计折算为人民币（本外币合计）的，填报为BWB。</v>
      </c>
      <c r="L1602" s="29" t="str">
        <f>INDEX(数据元说明!A:F,MATCH(I1602,数据元说明!C:C,0),6)</f>
        <v>C3</v>
      </c>
      <c r="M1602" s="98" t="s">
        <v>1587</v>
      </c>
    </row>
    <row r="1603" ht="30" customHeight="1" outlineLevel="1" spans="1:16">
      <c r="E1603" s="94"/>
      <c r="F1603" s="97" t="s">
        <v>4761</v>
      </c>
      <c r="G1603" s="262" t="s">
        <v>4762</v>
      </c>
      <c r="H1603" s="96" t="s">
        <v>4763</v>
      </c>
      <c r="I1603" s="97" t="s">
        <v>412</v>
      </c>
      <c r="J1603" s="29" t="str">
        <f>INDEX(数据元说明!A:F,MATCH(I1603,数据元说明!C:C,0),2)</f>
        <v>001032</v>
      </c>
      <c r="K1603" s="98" t="str">
        <f>INDEX(数据元说明!A:F,MATCH(I1603,数据元说明!C:C,0),5)</f>
        <v>数量。</v>
      </c>
      <c r="L1603" s="29" t="str">
        <f>INDEX(数据元说明!A:F,MATCH(I1603,数据元说明!C:C,0),6)</f>
        <v>D20</v>
      </c>
      <c r="N1603" s="143" t="s">
        <v>57</v>
      </c>
      <c r="O1603" s="33"/>
      <c r="P1603" s="204"/>
    </row>
    <row r="1604" ht="30" customHeight="1" outlineLevel="1" spans="1:16">
      <c r="E1604" s="94"/>
      <c r="F1604" s="97" t="s">
        <v>4764</v>
      </c>
      <c r="G1604" s="262" t="s">
        <v>4765</v>
      </c>
      <c r="H1604" s="96" t="s">
        <v>4766</v>
      </c>
      <c r="I1604" s="97" t="s">
        <v>624</v>
      </c>
      <c r="J1604" s="29" t="str">
        <f>INDEX(数据元说明!A:F,MATCH(I1604,数据元说明!C:C,0),2)</f>
        <v>003014</v>
      </c>
      <c r="K1604" s="98" t="str">
        <f>INDEX(数据元说明!A:F,MATCH(I1604,数据元说明!C:C,0),5)</f>
        <v>遵循《GB/T 12406 表示货币和资金的代码》的字母代码，如CNY。上述文件所列币种无法涵盖的，允许银行自定义填报。多个币种合计折算为人民币（本外币合计）的，填报为BWB。</v>
      </c>
      <c r="L1604" s="29" t="str">
        <f>INDEX(数据元说明!A:F,MATCH(I1604,数据元说明!C:C,0),6)</f>
        <v>C3</v>
      </c>
      <c r="M1604" s="98" t="s">
        <v>1587</v>
      </c>
    </row>
    <row r="1605" ht="30" customHeight="1" outlineLevel="1" spans="1:16">
      <c r="E1605" s="94"/>
      <c r="F1605" s="97" t="s">
        <v>4767</v>
      </c>
      <c r="G1605" s="262" t="s">
        <v>4768</v>
      </c>
      <c r="H1605" s="96" t="s">
        <v>4769</v>
      </c>
      <c r="I1605" s="97" t="s">
        <v>302</v>
      </c>
      <c r="J1605" s="29" t="str">
        <f>INDEX(数据元说明!A:F,MATCH(I1605,数据元说明!C:C,0),2)</f>
        <v>001005</v>
      </c>
      <c r="K1605" s="98" t="str">
        <f>INDEX(数据元说明!A:F,MATCH(I1605,数据元说明!C:C,0),5)</f>
        <v>YYYYMMDD，默认值99991231。</v>
      </c>
      <c r="L1605" s="29" t="str">
        <f>INDEX(数据元说明!A:F,MATCH(I1605,数据元说明!C:C,0),6)</f>
        <v>C8</v>
      </c>
      <c r="M1605" s="98" t="s">
        <v>4770</v>
      </c>
    </row>
    <row r="1606" s="81" customFormat="1" ht="30" customHeight="1" outlineLevel="1" spans="1:16">
      <c r="A1606" s="134"/>
      <c r="B1606" s="47"/>
      <c r="C1606" s="39"/>
      <c r="D1606" s="39"/>
      <c r="E1606" s="47"/>
      <c r="F1606" s="169" t="s">
        <v>449</v>
      </c>
      <c r="G1606" s="148" t="s">
        <v>1571</v>
      </c>
      <c r="H1606" s="148" t="s">
        <v>4771</v>
      </c>
      <c r="I1606" s="169" t="s">
        <v>449</v>
      </c>
      <c r="J1606" s="170" t="str">
        <f>INDEX(数据元说明!A:F,MATCH(I1606,数据元说明!C:C,0),2)</f>
        <v>001040</v>
      </c>
      <c r="K1606" s="171" t="str">
        <f>INDEX(数据元说明!A:F,MATCH(I1606,数据元说明!C:C,0),5)</f>
        <v>银行自定义。</v>
      </c>
      <c r="L1606" s="170" t="str">
        <f>INDEX(数据元说明!A:F,MATCH(I1606,数据元说明!C:C,0),6)</f>
        <v>C..600</v>
      </c>
      <c r="M1606" s="149" t="s">
        <v>1573</v>
      </c>
      <c r="N1606" s="143" t="s">
        <v>57</v>
      </c>
      <c r="O1606" s="173"/>
      <c r="P1606" s="173"/>
    </row>
    <row r="1607" ht="30" customHeight="1" outlineLevel="1" spans="1:16">
      <c r="E1607" s="94"/>
      <c r="F1607" s="97" t="s">
        <v>1574</v>
      </c>
      <c r="G1607" s="262" t="s">
        <v>1575</v>
      </c>
      <c r="H1607" s="96" t="s">
        <v>4772</v>
      </c>
      <c r="I1607" s="97" t="s">
        <v>302</v>
      </c>
      <c r="J1607" s="29" t="str">
        <f>INDEX(数据元说明!A:F,MATCH(I1607,数据元说明!C:C,0),2)</f>
        <v>001005</v>
      </c>
      <c r="K1607" s="98" t="str">
        <f>INDEX(数据元说明!A:F,MATCH(I1607,数据元说明!C:C,0),5)</f>
        <v>YYYYMMDD，默认值99991231。</v>
      </c>
      <c r="L1607" s="29" t="str">
        <f>INDEX(数据元说明!A:F,MATCH(I1607,数据元说明!C:C,0),6)</f>
        <v>C8</v>
      </c>
      <c r="M1607" s="98" t="s">
        <v>1577</v>
      </c>
    </row>
    <row r="1608" s="61" customFormat="1" ht="30" customHeight="1" spans="1:16">
      <c r="A1608" s="249"/>
      <c r="B1608" s="52"/>
      <c r="C1608" s="50" t="s">
        <v>239</v>
      </c>
      <c r="D1608" s="51" t="s">
        <v>240</v>
      </c>
      <c r="E1608" s="126">
        <v>1102</v>
      </c>
      <c r="F1608" s="251"/>
      <c r="G1608" s="261"/>
      <c r="H1608" s="126"/>
      <c r="I1608" s="251"/>
      <c r="J1608" s="53"/>
      <c r="K1608" s="252"/>
      <c r="L1608" s="53"/>
      <c r="M1608" s="128" t="str">
        <f>INDEX(表结构总览!E:H,MATCH(D1608,表结构总览!E:E,0),4)</f>
        <v>记录[自营资金交易信息表]和[自营资金业务余额表]中所有业务对应的标的物，如债券、非标准化债权类资产、金融衍生品工具，已结清（余额为0）/赎回/终结的业务在报送最后状态的次月不再报送。同业往来大类下的同业存单，债券和同业投资大类下的所有业务需填报基础资产相关信息，基础资产如果对应多个的话，按多条报送。票据业务不在本表报送。</v>
      </c>
      <c r="N1608" s="187" t="s">
        <v>25</v>
      </c>
      <c r="O1608" s="129" t="s">
        <v>449</v>
      </c>
      <c r="P1608" s="41"/>
    </row>
    <row r="1609" s="35" customFormat="1" ht="30" customHeight="1" outlineLevel="1" spans="1:16">
      <c r="A1609" s="93"/>
      <c r="B1609" s="94"/>
      <c r="C1609" s="95"/>
      <c r="D1609" s="95"/>
      <c r="E1609" s="94"/>
      <c r="F1609" s="158" t="s">
        <v>325</v>
      </c>
      <c r="G1609" s="245" t="s">
        <v>1520</v>
      </c>
      <c r="H1609" s="153" t="s">
        <v>4773</v>
      </c>
      <c r="I1609" s="158" t="s">
        <v>325</v>
      </c>
      <c r="J1609" s="213" t="str">
        <f>INDEX(数据元说明!A:F,MATCH(I1609,数据元说明!C:C,0),2)</f>
        <v>001010</v>
      </c>
      <c r="K1609" s="158" t="str">
        <f>INDEX(数据元说明!A:F,MATCH(I1609,数据元说明!C:C,0),5)</f>
        <v>12位人行支付行号或SWIFT行号。</v>
      </c>
      <c r="L1609" s="213" t="str">
        <f>INDEX(数据元说明!A:F,MATCH(I1609,数据元说明!C:C,0),6)</f>
        <v>C..30</v>
      </c>
      <c r="M1609" s="138" t="s">
        <v>4774</v>
      </c>
      <c r="N1609" s="140"/>
      <c r="O1609" s="140"/>
      <c r="P1609" s="259"/>
    </row>
    <row r="1610" s="81" customFormat="1" ht="30" customHeight="1" outlineLevel="1" spans="1:16">
      <c r="A1610" s="134"/>
      <c r="B1610" s="47"/>
      <c r="C1610" s="39"/>
      <c r="D1610" s="39"/>
      <c r="E1610" s="47"/>
      <c r="F1610" s="135" t="s">
        <v>329</v>
      </c>
      <c r="G1610" s="136" t="s">
        <v>1526</v>
      </c>
      <c r="H1610" s="153" t="s">
        <v>4775</v>
      </c>
      <c r="I1610" s="135" t="s">
        <v>329</v>
      </c>
      <c r="J1610" s="136" t="str">
        <f>INDEX(数据元说明!A:F,MATCH(I1610,数据元说明!C:C,0),2)</f>
        <v>001011</v>
      </c>
      <c r="K1610" s="138" t="str">
        <f>INDEX(数据元说明!A:F,MATCH(I1610,数据元说明!C:C,0),5)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610" s="136" t="str">
        <f>INDEX(数据元说明!A:F,MATCH(I1610,数据元说明!C:C,0),6)</f>
        <v>C..30</v>
      </c>
      <c r="M1610" s="138" t="s">
        <v>3204</v>
      </c>
      <c r="N1610" s="260"/>
      <c r="O1610" s="140"/>
      <c r="P1610" s="140"/>
    </row>
    <row r="1611" s="35" customFormat="1" ht="30" customHeight="1" outlineLevel="1" spans="1:16">
      <c r="A1611" s="93"/>
      <c r="B1611" s="94"/>
      <c r="C1611" s="95"/>
      <c r="D1611" s="95"/>
      <c r="E1611" s="94"/>
      <c r="F1611" s="158" t="s">
        <v>333</v>
      </c>
      <c r="G1611" s="245" t="s">
        <v>1523</v>
      </c>
      <c r="H1611" s="153" t="s">
        <v>4776</v>
      </c>
      <c r="I1611" s="158" t="s">
        <v>333</v>
      </c>
      <c r="J1611" s="213" t="str">
        <f>INDEX(数据元说明!A:F,MATCH(I1611,数据元说明!C:C,0),2)</f>
        <v>001012</v>
      </c>
      <c r="K1611" s="158" t="str">
        <f>INDEX(数据元说明!A:F,MATCH(I1611,数据元说明!C:C,0),5)</f>
        <v>银行内部机构号。应具有标识机构的唯一性。</v>
      </c>
      <c r="L1611" s="213" t="str">
        <f>INDEX(数据元说明!A:F,MATCH(I1611,数据元说明!C:C,0),6)</f>
        <v>C..30</v>
      </c>
      <c r="M1611" s="138" t="s">
        <v>4777</v>
      </c>
      <c r="N1611" s="140"/>
      <c r="O1611" s="140"/>
      <c r="P1611" s="259"/>
    </row>
    <row r="1612" s="89" customFormat="1" ht="30" customHeight="1" outlineLevel="1" spans="1:16">
      <c r="A1612" s="154"/>
      <c r="B1612" s="155"/>
      <c r="C1612" s="156"/>
      <c r="D1612" s="156"/>
      <c r="E1612" s="155"/>
      <c r="F1612" s="158" t="s">
        <v>1532</v>
      </c>
      <c r="G1612" s="213" t="s">
        <v>1533</v>
      </c>
      <c r="H1612" s="153" t="s">
        <v>4778</v>
      </c>
      <c r="I1612" s="158" t="s">
        <v>282</v>
      </c>
      <c r="J1612" s="213" t="str">
        <f>INDEX(数据元说明!A:F,MATCH(I1612,数据元说明!C:C,0),2)</f>
        <v>001001</v>
      </c>
      <c r="K1612" s="158" t="str">
        <f>INDEX(数据元说明!A:F,MATCH(I1612,数据元说明!C:C,0),5)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12" s="213" t="str">
        <f>INDEX(数据元说明!A:F,MATCH(I1612,数据元说明!C:C,0),6)</f>
        <v>C..400</v>
      </c>
      <c r="M1612" s="138" t="s">
        <v>1584</v>
      </c>
      <c r="N1612" s="260"/>
      <c r="O1612" s="140"/>
      <c r="P1612" s="140"/>
    </row>
    <row r="1613" s="81" customFormat="1" ht="53" outlineLevel="1" spans="1:16">
      <c r="A1613" s="154"/>
      <c r="B1613" s="155"/>
      <c r="C1613" s="156"/>
      <c r="D1613" s="156"/>
      <c r="E1613" s="155"/>
      <c r="F1613" s="264" t="s">
        <v>1097</v>
      </c>
      <c r="G1613" s="263" t="s">
        <v>4779</v>
      </c>
      <c r="H1613" s="153" t="s">
        <v>4780</v>
      </c>
      <c r="I1613" s="264" t="s">
        <v>1097</v>
      </c>
      <c r="J1613" s="407" t="str">
        <f>INDEX(数据元说明!A:F,MATCH(I1613,数据元说明!C:C,0),2)</f>
        <v>010001</v>
      </c>
      <c r="K1613" s="158" t="str">
        <f>INDEX(数据元说明!A:F,MATCH(I1613,数据元说明!C:C,0),5)</f>
        <v>能在表内唯一识别金融工具的编号，包括但不限于标准化或非标准化金融产品。在中登公司有登记的金融产品，需填报在中登公司记录的正确编号，如果不是标准产品，则由银行自定义。</v>
      </c>
      <c r="L1613" s="43" t="str">
        <f>INDEX(数据元说明!A:F,MATCH(I1613,数据元说明!C:C,0),6)</f>
        <v>C..60</v>
      </c>
      <c r="M1613" s="158" t="s">
        <v>4781</v>
      </c>
      <c r="N1613" s="187" t="s">
        <v>25</v>
      </c>
      <c r="O1613" s="129" t="s">
        <v>1539</v>
      </c>
      <c r="P1613" s="205"/>
    </row>
    <row r="1614" s="81" customFormat="1" ht="124" outlineLevel="1" spans="1:16">
      <c r="A1614" s="154"/>
      <c r="B1614" s="155"/>
      <c r="C1614" s="156"/>
      <c r="D1614" s="156"/>
      <c r="E1614" s="155"/>
      <c r="F1614" s="264" t="s">
        <v>1101</v>
      </c>
      <c r="G1614" s="263" t="s">
        <v>4782</v>
      </c>
      <c r="H1614" s="153" t="s">
        <v>4783</v>
      </c>
      <c r="I1614" s="264" t="s">
        <v>1101</v>
      </c>
      <c r="J1614" s="407" t="str">
        <f>INDEX(数据元说明!A:F,MATCH(I1614,数据元说明!C:C,0),2)</f>
        <v>010002</v>
      </c>
      <c r="K1614" s="158" t="str">
        <f>INDEX(数据元说明!A:F,MATCH(I1614,数据元说明!C:C,0),5)</f>
        <v>金融产品名称，包括但不限于标准化或非标准化金融产品。如果不是标准产品，则由银行自定义。</v>
      </c>
      <c r="L1614" s="43" t="str">
        <f>INDEX(数据元说明!A:F,MATCH(I1614,数据元说明!C:C,0),6)</f>
        <v>C..200</v>
      </c>
      <c r="M1614" s="158" t="s">
        <v>4784</v>
      </c>
      <c r="N1614" s="139" t="s">
        <v>25</v>
      </c>
      <c r="O1614" s="139" t="s">
        <v>280</v>
      </c>
      <c r="P1614" s="205"/>
    </row>
    <row r="1615" s="81" customFormat="1" ht="88" outlineLevel="1" spans="1:16">
      <c r="A1615" s="154"/>
      <c r="B1615" s="155"/>
      <c r="C1615" s="156"/>
      <c r="D1615" s="156"/>
      <c r="E1615" s="155"/>
      <c r="F1615" s="264" t="s">
        <v>1105</v>
      </c>
      <c r="G1615" s="263" t="s">
        <v>4785</v>
      </c>
      <c r="H1615" s="153" t="s">
        <v>4786</v>
      </c>
      <c r="I1615" s="264" t="s">
        <v>1105</v>
      </c>
      <c r="J1615" s="407" t="str">
        <f>INDEX(数据元说明!A:F,MATCH(I1615,数据元说明!C:C,0),2)</f>
        <v>010003</v>
      </c>
      <c r="K1615" s="158" t="str">
        <f>INDEX(数据元说明!A:F,MATCH(I1615,数据元说明!C:C,0),5)</f>
        <v>现金及银行存款，外汇，证券，股权，保险产品，标准化债券，理财产品，理财直接融资工具，新增可投资资产（信贷资产流转项目、其他新增），非标准化债权类资产，权益类投资，贵金属，金融衍生品，QDII，商品类资产，另类资产（艺术品、知识产权等），公募基金，私募基金。无法以枚举类型填报的，以“其他-XX”填报，其中“XX”为银行自定义资产类型。</v>
      </c>
      <c r="L1615" s="43" t="str">
        <f>INDEX(数据元说明!A:F,MATCH(I1615,数据元说明!C:C,0),6)</f>
        <v>C..80</v>
      </c>
      <c r="M1615" s="158" t="s">
        <v>4787</v>
      </c>
      <c r="N1615" s="140" t="s">
        <v>25</v>
      </c>
      <c r="O1615" s="140" t="s">
        <v>280</v>
      </c>
      <c r="P1615" s="205"/>
    </row>
    <row r="1616" ht="30" customHeight="1" outlineLevel="1" spans="1:16">
      <c r="E1616" s="94"/>
      <c r="F1616" s="265" t="s">
        <v>624</v>
      </c>
      <c r="G1616" s="262" t="s">
        <v>1989</v>
      </c>
      <c r="H1616" s="96" t="s">
        <v>4788</v>
      </c>
      <c r="I1616" s="265" t="s">
        <v>624</v>
      </c>
      <c r="J1616" s="29" t="str">
        <f>INDEX(数据元说明!A:F,MATCH(I1616,数据元说明!C:C,0),2)</f>
        <v>003014</v>
      </c>
      <c r="K1616" s="98" t="str">
        <f>INDEX(数据元说明!A:F,MATCH(I1616,数据元说明!C:C,0),5)</f>
        <v>遵循《GB/T 12406 表示货币和资金的代码》的字母代码，如CNY。上述文件所列币种无法涵盖的，允许银行自定义填报。多个币种合计折算为人民币（本外币合计）的，填报为BWB。</v>
      </c>
      <c r="L1616" s="29" t="str">
        <f>INDEX(数据元说明!A:F,MATCH(I1616,数据元说明!C:C,0),6)</f>
        <v>C3</v>
      </c>
    </row>
    <row r="1617" s="81" customFormat="1" ht="30" customHeight="1" outlineLevel="1" spans="1:16">
      <c r="A1617" s="154"/>
      <c r="B1617" s="155"/>
      <c r="C1617" s="156"/>
      <c r="D1617" s="156"/>
      <c r="E1617" s="155"/>
      <c r="F1617" s="264" t="s">
        <v>4789</v>
      </c>
      <c r="G1617" s="263" t="s">
        <v>4790</v>
      </c>
      <c r="H1617" s="153" t="s">
        <v>4791</v>
      </c>
      <c r="I1617" s="157" t="s">
        <v>609</v>
      </c>
      <c r="J1617" s="43" t="str">
        <f>INDEX(数据元说明!A:F,MATCH(I1617,数据元说明!C:C,0),2)</f>
        <v>003010</v>
      </c>
      <c r="K1617" s="158" t="str">
        <f>INDEX(数据元说明!A:F,MATCH(I1617,数据元说明!C:C,0),5)</f>
        <v>与币种相对应金额。</v>
      </c>
      <c r="L1617" s="43" t="str">
        <f>INDEX(数据元说明!A:F,MATCH(I1617,数据元说明!C:C,0),6)</f>
        <v>D20.2</v>
      </c>
      <c r="M1617" s="158" t="s">
        <v>4792</v>
      </c>
      <c r="N1617" s="198" t="s">
        <v>25</v>
      </c>
      <c r="O1617" s="198" t="s">
        <v>449</v>
      </c>
      <c r="P1617" s="205"/>
    </row>
    <row r="1618" s="81" customFormat="1" ht="30" customHeight="1" outlineLevel="1" spans="1:16">
      <c r="A1618" s="154"/>
      <c r="B1618" s="155"/>
      <c r="C1618" s="156"/>
      <c r="D1618" s="156"/>
      <c r="E1618" s="155"/>
      <c r="F1618" s="264" t="s">
        <v>4793</v>
      </c>
      <c r="G1618" s="263" t="s">
        <v>4794</v>
      </c>
      <c r="H1618" s="153" t="s">
        <v>4795</v>
      </c>
      <c r="I1618" s="157" t="s">
        <v>609</v>
      </c>
      <c r="J1618" s="43" t="str">
        <f>INDEX(数据元说明!A:F,MATCH(I1618,数据元说明!C:C,0),2)</f>
        <v>003010</v>
      </c>
      <c r="K1618" s="158" t="str">
        <f>INDEX(数据元说明!A:F,MATCH(I1618,数据元说明!C:C,0),5)</f>
        <v>与币种相对应金额。</v>
      </c>
      <c r="L1618" s="43" t="str">
        <f>INDEX(数据元说明!A:F,MATCH(I1618,数据元说明!C:C,0),6)</f>
        <v>D20.2</v>
      </c>
      <c r="M1618" s="158" t="s">
        <v>4796</v>
      </c>
      <c r="N1618" s="143" t="s">
        <v>57</v>
      </c>
      <c r="O1618" s="140"/>
      <c r="P1618" s="205"/>
    </row>
    <row r="1619" ht="30" customHeight="1" outlineLevel="1" spans="1:16">
      <c r="E1619" s="94"/>
      <c r="F1619" s="264" t="s">
        <v>4658</v>
      </c>
      <c r="G1619" s="263" t="s">
        <v>4659</v>
      </c>
      <c r="H1619" s="153" t="s">
        <v>4797</v>
      </c>
      <c r="I1619" s="157" t="s">
        <v>282</v>
      </c>
      <c r="J1619" s="43" t="str">
        <f>INDEX(数据元说明!A:F,MATCH(I1619,数据元说明!C:C,0),2)</f>
        <v>001001</v>
      </c>
      <c r="K1619" s="158" t="str">
        <f>INDEX(数据元说明!A:F,MATCH(I1619,数据元说明!C:C,0),5)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19" s="43" t="str">
        <f>INDEX(数据元说明!A:F,MATCH(I1619,数据元说明!C:C,0),6)</f>
        <v>C..400</v>
      </c>
      <c r="M1619" s="158" t="s">
        <v>4798</v>
      </c>
      <c r="N1619" s="139" t="s">
        <v>25</v>
      </c>
      <c r="O1619" s="139" t="s">
        <v>280</v>
      </c>
      <c r="P1619" s="205"/>
    </row>
    <row r="1620" s="81" customFormat="1" ht="30" customHeight="1" outlineLevel="1" spans="1:16">
      <c r="A1620" s="154"/>
      <c r="B1620" s="155"/>
      <c r="C1620" s="156"/>
      <c r="D1620" s="156"/>
      <c r="E1620" s="155"/>
      <c r="F1620" s="264" t="s">
        <v>1401</v>
      </c>
      <c r="G1620" s="263" t="s">
        <v>4799</v>
      </c>
      <c r="H1620" s="153" t="s">
        <v>4800</v>
      </c>
      <c r="I1620" s="266" t="s">
        <v>529</v>
      </c>
      <c r="J1620" s="43" t="str">
        <f>INDEX(数据元说明!A:F,MATCH(I1620,数据元说明!C:C,0),2)</f>
        <v>002019</v>
      </c>
      <c r="K1620" s="158" t="str">
        <f>INDEX(数据元说明!A:F,MATCH(I1620,数据元说明!C:C,0),5)</f>
        <v>已登记统一社会信用代码的，填18位统一社会信用代码；未登记统一社会信用代码的，填组织机构代码。境外机构、临时验资户类客户填写默认值0</v>
      </c>
      <c r="L1620" s="43" t="str">
        <f>INDEX(数据元说明!A:F,MATCH(I1620,数据元说明!C:C,0),6)</f>
        <v>C..40</v>
      </c>
      <c r="M1620" s="158" t="s">
        <v>4801</v>
      </c>
      <c r="N1620" s="187" t="s">
        <v>25</v>
      </c>
      <c r="O1620" s="129" t="s">
        <v>1514</v>
      </c>
      <c r="P1620" s="205"/>
    </row>
    <row r="1621" s="81" customFormat="1" ht="30" customHeight="1" outlineLevel="1" spans="1:16">
      <c r="A1621" s="154"/>
      <c r="B1621" s="155"/>
      <c r="C1621" s="156"/>
      <c r="D1621" s="156"/>
      <c r="E1621" s="155"/>
      <c r="F1621" s="264" t="s">
        <v>4802</v>
      </c>
      <c r="G1621" s="263" t="s">
        <v>4803</v>
      </c>
      <c r="H1621" s="153" t="s">
        <v>4804</v>
      </c>
      <c r="I1621" s="157" t="s">
        <v>1109</v>
      </c>
      <c r="J1621" s="407" t="str">
        <f>INDEX(数据元说明!A:F,MATCH(I1621,数据元说明!C:C,0),2)</f>
        <v>010004</v>
      </c>
      <c r="K1621" s="158" t="str">
        <f>INDEX(数据元说明!A:F,MATCH(I1621,数据元说明!C:C,0),5)</f>
        <v>《GB/T 2659 世界各国和地区名称代码》定义的三字符代码，如CHN。</v>
      </c>
      <c r="L1621" s="43" t="str">
        <f>INDEX(数据元说明!A:F,MATCH(I1621,数据元说明!C:C,0),6)</f>
        <v>C3</v>
      </c>
      <c r="M1621" s="158" t="s">
        <v>4805</v>
      </c>
      <c r="N1621" s="139" t="s">
        <v>25</v>
      </c>
      <c r="O1621" s="139" t="s">
        <v>280</v>
      </c>
      <c r="P1621" s="205"/>
    </row>
    <row r="1622" ht="30" customHeight="1" outlineLevel="1" spans="1:16">
      <c r="E1622" s="94"/>
      <c r="F1622" s="265" t="s">
        <v>4806</v>
      </c>
      <c r="G1622" s="262" t="s">
        <v>4807</v>
      </c>
      <c r="H1622" s="96" t="s">
        <v>4808</v>
      </c>
      <c r="I1622" s="97" t="s">
        <v>302</v>
      </c>
      <c r="J1622" s="29" t="str">
        <f>INDEX(数据元说明!A:F,MATCH(I1622,数据元说明!C:C,0),2)</f>
        <v>001005</v>
      </c>
      <c r="K1622" s="98" t="str">
        <f>INDEX(数据元说明!A:F,MATCH(I1622,数据元说明!C:C,0),5)</f>
        <v>YYYYMMDD，默认值99991231。</v>
      </c>
      <c r="L1622" s="29" t="str">
        <f>INDEX(数据元说明!A:F,MATCH(I1622,数据元说明!C:C,0),6)</f>
        <v>C8</v>
      </c>
      <c r="M1622" s="98" t="s">
        <v>4809</v>
      </c>
    </row>
    <row r="1623" ht="30" customHeight="1" outlineLevel="1" spans="1:16">
      <c r="E1623" s="94"/>
      <c r="F1623" s="265" t="s">
        <v>2490</v>
      </c>
      <c r="G1623" s="262" t="s">
        <v>2491</v>
      </c>
      <c r="H1623" s="96" t="s">
        <v>4810</v>
      </c>
      <c r="I1623" s="97" t="s">
        <v>302</v>
      </c>
      <c r="J1623" s="29" t="str">
        <f>INDEX(数据元说明!A:F,MATCH(I1623,数据元说明!C:C,0),2)</f>
        <v>001005</v>
      </c>
      <c r="K1623" s="98" t="str">
        <f>INDEX(数据元说明!A:F,MATCH(I1623,数据元说明!C:C,0),5)</f>
        <v>YYYYMMDD，默认值99991231。</v>
      </c>
      <c r="L1623" s="29" t="str">
        <f>INDEX(数据元说明!A:F,MATCH(I1623,数据元说明!C:C,0),6)</f>
        <v>C8</v>
      </c>
      <c r="M1623" s="98" t="s">
        <v>4811</v>
      </c>
    </row>
    <row r="1624" s="81" customFormat="1" ht="30" customHeight="1" outlineLevel="1" spans="1:16">
      <c r="A1624" s="154"/>
      <c r="B1624" s="155"/>
      <c r="C1624" s="156"/>
      <c r="D1624" s="156"/>
      <c r="E1624" s="155"/>
      <c r="F1624" s="264" t="s">
        <v>1117</v>
      </c>
      <c r="G1624" s="263" t="s">
        <v>3035</v>
      </c>
      <c r="H1624" s="153" t="s">
        <v>4812</v>
      </c>
      <c r="I1624" s="157" t="s">
        <v>1481</v>
      </c>
      <c r="J1624" s="407" t="str">
        <f>INDEX(数据元说明!A:F,MATCH(I1624,数据元说明!C:C,0),2)</f>
        <v>010096</v>
      </c>
      <c r="K1624" s="158" t="str">
        <f>INDEX(数据元说明!A:F,MATCH(I1624,数据元说明!C:C,0),5)</f>
        <v>固定，浮动，互换，其他。</v>
      </c>
      <c r="L1624" s="43" t="str">
        <f>INDEX(数据元说明!A:F,MATCH(I1624,数据元说明!C:C,0),6)</f>
        <v>C6</v>
      </c>
      <c r="M1624" s="138" t="s">
        <v>4813</v>
      </c>
      <c r="N1624" s="140" t="s">
        <v>25</v>
      </c>
      <c r="O1624" s="139" t="s">
        <v>1516</v>
      </c>
      <c r="P1624" s="205"/>
    </row>
    <row r="1625" s="81" customFormat="1" ht="30" customHeight="1" outlineLevel="1" spans="1:16">
      <c r="A1625" s="141"/>
      <c r="B1625" s="142"/>
      <c r="C1625" s="177"/>
      <c r="D1625" s="177"/>
      <c r="E1625" s="47"/>
      <c r="F1625" s="135" t="s">
        <v>2756</v>
      </c>
      <c r="G1625" s="136" t="s">
        <v>2840</v>
      </c>
      <c r="H1625" s="153" t="s">
        <v>4814</v>
      </c>
      <c r="I1625" s="135" t="s">
        <v>660</v>
      </c>
      <c r="J1625" s="136" t="str">
        <f>INDEX(数据元说明!A:F,MATCH(I1625,数据元说明!C:C,0),2)</f>
        <v>003023</v>
      </c>
      <c r="K1625" s="138" t="str">
        <f>INDEX(数据元说明!A:F,MATCH(I1625,数据元说明!C:C,0),5)</f>
        <v>百分比为单位，即%，如4.5%填报为4.5。</v>
      </c>
      <c r="L1625" s="136" t="str">
        <f>INDEX(数据元说明!A:F,MATCH(I1625,数据元说明!C:C,0),6)</f>
        <v>D10.4</v>
      </c>
      <c r="M1625" s="138" t="s">
        <v>4813</v>
      </c>
      <c r="N1625" s="143" t="s">
        <v>57</v>
      </c>
      <c r="O1625" s="140"/>
      <c r="P1625" s="140"/>
    </row>
    <row r="1626" ht="30" customHeight="1" outlineLevel="1" spans="1:16">
      <c r="E1626" s="94"/>
      <c r="F1626" s="265" t="s">
        <v>4815</v>
      </c>
      <c r="G1626" s="262" t="s">
        <v>4816</v>
      </c>
      <c r="H1626" s="96" t="s">
        <v>4817</v>
      </c>
      <c r="I1626" s="97" t="s">
        <v>287</v>
      </c>
      <c r="J1626" s="29" t="str">
        <f>INDEX(数据元说明!A:F,MATCH(I1626,数据元说明!C:C,0),2)</f>
        <v>001002</v>
      </c>
      <c r="K1626" s="98" t="str">
        <f>INDEX(数据元说明!A:F,MATCH(I1626,数据元说明!C:C,0),5)</f>
        <v>是，否。</v>
      </c>
      <c r="L1626" s="29" t="str">
        <f>INDEX(数据元说明!A:F,MATCH(I1626,数据元说明!C:C,0),6)</f>
        <v>C3</v>
      </c>
    </row>
    <row r="1627" s="81" customFormat="1" ht="30" customHeight="1" outlineLevel="1" spans="1:16">
      <c r="A1627" s="154"/>
      <c r="B1627" s="155"/>
      <c r="C1627" s="156"/>
      <c r="D1627" s="156"/>
      <c r="E1627" s="155"/>
      <c r="F1627" s="264" t="s">
        <v>4818</v>
      </c>
      <c r="G1627" s="263" t="s">
        <v>4819</v>
      </c>
      <c r="H1627" s="153" t="s">
        <v>4820</v>
      </c>
      <c r="I1627" s="157" t="s">
        <v>609</v>
      </c>
      <c r="J1627" s="43" t="str">
        <f>INDEX(数据元说明!A:F,MATCH(I1627,数据元说明!C:C,0),2)</f>
        <v>003010</v>
      </c>
      <c r="K1627" s="158" t="str">
        <f>INDEX(数据元说明!A:F,MATCH(I1627,数据元说明!C:C,0),5)</f>
        <v>与币种相对应金额。</v>
      </c>
      <c r="L1627" s="43" t="str">
        <f>INDEX(数据元说明!A:F,MATCH(I1627,数据元说明!C:C,0),6)</f>
        <v>D20.2</v>
      </c>
      <c r="M1627" s="158" t="s">
        <v>4821</v>
      </c>
      <c r="N1627" s="140" t="s">
        <v>25</v>
      </c>
      <c r="O1627" s="139" t="s">
        <v>449</v>
      </c>
      <c r="P1627" s="205"/>
    </row>
    <row r="1628" s="81" customFormat="1" ht="30" customHeight="1" outlineLevel="1" spans="1:16">
      <c r="A1628" s="154"/>
      <c r="B1628" s="155"/>
      <c r="C1628" s="156"/>
      <c r="D1628" s="156"/>
      <c r="E1628" s="155"/>
      <c r="F1628" s="264" t="s">
        <v>4822</v>
      </c>
      <c r="G1628" s="263" t="s">
        <v>4823</v>
      </c>
      <c r="H1628" s="153" t="s">
        <v>4824</v>
      </c>
      <c r="I1628" s="157" t="s">
        <v>302</v>
      </c>
      <c r="J1628" s="43" t="str">
        <f>INDEX(数据元说明!A:F,MATCH(I1628,数据元说明!C:C,0),2)</f>
        <v>001005</v>
      </c>
      <c r="K1628" s="158" t="str">
        <f>INDEX(数据元说明!A:F,MATCH(I1628,数据元说明!C:C,0),5)</f>
        <v>YYYYMMDD，默认值99991231。</v>
      </c>
      <c r="L1628" s="43" t="str">
        <f>INDEX(数据元说明!A:F,MATCH(I1628,数据元说明!C:C,0),6)</f>
        <v>C8</v>
      </c>
      <c r="M1628" s="98"/>
      <c r="N1628" s="139" t="s">
        <v>25</v>
      </c>
      <c r="O1628" s="139" t="s">
        <v>1550</v>
      </c>
      <c r="P1628" s="205"/>
    </row>
    <row r="1629" s="81" customFormat="1" ht="117" customHeight="1" spans="1:16">
      <c r="A1629" s="134"/>
      <c r="B1629" s="47"/>
      <c r="C1629" s="39"/>
      <c r="D1629" s="39"/>
      <c r="E1629" s="47"/>
      <c r="F1629" s="135" t="s">
        <v>1218</v>
      </c>
      <c r="G1629" s="245" t="s">
        <v>4825</v>
      </c>
      <c r="H1629" s="153" t="s">
        <v>4826</v>
      </c>
      <c r="I1629" s="135" t="s">
        <v>1218</v>
      </c>
      <c r="J1629" s="406" t="str">
        <f>INDEX(数据元说明!A:F,MATCH(I1629,数据元说明!C:C,0),2)</f>
        <v>010031</v>
      </c>
      <c r="K1629" s="138" t="str">
        <f>INDEX(数据元说明!A:F,MATCH(I1629,数据元说明!C:C,0),5)</f>
        <v>银行自定义。</v>
      </c>
      <c r="L1629" s="136" t="str">
        <f>INDEX(数据元说明!A:F,MATCH(I1629,数据元说明!C:C,0),6)</f>
        <v>C..60</v>
      </c>
      <c r="M1629" s="138" t="s">
        <v>4827</v>
      </c>
      <c r="N1629" s="143" t="s">
        <v>57</v>
      </c>
      <c r="O1629" s="140" t="s">
        <v>449</v>
      </c>
      <c r="P1629" s="205"/>
    </row>
    <row r="1630" s="81" customFormat="1" ht="30" customHeight="1" spans="1:16">
      <c r="A1630" s="134"/>
      <c r="B1630" s="47"/>
      <c r="C1630" s="39"/>
      <c r="D1630" s="39"/>
      <c r="E1630" s="47"/>
      <c r="F1630" s="135" t="s">
        <v>1221</v>
      </c>
      <c r="G1630" s="245" t="s">
        <v>4828</v>
      </c>
      <c r="H1630" s="153" t="s">
        <v>4829</v>
      </c>
      <c r="I1630" s="135" t="s">
        <v>1221</v>
      </c>
      <c r="J1630" s="406" t="str">
        <f>INDEX(数据元说明!A:F,MATCH(I1630,数据元说明!C:C,0),2)</f>
        <v>010032</v>
      </c>
      <c r="K1630" s="138" t="str">
        <f>INDEX(数据元说明!A:F,MATCH(I1630,数据元说明!C:C,0),5)</f>
        <v>银行自定义。</v>
      </c>
      <c r="L1630" s="136" t="str">
        <f>INDEX(数据元说明!A:F,MATCH(I1630,数据元说明!C:C,0),6)</f>
        <v>C..200</v>
      </c>
      <c r="M1630" s="138" t="s">
        <v>4830</v>
      </c>
      <c r="N1630" s="143" t="s">
        <v>57</v>
      </c>
      <c r="O1630" s="139" t="s">
        <v>280</v>
      </c>
      <c r="P1630" s="206" t="s">
        <v>1606</v>
      </c>
    </row>
    <row r="1631" s="81" customFormat="1" ht="30" customHeight="1" spans="1:16">
      <c r="A1631" s="134"/>
      <c r="B1631" s="47"/>
      <c r="C1631" s="39"/>
      <c r="D1631" s="39"/>
      <c r="E1631" s="47"/>
      <c r="F1631" s="135" t="s">
        <v>4831</v>
      </c>
      <c r="G1631" s="245" t="s">
        <v>4832</v>
      </c>
      <c r="H1631" s="153" t="s">
        <v>4833</v>
      </c>
      <c r="I1631" s="135" t="s">
        <v>609</v>
      </c>
      <c r="J1631" s="136" t="str">
        <f>INDEX(数据元说明!A:F,MATCH(I1631,数据元说明!C:C,0),2)</f>
        <v>003010</v>
      </c>
      <c r="K1631" s="138" t="str">
        <f>INDEX(数据元说明!A:F,MATCH(I1631,数据元说明!C:C,0),5)</f>
        <v>与币种相对应金额。</v>
      </c>
      <c r="L1631" s="136" t="str">
        <f>INDEX(数据元说明!A:F,MATCH(I1631,数据元说明!C:C,0),6)</f>
        <v>D20.2</v>
      </c>
      <c r="M1631" s="138" t="s">
        <v>4830</v>
      </c>
      <c r="N1631" s="143" t="s">
        <v>57</v>
      </c>
      <c r="O1631" s="139"/>
      <c r="P1631" s="206"/>
    </row>
    <row r="1632" s="81" customFormat="1" ht="30" customHeight="1" spans="1:16">
      <c r="A1632" s="134"/>
      <c r="B1632" s="47"/>
      <c r="C1632" s="39"/>
      <c r="D1632" s="39"/>
      <c r="E1632" s="47"/>
      <c r="F1632" s="135" t="s">
        <v>4834</v>
      </c>
      <c r="G1632" s="245" t="s">
        <v>4835</v>
      </c>
      <c r="H1632" s="153" t="s">
        <v>4836</v>
      </c>
      <c r="I1632" s="135" t="s">
        <v>292</v>
      </c>
      <c r="J1632" s="136" t="str">
        <f>INDEX(数据元说明!A:F,MATCH(I1632,数据元说明!C:C,0),2)</f>
        <v>001003</v>
      </c>
      <c r="K1632" s="138" t="str">
        <f>INDEX(数据元说明!A:F,MATCH(I1632,数据元说明!C:C,0),5)</f>
        <v>百分比为单位，即1/100，保留两位小数。如4.5%则填报为4.50。</v>
      </c>
      <c r="L1632" s="136" t="str">
        <f>INDEX(数据元说明!A:F,MATCH(I1632,数据元说明!C:C,0),6)</f>
        <v>D20.2</v>
      </c>
      <c r="M1632" s="138" t="s">
        <v>4837</v>
      </c>
      <c r="N1632" s="143" t="s">
        <v>57</v>
      </c>
      <c r="O1632" s="139"/>
      <c r="P1632" s="206"/>
    </row>
    <row r="1633" s="81" customFormat="1" ht="30" customHeight="1" spans="1:16">
      <c r="A1633" s="134"/>
      <c r="B1633" s="47"/>
      <c r="C1633" s="39"/>
      <c r="D1633" s="39"/>
      <c r="E1633" s="47"/>
      <c r="F1633" s="135" t="s">
        <v>4838</v>
      </c>
      <c r="G1633" s="245" t="s">
        <v>4839</v>
      </c>
      <c r="H1633" s="153" t="s">
        <v>4840</v>
      </c>
      <c r="I1633" s="135" t="s">
        <v>1133</v>
      </c>
      <c r="J1633" s="406" t="str">
        <f>INDEX(数据元说明!A:F,MATCH(I1633,数据元说明!C:C,0),2)</f>
        <v>010010</v>
      </c>
      <c r="K1633" s="138" t="str">
        <f>INDEX(数据元说明!A:F,MATCH(I1633,数据元说明!C:C,0),5)</f>
        <v>优先填报外部专业性的评级公司对融资人主体或资产的信用评级结果，如无，则由填报机构内部对融资人主体或资产的信用评级结果。</v>
      </c>
      <c r="L1633" s="136" t="str">
        <f>INDEX(数据元说明!A:F,MATCH(I1633,数据元说明!C:C,0),6)</f>
        <v>C..20</v>
      </c>
      <c r="M1633" s="138" t="s">
        <v>4830</v>
      </c>
      <c r="N1633" s="143" t="s">
        <v>57</v>
      </c>
      <c r="O1633" s="140"/>
      <c r="P1633" s="206" t="s">
        <v>1606</v>
      </c>
    </row>
    <row r="1634" s="81" customFormat="1" ht="30" customHeight="1" spans="1:16">
      <c r="A1634" s="134"/>
      <c r="B1634" s="47"/>
      <c r="C1634" s="39"/>
      <c r="D1634" s="39"/>
      <c r="E1634" s="47"/>
      <c r="F1634" s="135" t="s">
        <v>4841</v>
      </c>
      <c r="G1634" s="245" t="s">
        <v>4842</v>
      </c>
      <c r="H1634" s="153" t="s">
        <v>4843</v>
      </c>
      <c r="I1634" s="135" t="s">
        <v>282</v>
      </c>
      <c r="J1634" s="136" t="str">
        <f>INDEX(数据元说明!A:F,MATCH(I1634,数据元说明!C:C,0),2)</f>
        <v>001001</v>
      </c>
      <c r="K1634" s="138" t="str">
        <f>INDEX(数据元说明!A:F,MATCH(I1634,数据元说明!C:C,0),5)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34" s="136" t="str">
        <f>INDEX(数据元说明!A:F,MATCH(I1634,数据元说明!C:C,0),6)</f>
        <v>C..400</v>
      </c>
      <c r="M1634" s="138" t="s">
        <v>4830</v>
      </c>
      <c r="N1634" s="143" t="s">
        <v>57</v>
      </c>
      <c r="O1634" s="139" t="s">
        <v>280</v>
      </c>
      <c r="P1634" s="206" t="s">
        <v>1606</v>
      </c>
    </row>
    <row r="1635" s="81" customFormat="1" ht="30" customHeight="1" spans="1:16">
      <c r="A1635" s="134"/>
      <c r="B1635" s="47"/>
      <c r="C1635" s="39"/>
      <c r="D1635" s="39"/>
      <c r="E1635" s="47"/>
      <c r="F1635" s="135" t="s">
        <v>4844</v>
      </c>
      <c r="G1635" s="245" t="s">
        <v>4845</v>
      </c>
      <c r="H1635" s="153" t="s">
        <v>4846</v>
      </c>
      <c r="I1635" s="135" t="s">
        <v>282</v>
      </c>
      <c r="J1635" s="136" t="str">
        <f>INDEX(数据元说明!A:F,MATCH(I1635,数据元说明!C:C,0),2)</f>
        <v>001001</v>
      </c>
      <c r="K1635" s="138" t="str">
        <f>INDEX(数据元说明!A:F,MATCH(I1635,数据元说明!C:C,0),5)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35" s="136" t="str">
        <f>INDEX(数据元说明!A:F,MATCH(I1635,数据元说明!C:C,0),6)</f>
        <v>C..400</v>
      </c>
      <c r="M1635" s="138" t="s">
        <v>4830</v>
      </c>
      <c r="N1635" s="143" t="s">
        <v>57</v>
      </c>
      <c r="O1635" s="139" t="s">
        <v>280</v>
      </c>
      <c r="P1635" s="206" t="s">
        <v>1606</v>
      </c>
    </row>
    <row r="1636" s="81" customFormat="1" ht="30" customHeight="1" spans="1:16">
      <c r="A1636" s="134"/>
      <c r="B1636" s="47"/>
      <c r="C1636" s="39"/>
      <c r="D1636" s="39"/>
      <c r="E1636" s="47"/>
      <c r="F1636" s="135" t="s">
        <v>4847</v>
      </c>
      <c r="G1636" s="245" t="s">
        <v>4848</v>
      </c>
      <c r="H1636" s="153" t="s">
        <v>4849</v>
      </c>
      <c r="I1636" s="135" t="s">
        <v>466</v>
      </c>
      <c r="J1636" s="136" t="str">
        <f>INDEX(数据元说明!A:F,MATCH(I1636,数据元说明!C:C,0),2)</f>
        <v>002004</v>
      </c>
      <c r="K1636" s="138" t="str">
        <f>INDEX(数据元说明!A:F,MATCH(I1636,数据元说明!C:C,0),5)</f>
        <v>参照《GB/T 2659-2000 世界各国和地区名称》，填报中文名称。</v>
      </c>
      <c r="L1636" s="136" t="str">
        <f>INDEX(数据元说明!A:F,MATCH(I1636,数据元说明!C:C,0),6)</f>
        <v>C..60</v>
      </c>
      <c r="M1636" s="138" t="s">
        <v>4830</v>
      </c>
      <c r="N1636" s="143" t="s">
        <v>57</v>
      </c>
      <c r="O1636" s="140"/>
      <c r="P1636" s="206" t="s">
        <v>1606</v>
      </c>
    </row>
    <row r="1637" s="81" customFormat="1" ht="30" customHeight="1" spans="1:16">
      <c r="A1637" s="134"/>
      <c r="B1637" s="47"/>
      <c r="C1637" s="39"/>
      <c r="D1637" s="39"/>
      <c r="E1637" s="47"/>
      <c r="F1637" s="135" t="s">
        <v>4850</v>
      </c>
      <c r="G1637" s="245" t="s">
        <v>4851</v>
      </c>
      <c r="H1637" s="153" t="s">
        <v>4852</v>
      </c>
      <c r="I1637" s="135" t="s">
        <v>1133</v>
      </c>
      <c r="J1637" s="406" t="str">
        <f>INDEX(数据元说明!A:F,MATCH(I1637,数据元说明!C:C,0),2)</f>
        <v>010010</v>
      </c>
      <c r="K1637" s="138" t="str">
        <f>INDEX(数据元说明!A:F,MATCH(I1637,数据元说明!C:C,0),5)</f>
        <v>优先填报外部专业性的评级公司对融资人主体或资产的信用评级结果，如无，则由填报机构内部对融资人主体或资产的信用评级结果。</v>
      </c>
      <c r="L1637" s="136" t="str">
        <f>INDEX(数据元说明!A:F,MATCH(I1637,数据元说明!C:C,0),6)</f>
        <v>C..20</v>
      </c>
      <c r="M1637" s="138" t="s">
        <v>4830</v>
      </c>
      <c r="N1637" s="143" t="s">
        <v>57</v>
      </c>
      <c r="O1637" s="140"/>
      <c r="P1637" s="206" t="s">
        <v>1606</v>
      </c>
    </row>
    <row r="1638" s="81" customFormat="1" ht="30" customHeight="1" spans="1:16">
      <c r="A1638" s="134"/>
      <c r="B1638" s="47"/>
      <c r="C1638" s="39"/>
      <c r="D1638" s="39"/>
      <c r="E1638" s="47"/>
      <c r="F1638" s="135" t="s">
        <v>4853</v>
      </c>
      <c r="G1638" s="245" t="s">
        <v>4854</v>
      </c>
      <c r="H1638" s="153" t="s">
        <v>4855</v>
      </c>
      <c r="I1638" s="135" t="s">
        <v>282</v>
      </c>
      <c r="J1638" s="136" t="str">
        <f>INDEX(数据元说明!A:F,MATCH(I1638,数据元说明!C:C,0),2)</f>
        <v>001001</v>
      </c>
      <c r="K1638" s="138" t="str">
        <f>INDEX(数据元说明!A:F,MATCH(I1638,数据元说明!C:C,0),5)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38" s="136" t="str">
        <f>INDEX(数据元说明!A:F,MATCH(I1638,数据元说明!C:C,0),6)</f>
        <v>C..400</v>
      </c>
      <c r="M1638" s="138" t="s">
        <v>4830</v>
      </c>
      <c r="N1638" s="143" t="s">
        <v>57</v>
      </c>
      <c r="O1638" s="139" t="s">
        <v>280</v>
      </c>
      <c r="P1638" s="206" t="s">
        <v>1606</v>
      </c>
    </row>
    <row r="1639" s="81" customFormat="1" ht="30" customHeight="1" spans="1:16">
      <c r="A1639" s="134"/>
      <c r="B1639" s="47"/>
      <c r="C1639" s="39"/>
      <c r="D1639" s="39"/>
      <c r="E1639" s="47"/>
      <c r="F1639" s="135" t="s">
        <v>4856</v>
      </c>
      <c r="G1639" s="245" t="s">
        <v>4857</v>
      </c>
      <c r="H1639" s="153" t="s">
        <v>4858</v>
      </c>
      <c r="I1639" s="135" t="s">
        <v>515</v>
      </c>
      <c r="J1639" s="136" t="str">
        <f>INDEX(数据元说明!A:F,MATCH(I1639,数据元说明!C:C,0),2)</f>
        <v>002016</v>
      </c>
      <c r="K1639" s="138" t="str">
        <f>INDEX(数据元说明!A:F,MATCH(I1639,数据元说明!C:C,0),5)</f>
        <v>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v>
      </c>
      <c r="L1639" s="136" t="str">
        <f>INDEX(数据元说明!A:F,MATCH(I1639,数据元说明!C:C,0),6)</f>
        <v>C..100</v>
      </c>
      <c r="M1639" s="138" t="s">
        <v>4830</v>
      </c>
      <c r="N1639" s="143" t="s">
        <v>57</v>
      </c>
      <c r="O1639" s="140"/>
      <c r="P1639" s="206" t="s">
        <v>1606</v>
      </c>
    </row>
    <row r="1640" s="81" customFormat="1" ht="59" customHeight="1" spans="1:16">
      <c r="A1640" s="134"/>
      <c r="B1640" s="47"/>
      <c r="C1640" s="39"/>
      <c r="D1640" s="39"/>
      <c r="E1640" s="47"/>
      <c r="F1640" s="135" t="s">
        <v>4859</v>
      </c>
      <c r="G1640" s="245" t="s">
        <v>4860</v>
      </c>
      <c r="H1640" s="153" t="s">
        <v>4861</v>
      </c>
      <c r="I1640" s="135" t="s">
        <v>1228</v>
      </c>
      <c r="J1640" s="406" t="str">
        <f>INDEX(数据元说明!A:F,MATCH(I1640,数据元说明!C:C,0),2)</f>
        <v>010034</v>
      </c>
      <c r="K1640" s="138" t="str">
        <f>INDEX(数据元说明!A:F,MATCH(I1640,数据元说明!C:C,0),5)</f>
        <v>按照1104报表G31标准填写穿透后的最终投向。当业务中类为私募基金投资、资产管理产品投资和其他投资时必填。其他业务类型允许为空。</v>
      </c>
      <c r="L1640" s="136" t="str">
        <f>INDEX(数据元说明!A:F,MATCH(I1640,数据元说明!C:C,0),6)</f>
        <v>C..100</v>
      </c>
      <c r="M1640" s="138" t="s">
        <v>4830</v>
      </c>
      <c r="N1640" s="143" t="s">
        <v>57</v>
      </c>
      <c r="O1640" s="139" t="s">
        <v>1962</v>
      </c>
      <c r="P1640" s="205"/>
    </row>
    <row r="1641" s="61" customFormat="1" ht="38" customHeight="1" spans="1:16">
      <c r="A1641" s="130"/>
      <c r="B1641" s="36"/>
      <c r="C1641" s="25"/>
      <c r="D1641" s="25"/>
      <c r="E1641" s="36"/>
      <c r="F1641" s="131" t="s">
        <v>4862</v>
      </c>
      <c r="G1641" s="59" t="s">
        <v>4863</v>
      </c>
      <c r="H1641" s="96" t="s">
        <v>4864</v>
      </c>
      <c r="I1641" s="131" t="s">
        <v>515</v>
      </c>
      <c r="J1641" s="31" t="str">
        <f>INDEX(数据元说明!A:F,MATCH(I1641,数据元说明!C:C,0),2)</f>
        <v>002016</v>
      </c>
      <c r="K1641" s="133" t="str">
        <f>INDEX(数据元说明!A:F,MATCH(I1641,数据元说明!C:C,0),5)</f>
        <v>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v>
      </c>
      <c r="L1641" s="31" t="str">
        <f>INDEX(数据元说明!A:F,MATCH(I1641,数据元说明!C:C,0),6)</f>
        <v>C..100</v>
      </c>
      <c r="M1641" s="133" t="s">
        <v>4830</v>
      </c>
      <c r="N1641" s="143" t="s">
        <v>57</v>
      </c>
      <c r="O1641" s="99"/>
      <c r="P1641" s="41"/>
    </row>
    <row r="1642" s="81" customFormat="1" ht="30" customHeight="1" outlineLevel="1" spans="1:16">
      <c r="A1642" s="134"/>
      <c r="B1642" s="47"/>
      <c r="C1642" s="39"/>
      <c r="D1642" s="39"/>
      <c r="E1642" s="47"/>
      <c r="F1642" s="169" t="s">
        <v>449</v>
      </c>
      <c r="G1642" s="148" t="s">
        <v>1571</v>
      </c>
      <c r="H1642" s="148" t="s">
        <v>4865</v>
      </c>
      <c r="I1642" s="169" t="s">
        <v>449</v>
      </c>
      <c r="J1642" s="170" t="str">
        <f>INDEX(数据元说明!A:F,MATCH(I1642,数据元说明!C:C,0),2)</f>
        <v>001040</v>
      </c>
      <c r="K1642" s="171" t="str">
        <f>INDEX(数据元说明!A:F,MATCH(I1642,数据元说明!C:C,0),5)</f>
        <v>银行自定义。</v>
      </c>
      <c r="L1642" s="170" t="str">
        <f>INDEX(数据元说明!A:F,MATCH(I1642,数据元说明!C:C,0),6)</f>
        <v>C..600</v>
      </c>
      <c r="M1642" s="149" t="s">
        <v>1573</v>
      </c>
      <c r="N1642" s="143" t="s">
        <v>57</v>
      </c>
      <c r="O1642" s="173"/>
      <c r="P1642" s="173"/>
    </row>
    <row r="1643" ht="30" customHeight="1" outlineLevel="1" spans="1:16">
      <c r="E1643" s="94"/>
      <c r="F1643" s="97" t="s">
        <v>1574</v>
      </c>
      <c r="G1643" s="262" t="s">
        <v>1575</v>
      </c>
      <c r="H1643" s="96" t="s">
        <v>4866</v>
      </c>
      <c r="I1643" s="97" t="s">
        <v>302</v>
      </c>
      <c r="J1643" s="29" t="str">
        <f>INDEX(数据元说明!A:F,MATCH(I1643,数据元说明!C:C,0),2)</f>
        <v>001005</v>
      </c>
      <c r="K1643" s="98" t="str">
        <f>INDEX(数据元说明!A:F,MATCH(I1643,数据元说明!C:C,0),5)</f>
        <v>YYYYMMDD，默认值99991231。</v>
      </c>
      <c r="L1643" s="29" t="str">
        <f>INDEX(数据元说明!A:F,MATCH(I1643,数据元说明!C:C,0),6)</f>
        <v>C8</v>
      </c>
      <c r="M1643" s="98" t="s">
        <v>1577</v>
      </c>
    </row>
    <row r="1644" s="61" customFormat="1" ht="30" customHeight="1" spans="1:16">
      <c r="A1644" s="249"/>
      <c r="B1644" s="52"/>
      <c r="C1644" s="50" t="s">
        <v>242</v>
      </c>
      <c r="D1644" s="51" t="s">
        <v>243</v>
      </c>
      <c r="E1644" s="126">
        <v>1103</v>
      </c>
      <c r="F1644" s="251"/>
      <c r="G1644" s="261"/>
      <c r="H1644" s="126"/>
      <c r="I1644" s="251"/>
      <c r="J1644" s="53"/>
      <c r="K1644" s="252"/>
      <c r="L1644" s="53"/>
      <c r="M1644" s="128" t="str">
        <f>INDEX(表结构总览!E:H,MATCH(D1644,表结构总览!E:E,0),4)</f>
        <v>填报在阶段开始日到结束日之间，银行发生的自营资金交易，业务范围参考《自营报送范围》，其中债券与同业投资部分填报口径与1104报表G31一致。同一金融工具当月发生当月结清的数据也需要报送，买入与卖出操作按不同笔次分别填报。票据业务（包含贴现和转贴现）不在本表填报。对于衍生品交易，合约交易与实物交割应该分别填报，交割时按合约规定交易物的即期交易报送，涉及远期、掉期的合约交易仅报送一笔远端信息。同业往来大类下的同业存放业务在对公存款分户账及分户账明细报表中报送，不在本表报送。</v>
      </c>
      <c r="N1644" s="198" t="s">
        <v>25</v>
      </c>
      <c r="O1644" s="198" t="s">
        <v>449</v>
      </c>
      <c r="P1644" s="41"/>
    </row>
    <row r="1645" s="61" customFormat="1" ht="30" customHeight="1" spans="1:16">
      <c r="A1645" s="130"/>
      <c r="B1645" s="36"/>
      <c r="C1645" s="25"/>
      <c r="D1645" s="25"/>
      <c r="E1645" s="36"/>
      <c r="F1645" s="131" t="s">
        <v>325</v>
      </c>
      <c r="G1645" s="59" t="s">
        <v>1520</v>
      </c>
      <c r="H1645" s="132" t="s">
        <v>4867</v>
      </c>
      <c r="I1645" s="131" t="s">
        <v>325</v>
      </c>
      <c r="J1645" s="31" t="str">
        <f>INDEX(数据元说明!A:F,MATCH(I1645,数据元说明!C:C,0),2)</f>
        <v>001010</v>
      </c>
      <c r="K1645" s="133" t="str">
        <f>INDEX(数据元说明!A:F,MATCH(I1645,数据元说明!C:C,0),5)</f>
        <v>12位人行支付行号或SWIFT行号。</v>
      </c>
      <c r="L1645" s="31" t="str">
        <f>INDEX(数据元说明!A:F,MATCH(I1645,数据元说明!C:C,0),6)</f>
        <v>C..30</v>
      </c>
      <c r="M1645" s="133" t="s">
        <v>1579</v>
      </c>
      <c r="N1645" s="33"/>
      <c r="O1645" s="99"/>
      <c r="P1645" s="41"/>
    </row>
    <row r="1646" s="61" customFormat="1" ht="30" customHeight="1" spans="1:16">
      <c r="A1646" s="130"/>
      <c r="B1646" s="36"/>
      <c r="C1646" s="25"/>
      <c r="D1646" s="25"/>
      <c r="E1646" s="36"/>
      <c r="F1646" s="131" t="s">
        <v>333</v>
      </c>
      <c r="G1646" s="59" t="s">
        <v>1523</v>
      </c>
      <c r="H1646" s="132" t="s">
        <v>4868</v>
      </c>
      <c r="I1646" s="131" t="s">
        <v>333</v>
      </c>
      <c r="J1646" s="31" t="str">
        <f>INDEX(数据元说明!A:F,MATCH(I1646,数据元说明!C:C,0),2)</f>
        <v>001012</v>
      </c>
      <c r="K1646" s="133" t="str">
        <f>INDEX(数据元说明!A:F,MATCH(I1646,数据元说明!C:C,0),5)</f>
        <v>银行内部机构号。应具有标识机构的唯一性。</v>
      </c>
      <c r="L1646" s="31" t="str">
        <f>INDEX(数据元说明!A:F,MATCH(I1646,数据元说明!C:C,0),6)</f>
        <v>C..30</v>
      </c>
      <c r="M1646" s="133" t="s">
        <v>1834</v>
      </c>
      <c r="N1646" s="33"/>
      <c r="O1646" s="99"/>
      <c r="P1646" s="41"/>
    </row>
    <row r="1647" s="81" customFormat="1" ht="30" customHeight="1" outlineLevel="1" spans="1:16">
      <c r="A1647" s="134"/>
      <c r="B1647" s="47"/>
      <c r="C1647" s="39"/>
      <c r="D1647" s="39"/>
      <c r="E1647" s="47"/>
      <c r="F1647" s="135" t="s">
        <v>329</v>
      </c>
      <c r="G1647" s="136" t="s">
        <v>1526</v>
      </c>
      <c r="H1647" s="137" t="s">
        <v>4869</v>
      </c>
      <c r="I1647" s="135" t="s">
        <v>329</v>
      </c>
      <c r="J1647" s="136" t="str">
        <f>INDEX(数据元说明!A:F,MATCH(I1647,数据元说明!C:C,0),2)</f>
        <v>001011</v>
      </c>
      <c r="K1647" s="138" t="str">
        <f>INDEX(数据元说明!A:F,MATCH(I1647,数据元说明!C:C,0),5)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647" s="136" t="str">
        <f>INDEX(数据元说明!A:F,MATCH(I1647,数据元说明!C:C,0),6)</f>
        <v>C..30</v>
      </c>
      <c r="M1647" s="138" t="s">
        <v>3204</v>
      </c>
      <c r="N1647" s="259"/>
      <c r="O1647" s="140"/>
      <c r="P1647" s="140"/>
    </row>
    <row r="1648" s="61" customFormat="1" ht="30" customHeight="1" spans="1:16">
      <c r="A1648" s="130"/>
      <c r="B1648" s="36"/>
      <c r="C1648" s="25"/>
      <c r="D1648" s="25"/>
      <c r="E1648" s="36"/>
      <c r="F1648" s="135" t="s">
        <v>1532</v>
      </c>
      <c r="G1648" s="245" t="s">
        <v>1533</v>
      </c>
      <c r="H1648" s="137" t="s">
        <v>4870</v>
      </c>
      <c r="I1648" s="135" t="s">
        <v>282</v>
      </c>
      <c r="J1648" s="136" t="str">
        <f>INDEX(数据元说明!A:F,MATCH(I1648,数据元说明!C:C,0),2)</f>
        <v>001001</v>
      </c>
      <c r="K1648" s="138" t="str">
        <f>INDEX(数据元说明!A:F,MATCH(I1648,数据元说明!C:C,0),5)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48" s="136" t="str">
        <f>INDEX(数据元说明!A:F,MATCH(I1648,数据元说明!C:C,0),6)</f>
        <v>C..400</v>
      </c>
      <c r="M1648" s="138" t="s">
        <v>1584</v>
      </c>
      <c r="N1648" s="139" t="s">
        <v>25</v>
      </c>
      <c r="O1648" s="139" t="s">
        <v>280</v>
      </c>
      <c r="P1648" s="205"/>
    </row>
    <row r="1649" s="81" customFormat="1" ht="30" customHeight="1" outlineLevel="1" spans="1:16">
      <c r="A1649" s="167"/>
      <c r="B1649" s="168"/>
      <c r="C1649" s="176"/>
      <c r="D1649" s="176"/>
      <c r="E1649" s="168"/>
      <c r="F1649" s="157" t="s">
        <v>2325</v>
      </c>
      <c r="G1649" s="43" t="s">
        <v>2326</v>
      </c>
      <c r="H1649" s="137" t="s">
        <v>4871</v>
      </c>
      <c r="I1649" s="135" t="s">
        <v>574</v>
      </c>
      <c r="J1649" s="43" t="str">
        <f>INDEX(数据元说明!A:F,MATCH(I1649,数据元说明!C:C,0),2)</f>
        <v>003002</v>
      </c>
      <c r="K1649" s="158" t="str">
        <f>INDEX(数据元说明!A:F,MATCH(I1649,数据元说明!C:C,0),5)</f>
        <v>机构实际使用的总账会计科目编码。</v>
      </c>
      <c r="L1649" s="43" t="str">
        <f>INDEX(数据元说明!A:F,MATCH(I1649,数据元说明!C:C,0),6)</f>
        <v>C..200</v>
      </c>
      <c r="M1649" s="138" t="s">
        <v>2328</v>
      </c>
      <c r="N1649" s="164" t="s">
        <v>57</v>
      </c>
      <c r="O1649" s="140"/>
      <c r="P1649" s="139"/>
    </row>
    <row r="1650" s="81" customFormat="1" ht="30" customHeight="1" outlineLevel="1" spans="1:16">
      <c r="A1650" s="167"/>
      <c r="B1650" s="168"/>
      <c r="C1650" s="176"/>
      <c r="D1650" s="176"/>
      <c r="E1650" s="168"/>
      <c r="F1650" s="157" t="s">
        <v>2329</v>
      </c>
      <c r="G1650" s="43" t="s">
        <v>2330</v>
      </c>
      <c r="H1650" s="137" t="s">
        <v>4872</v>
      </c>
      <c r="I1650" s="135" t="s">
        <v>578</v>
      </c>
      <c r="J1650" s="43" t="str">
        <f>INDEX(数据元说明!A:F,MATCH(I1650,数据元说明!C:C,0),2)</f>
        <v>003003</v>
      </c>
      <c r="K1650" s="158" t="str">
        <f>INDEX(数据元说明!A:F,MATCH(I1650,数据元说明!C:C,0),5)</f>
        <v>机构实际使用的总账会计科目编码对应的名称。</v>
      </c>
      <c r="L1650" s="43" t="str">
        <f>INDEX(数据元说明!A:F,MATCH(I1650,数据元说明!C:C,0),6)</f>
        <v>C..200</v>
      </c>
      <c r="M1650" s="138" t="s">
        <v>2328</v>
      </c>
      <c r="N1650" s="164" t="s">
        <v>57</v>
      </c>
      <c r="O1650" s="140"/>
      <c r="P1650" s="139"/>
    </row>
    <row r="1651" s="61" customFormat="1" ht="30" customHeight="1" spans="1:16">
      <c r="A1651" s="130"/>
      <c r="B1651" s="36"/>
      <c r="C1651" s="25"/>
      <c r="D1651" s="25"/>
      <c r="E1651" s="36"/>
      <c r="F1651" s="267" t="s">
        <v>1082</v>
      </c>
      <c r="G1651" s="31" t="s">
        <v>4873</v>
      </c>
      <c r="H1651" s="132" t="s">
        <v>4874</v>
      </c>
      <c r="I1651" s="131" t="s">
        <v>1082</v>
      </c>
      <c r="J1651" s="31" t="str">
        <f>INDEX(数据元说明!A:F,MATCH(I1651,数据元说明!C:C,0),2)</f>
        <v>009001</v>
      </c>
      <c r="K1651" s="131" t="str">
        <f>INDEX(数据元说明!A:F,MATCH(I1651,数据元说明!C:C,0),5)</f>
        <v>银行账户，交易账户。</v>
      </c>
      <c r="L1651" s="31" t="str">
        <f>INDEX(数据元说明!A:F,MATCH(I1651,数据元说明!C:C,0),6)</f>
        <v>C12</v>
      </c>
      <c r="M1651" s="133"/>
      <c r="N1651" s="33"/>
      <c r="O1651" s="99"/>
      <c r="P1651" s="41"/>
    </row>
    <row r="1652" s="61" customFormat="1" ht="30" customHeight="1" spans="1:16">
      <c r="A1652" s="130"/>
      <c r="B1652" s="36"/>
      <c r="C1652" s="25"/>
      <c r="D1652" s="25"/>
      <c r="E1652" s="36"/>
      <c r="F1652" s="131" t="s">
        <v>1113</v>
      </c>
      <c r="G1652" s="59" t="s">
        <v>4641</v>
      </c>
      <c r="H1652" s="132" t="s">
        <v>4875</v>
      </c>
      <c r="I1652" s="131" t="s">
        <v>1113</v>
      </c>
      <c r="J1652" s="409" t="str">
        <f>INDEX(数据元说明!A:F,MATCH(I1652,数据元说明!C:C,0),2)</f>
        <v>010005</v>
      </c>
      <c r="K1652" s="133" t="str">
        <f>INDEX(数据元说明!A:F,MATCH(I1652,数据元说明!C:C,0),5)</f>
        <v>识别交易的唯一编号，可以是合同号、成交编号或者其他自定义的编号。</v>
      </c>
      <c r="L1652" s="31" t="str">
        <f>INDEX(数据元说明!A:F,MATCH(I1652,数据元说明!C:C,0),6)</f>
        <v>C..40</v>
      </c>
      <c r="M1652" s="133" t="s">
        <v>1587</v>
      </c>
      <c r="N1652" s="33"/>
      <c r="O1652" s="99"/>
      <c r="P1652" s="41"/>
    </row>
    <row r="1653" s="61" customFormat="1" ht="30" customHeight="1" spans="1:16">
      <c r="A1653" s="130"/>
      <c r="B1653" s="36"/>
      <c r="C1653" s="25"/>
      <c r="D1653" s="139"/>
      <c r="E1653" s="36"/>
      <c r="F1653" s="135" t="s">
        <v>1097</v>
      </c>
      <c r="G1653" s="245" t="s">
        <v>4779</v>
      </c>
      <c r="H1653" s="137" t="s">
        <v>4876</v>
      </c>
      <c r="I1653" s="135" t="s">
        <v>1097</v>
      </c>
      <c r="J1653" s="406" t="str">
        <f>INDEX(数据元说明!A:F,MATCH(I1653,数据元说明!C:C,0),2)</f>
        <v>010001</v>
      </c>
      <c r="K1653" s="138" t="str">
        <f>INDEX(数据元说明!A:F,MATCH(I1653,数据元说明!C:C,0),5)</f>
        <v>能在表内唯一识别金融工具的编号，包括但不限于标准化或非标准化金融产品。在中登公司有登记的金融产品，需填报在中登公司记录的正确编号，如果不是标准产品，则由银行自定义。</v>
      </c>
      <c r="L1653" s="136" t="str">
        <f>INDEX(数据元说明!A:F,MATCH(I1653,数据元说明!C:C,0),6)</f>
        <v>C..60</v>
      </c>
      <c r="M1653" s="138" t="s">
        <v>4877</v>
      </c>
      <c r="N1653" s="139" t="s">
        <v>57</v>
      </c>
      <c r="P1653" s="41"/>
    </row>
    <row r="1654" s="61" customFormat="1" ht="30" customHeight="1" spans="1:16">
      <c r="A1654" s="130"/>
      <c r="B1654" s="36"/>
      <c r="C1654" s="25"/>
      <c r="D1654" s="139"/>
      <c r="E1654" s="36"/>
      <c r="F1654" s="135" t="s">
        <v>1101</v>
      </c>
      <c r="G1654" s="245" t="s">
        <v>4782</v>
      </c>
      <c r="H1654" s="137" t="s">
        <v>4878</v>
      </c>
      <c r="I1654" s="135" t="s">
        <v>1101</v>
      </c>
      <c r="J1654" s="406" t="str">
        <f>INDEX(数据元说明!A:F,MATCH(I1654,数据元说明!C:C,0),2)</f>
        <v>010002</v>
      </c>
      <c r="K1654" s="138" t="str">
        <f>INDEX(数据元说明!A:F,MATCH(I1654,数据元说明!C:C,0),5)</f>
        <v>金融产品名称，包括但不限于标准化或非标准化金融产品。如果不是标准产品，则由银行自定义。</v>
      </c>
      <c r="L1654" s="136" t="str">
        <f>INDEX(数据元说明!A:F,MATCH(I1654,数据元说明!C:C,0),6)</f>
        <v>C..200</v>
      </c>
      <c r="M1654" s="138" t="s">
        <v>4879</v>
      </c>
      <c r="N1654" s="139" t="s">
        <v>57</v>
      </c>
      <c r="P1654" s="41"/>
    </row>
    <row r="1655" s="81" customFormat="1" ht="30" customHeight="1" spans="1:16">
      <c r="A1655" s="134"/>
      <c r="B1655" s="47"/>
      <c r="C1655" s="39"/>
      <c r="D1655" s="139"/>
      <c r="E1655" s="47"/>
      <c r="F1655" s="135" t="s">
        <v>1206</v>
      </c>
      <c r="G1655" s="245" t="s">
        <v>4880</v>
      </c>
      <c r="H1655" s="137" t="s">
        <v>4881</v>
      </c>
      <c r="I1655" s="135" t="s">
        <v>1206</v>
      </c>
      <c r="J1655" s="406" t="str">
        <f>INDEX(数据元说明!A:F,MATCH(I1655,数据元说明!C:C,0),2)</f>
        <v>010028</v>
      </c>
      <c r="K1655" s="138" t="str">
        <f>INDEX(数据元说明!A:F,MATCH(I1655,数据元说明!C:C,0),5)</f>
        <v>同《自营报送范围》中的“业务大类”清单，其中债券与同业投资部分与1104报表G31的产品种类一致，不可自定义修改。</v>
      </c>
      <c r="L1655" s="136" t="str">
        <f>INDEX(数据元说明!A:F,MATCH(I1655,数据元说明!C:C,0),6)</f>
        <v>C..60</v>
      </c>
      <c r="M1655" s="138"/>
      <c r="N1655" s="164" t="s">
        <v>57</v>
      </c>
      <c r="P1655" s="205"/>
    </row>
    <row r="1656" s="61" customFormat="1" ht="53" customHeight="1" spans="1:16">
      <c r="A1656" s="130"/>
      <c r="B1656" s="36"/>
      <c r="C1656" s="25"/>
      <c r="D1656" s="25"/>
      <c r="E1656" s="36"/>
      <c r="F1656" s="131" t="s">
        <v>1210</v>
      </c>
      <c r="G1656" s="59" t="s">
        <v>4482</v>
      </c>
      <c r="H1656" s="132" t="s">
        <v>4882</v>
      </c>
      <c r="I1656" s="131" t="s">
        <v>1210</v>
      </c>
      <c r="J1656" s="409" t="str">
        <f>INDEX(数据元说明!A:F,MATCH(I1656,数据元说明!C:C,0),2)</f>
        <v>010029</v>
      </c>
      <c r="K1656" s="133" t="str">
        <f>INDEX(数据元说明!A:F,MATCH(I1656,数据元说明!C:C,0),5)</f>
        <v>同《自营报送范围》中的“业务中类”清单，其中债券与同业投资部分与1104报表G31的产品种类一致，不可自定义修改。</v>
      </c>
      <c r="L1656" s="31" t="str">
        <f>INDEX(数据元说明!A:F,MATCH(I1656,数据元说明!C:C,0),6)</f>
        <v>C..60</v>
      </c>
      <c r="M1656" s="133"/>
      <c r="N1656" s="220"/>
      <c r="O1656" s="268"/>
      <c r="P1656" s="41"/>
    </row>
    <row r="1657" s="61" customFormat="1" ht="30" customHeight="1" spans="1:16">
      <c r="A1657" s="130"/>
      <c r="B1657" s="36"/>
      <c r="C1657" s="25"/>
      <c r="D1657" s="25"/>
      <c r="E1657" s="36"/>
      <c r="F1657" s="131" t="s">
        <v>1214</v>
      </c>
      <c r="G1657" s="59" t="s">
        <v>4883</v>
      </c>
      <c r="H1657" s="132" t="s">
        <v>4884</v>
      </c>
      <c r="I1657" s="131" t="s">
        <v>1214</v>
      </c>
      <c r="J1657" s="409" t="str">
        <f>INDEX(数据元说明!A:F,MATCH(I1657,数据元说明!C:C,0),2)</f>
        <v>010030</v>
      </c>
      <c r="K1657" s="133" t="str">
        <f>INDEX(数据元说明!A:F,MATCH(I1657,数据元说明!C:C,0),5)</f>
        <v>同《自营报送范围》中的“业务小类”清单，其中债券与同业投资部分与1104报表G31的产品种类一致，不可自定义修改。</v>
      </c>
      <c r="L1657" s="31" t="str">
        <f>INDEX(数据元说明!A:F,MATCH(I1657,数据元说明!C:C,0),6)</f>
        <v>C..60</v>
      </c>
      <c r="M1657" s="133"/>
      <c r="N1657" s="220"/>
      <c r="O1657" s="268"/>
      <c r="P1657" s="41"/>
    </row>
    <row r="1658" s="61" customFormat="1" ht="30" customHeight="1" spans="1:16">
      <c r="A1658" s="130"/>
      <c r="B1658" s="36"/>
      <c r="C1658" s="25"/>
      <c r="D1658" s="25"/>
      <c r="E1658" s="36"/>
      <c r="F1658" s="131" t="s">
        <v>739</v>
      </c>
      <c r="G1658" s="59" t="s">
        <v>4703</v>
      </c>
      <c r="H1658" s="132" t="s">
        <v>4885</v>
      </c>
      <c r="I1658" s="131" t="s">
        <v>739</v>
      </c>
      <c r="J1658" s="31" t="str">
        <f>INDEX(数据元说明!A:F,MATCH(I1658,数据元说明!C:C,0),2)</f>
        <v>005001</v>
      </c>
      <c r="K1658" s="133" t="str">
        <f>INDEX(数据元说明!A:F,MATCH(I1658,数据元说明!C:C,0),5)</f>
        <v>银行内部产品中文名称，银行自定义。</v>
      </c>
      <c r="L1658" s="31" t="str">
        <f>INDEX(数据元说明!A:F,MATCH(I1658,数据元说明!C:C,0),6)</f>
        <v>C..200</v>
      </c>
      <c r="M1658" s="133"/>
      <c r="N1658" s="33"/>
      <c r="O1658" s="99"/>
      <c r="P1658" s="41"/>
    </row>
    <row r="1659" s="81" customFormat="1" ht="53" spans="1:16">
      <c r="A1659" s="134"/>
      <c r="B1659" s="47"/>
      <c r="C1659" s="39"/>
      <c r="D1659" s="39"/>
      <c r="E1659" s="47"/>
      <c r="F1659" s="135" t="s">
        <v>3437</v>
      </c>
      <c r="G1659" s="245" t="s">
        <v>3438</v>
      </c>
      <c r="H1659" s="137" t="s">
        <v>4886</v>
      </c>
      <c r="I1659" s="135" t="s">
        <v>1129</v>
      </c>
      <c r="J1659" s="406" t="str">
        <f>INDEX(数据元说明!A:F,MATCH(I1659,数据元说明!C:C,0),2)</f>
        <v>010009</v>
      </c>
      <c r="K1659" s="138" t="str">
        <f>INDEX(数据元说明!A:F,MATCH(I1659,数据元说明!C:C,0),5)</f>
        <v>买入，卖出。</v>
      </c>
      <c r="L1659" s="136" t="str">
        <f>INDEX(数据元说明!A:F,MATCH(I1659,数据元说明!C:C,0),6)</f>
        <v>C6</v>
      </c>
      <c r="M1659" s="138" t="s">
        <v>4887</v>
      </c>
      <c r="N1659" s="140" t="s">
        <v>25</v>
      </c>
      <c r="O1659" s="139" t="s">
        <v>1516</v>
      </c>
      <c r="P1659" s="205"/>
    </row>
    <row r="1660" s="35" customFormat="1" ht="30" customHeight="1" outlineLevel="1" spans="1:16">
      <c r="A1660" s="93"/>
      <c r="B1660" s="94"/>
      <c r="C1660" s="95"/>
      <c r="D1660" s="95"/>
      <c r="E1660" s="94"/>
      <c r="F1660" s="158" t="s">
        <v>4707</v>
      </c>
      <c r="G1660" s="245" t="s">
        <v>4708</v>
      </c>
      <c r="H1660" s="137" t="s">
        <v>4888</v>
      </c>
      <c r="I1660" s="158" t="s">
        <v>624</v>
      </c>
      <c r="J1660" s="213" t="str">
        <f>INDEX(数据元说明!A:F,MATCH(I1660,数据元说明!C:C,0),2)</f>
        <v>003014</v>
      </c>
      <c r="K1660" s="158" t="str">
        <f>INDEX(数据元说明!A:F,MATCH(I1660,数据元说明!C:C,0),5)</f>
        <v>遵循《GB/T 12406 表示货币和资金的代码》的字母代码，如CNY。上述文件所列币种无法涵盖的，允许银行自定义填报。多个币种合计折算为人民币（本外币合计）的，填报为BWB。</v>
      </c>
      <c r="L1660" s="213" t="str">
        <f>INDEX(数据元说明!A:F,MATCH(I1660,数据元说明!C:C,0),6)</f>
        <v>C3</v>
      </c>
      <c r="M1660" s="138" t="s">
        <v>4710</v>
      </c>
      <c r="N1660" s="143" t="s">
        <v>57</v>
      </c>
      <c r="O1660" s="140"/>
      <c r="P1660" s="259"/>
    </row>
    <row r="1661" s="35" customFormat="1" ht="30" customHeight="1" outlineLevel="1" spans="1:16">
      <c r="A1661" s="93"/>
      <c r="B1661" s="94"/>
      <c r="C1661" s="95"/>
      <c r="D1661" s="95"/>
      <c r="E1661" s="94"/>
      <c r="F1661" s="158" t="s">
        <v>4711</v>
      </c>
      <c r="G1661" s="245" t="s">
        <v>4712</v>
      </c>
      <c r="H1661" s="137" t="s">
        <v>4889</v>
      </c>
      <c r="I1661" s="158" t="s">
        <v>609</v>
      </c>
      <c r="J1661" s="213" t="str">
        <f>INDEX(数据元说明!A:F,MATCH(I1661,数据元说明!C:C,0),2)</f>
        <v>003010</v>
      </c>
      <c r="K1661" s="158" t="str">
        <f>INDEX(数据元说明!A:F,MATCH(I1661,数据元说明!C:C,0),5)</f>
        <v>与币种相对应金额。</v>
      </c>
      <c r="L1661" s="213" t="str">
        <f>INDEX(数据元说明!A:F,MATCH(I1661,数据元说明!C:C,0),6)</f>
        <v>D20.2</v>
      </c>
      <c r="M1661" s="138" t="s">
        <v>4890</v>
      </c>
      <c r="N1661" s="143" t="s">
        <v>57</v>
      </c>
      <c r="O1661" s="140"/>
      <c r="P1661" s="259"/>
    </row>
    <row r="1662" s="81" customFormat="1" ht="36" spans="1:16">
      <c r="A1662" s="134"/>
      <c r="B1662" s="39"/>
      <c r="C1662" s="39"/>
      <c r="D1662" s="39"/>
      <c r="E1662" s="47"/>
      <c r="F1662" s="158" t="s">
        <v>4715</v>
      </c>
      <c r="G1662" s="245" t="s">
        <v>4716</v>
      </c>
      <c r="H1662" s="137" t="s">
        <v>4891</v>
      </c>
      <c r="I1662" s="135" t="s">
        <v>660</v>
      </c>
      <c r="J1662" s="136" t="str">
        <f>INDEX(数据元说明!A:F,MATCH(I1662,数据元说明!C:C,0),2)</f>
        <v>003023</v>
      </c>
      <c r="K1662" s="138" t="str">
        <f>INDEX(数据元说明!A:F,MATCH(I1662,数据元说明!C:C,0),5)</f>
        <v>百分比为单位，即%，如4.5%填报为4.5。</v>
      </c>
      <c r="L1662" s="136" t="str">
        <f>INDEX(数据元说明!A:F,MATCH(I1662,数据元说明!C:C,0),6)</f>
        <v>D10.4</v>
      </c>
      <c r="M1662" s="138" t="s">
        <v>4892</v>
      </c>
      <c r="N1662" s="140" t="s">
        <v>25</v>
      </c>
      <c r="O1662" s="139" t="s">
        <v>449</v>
      </c>
      <c r="P1662" s="205"/>
    </row>
    <row r="1663" s="35" customFormat="1" ht="30" customHeight="1" outlineLevel="1" spans="1:16">
      <c r="A1663" s="93"/>
      <c r="B1663" s="94"/>
      <c r="C1663" s="95"/>
      <c r="D1663" s="95"/>
      <c r="E1663" s="94"/>
      <c r="F1663" s="158" t="s">
        <v>4651</v>
      </c>
      <c r="G1663" s="245" t="s">
        <v>4652</v>
      </c>
      <c r="H1663" s="137" t="s">
        <v>4893</v>
      </c>
      <c r="I1663" s="138" t="s">
        <v>302</v>
      </c>
      <c r="J1663" s="213" t="str">
        <f>INDEX(数据元说明!A:F,MATCH(I1663,数据元说明!C:C,0),2)</f>
        <v>001005</v>
      </c>
      <c r="K1663" s="158" t="str">
        <f>INDEX(数据元说明!A:F,MATCH(I1663,数据元说明!C:C,0),5)</f>
        <v>YYYYMMDD，默认值99991231。</v>
      </c>
      <c r="L1663" s="257" t="s">
        <v>305</v>
      </c>
      <c r="M1663" s="138"/>
      <c r="N1663" s="143" t="s">
        <v>57</v>
      </c>
      <c r="O1663" s="140"/>
      <c r="P1663" s="259"/>
    </row>
    <row r="1664" s="81" customFormat="1" ht="30" customHeight="1" outlineLevel="1" spans="1:16">
      <c r="A1664" s="167"/>
      <c r="B1664" s="168"/>
      <c r="C1664" s="176"/>
      <c r="D1664" s="176"/>
      <c r="E1664" s="155"/>
      <c r="F1664" s="158" t="s">
        <v>2913</v>
      </c>
      <c r="G1664" s="43" t="s">
        <v>3584</v>
      </c>
      <c r="H1664" s="137" t="s">
        <v>4894</v>
      </c>
      <c r="I1664" s="157" t="s">
        <v>302</v>
      </c>
      <c r="J1664" s="43" t="str">
        <f>INDEX(数据元说明!A:F,MATCH(I1664,数据元说明!C:C,0),2)</f>
        <v>001005</v>
      </c>
      <c r="K1664" s="158" t="str">
        <f>INDEX(数据元说明!A:F,MATCH(I1664,数据元说明!C:C,0),5)</f>
        <v>YYYYMMDD，默认值99991231。</v>
      </c>
      <c r="L1664" s="43" t="str">
        <f>INDEX(数据元说明!A:F,MATCH(I1664,数据元说明!C:C,0),6)</f>
        <v>C8</v>
      </c>
      <c r="M1664" s="158" t="s">
        <v>4721</v>
      </c>
      <c r="N1664" s="164" t="s">
        <v>57</v>
      </c>
      <c r="O1664" s="139"/>
      <c r="P1664" s="139"/>
    </row>
    <row r="1665" s="81" customFormat="1" ht="30" customHeight="1" outlineLevel="1" spans="1:16">
      <c r="A1665" s="167"/>
      <c r="B1665" s="168"/>
      <c r="C1665" s="176"/>
      <c r="D1665" s="176"/>
      <c r="E1665" s="155"/>
      <c r="F1665" s="158" t="s">
        <v>2917</v>
      </c>
      <c r="G1665" s="43" t="s">
        <v>2918</v>
      </c>
      <c r="H1665" s="137" t="s">
        <v>4895</v>
      </c>
      <c r="I1665" s="157" t="s">
        <v>302</v>
      </c>
      <c r="J1665" s="43" t="str">
        <f>INDEX(数据元说明!A:F,MATCH(I1665,数据元说明!C:C,0),2)</f>
        <v>001005</v>
      </c>
      <c r="K1665" s="158" t="str">
        <f>INDEX(数据元说明!A:F,MATCH(I1665,数据元说明!C:C,0),5)</f>
        <v>YYYYMMDD，默认值99991231。</v>
      </c>
      <c r="L1665" s="43" t="str">
        <f>INDEX(数据元说明!A:F,MATCH(I1665,数据元说明!C:C,0),6)</f>
        <v>C8</v>
      </c>
      <c r="M1665" s="158" t="s">
        <v>4723</v>
      </c>
      <c r="N1665" s="143" t="s">
        <v>57</v>
      </c>
      <c r="O1665" s="140"/>
      <c r="P1665" s="140"/>
    </row>
    <row r="1666" s="81" customFormat="1" ht="30" customHeight="1" outlineLevel="1" spans="1:16">
      <c r="A1666" s="167"/>
      <c r="B1666" s="168"/>
      <c r="C1666" s="176"/>
      <c r="D1666" s="176"/>
      <c r="E1666" s="155"/>
      <c r="F1666" s="158" t="s">
        <v>4896</v>
      </c>
      <c r="G1666" s="43" t="s">
        <v>4897</v>
      </c>
      <c r="H1666" s="137" t="s">
        <v>4898</v>
      </c>
      <c r="I1666" s="157" t="s">
        <v>570</v>
      </c>
      <c r="J1666" s="43" t="str">
        <f>INDEX(数据元说明!A:F,MATCH(I1666,数据元说明!C:C,0),2)</f>
        <v>003001</v>
      </c>
      <c r="K1666" s="158" t="str">
        <f>INDEX(数据元说明!A:F,MATCH(I1666,数据元说明!C:C,0),5)</f>
        <v>系统内最细一级的账号，无唯一性约束，不需要和序号、子序号等做拼接。</v>
      </c>
      <c r="L1666" s="43" t="str">
        <f>INDEX(数据元说明!A:F,MATCH(I1666,数据元说明!C:C,0),6)</f>
        <v>C..60</v>
      </c>
      <c r="M1666" s="158" t="s">
        <v>4899</v>
      </c>
      <c r="N1666" s="143" t="s">
        <v>25</v>
      </c>
      <c r="O1666" s="140" t="s">
        <v>449</v>
      </c>
      <c r="P1666" s="140"/>
    </row>
    <row r="1667" s="35" customFormat="1" ht="30" customHeight="1" outlineLevel="1" spans="1:16">
      <c r="A1667" s="93"/>
      <c r="B1667" s="94"/>
      <c r="C1667" s="95"/>
      <c r="D1667" s="95"/>
      <c r="E1667" s="94"/>
      <c r="F1667" s="158" t="s">
        <v>1493</v>
      </c>
      <c r="G1667" s="245" t="s">
        <v>4724</v>
      </c>
      <c r="H1667" s="137" t="s">
        <v>4900</v>
      </c>
      <c r="I1667" s="138" t="s">
        <v>1493</v>
      </c>
      <c r="J1667" s="410" t="str">
        <f>INDEX(数据元说明!A:F,MATCH(I1667,数据元说明!C:C,0),2)</f>
        <v>010099</v>
      </c>
      <c r="K1667" s="158" t="str">
        <f>INDEX(数据元说明!A:F,MATCH(I1667,数据元说明!C:C,0),5)</f>
        <v>政府机关，银行业金融机构，非银行业金融机构，境外金融机构，公司客户，个人客户。</v>
      </c>
      <c r="L1667" s="257" t="s">
        <v>323</v>
      </c>
      <c r="M1667" s="158"/>
      <c r="N1667" s="143" t="s">
        <v>57</v>
      </c>
      <c r="O1667" s="140"/>
      <c r="P1667" s="259"/>
    </row>
    <row r="1668" s="35" customFormat="1" ht="30" customHeight="1" outlineLevel="1" spans="1:16">
      <c r="A1668" s="93"/>
      <c r="B1668" s="94"/>
      <c r="C1668" s="95"/>
      <c r="D1668" s="95"/>
      <c r="E1668" s="94"/>
      <c r="F1668" s="158" t="s">
        <v>3474</v>
      </c>
      <c r="G1668" s="245" t="s">
        <v>3475</v>
      </c>
      <c r="H1668" s="137" t="s">
        <v>4901</v>
      </c>
      <c r="I1668" s="138" t="s">
        <v>628</v>
      </c>
      <c r="J1668" s="213" t="str">
        <f>INDEX(数据元说明!A:F,MATCH(I1668,数据元说明!C:C,0),2)</f>
        <v>003015</v>
      </c>
      <c r="K1668" s="158" t="str">
        <f>INDEX(数据元说明!A:F,MATCH(I1668,数据元说明!C:C,0),5)</f>
        <v>账户归属者的名称。如果客户为个人，则为隐私，银行机构变形，变形规则见《采集技术接口说明》。客户是境内涉密机构的，账户名称填报为“*********”。其他情况，则为非隐私，不做变形。</v>
      </c>
      <c r="L1668" s="257" t="s">
        <v>356</v>
      </c>
      <c r="M1668" s="158" t="s">
        <v>4902</v>
      </c>
      <c r="N1668" s="143" t="s">
        <v>57</v>
      </c>
      <c r="O1668" s="140"/>
      <c r="P1668" s="259"/>
    </row>
    <row r="1669" s="35" customFormat="1" ht="30" customHeight="1" outlineLevel="1" spans="1:16">
      <c r="A1669" s="93"/>
      <c r="B1669" s="94"/>
      <c r="C1669" s="95"/>
      <c r="D1669" s="95"/>
      <c r="E1669" s="94"/>
      <c r="F1669" s="158" t="s">
        <v>4728</v>
      </c>
      <c r="G1669" s="245" t="s">
        <v>4729</v>
      </c>
      <c r="H1669" s="137" t="s">
        <v>4903</v>
      </c>
      <c r="I1669" s="138" t="s">
        <v>1133</v>
      </c>
      <c r="J1669" s="410" t="str">
        <f>INDEX(数据元说明!A:F,MATCH(I1669,数据元说明!C:C,0),2)</f>
        <v>010010</v>
      </c>
      <c r="K1669" s="158" t="str">
        <f>INDEX(数据元说明!A:F,MATCH(I1669,数据元说明!C:C,0),5)</f>
        <v>优先填报外部专业性的评级公司对融资人主体或资产的信用评级结果，如无，则由填报机构内部对融资人主体或资产的信用评级结果。</v>
      </c>
      <c r="L1669" s="257" t="s">
        <v>552</v>
      </c>
      <c r="M1669" s="158" t="s">
        <v>4904</v>
      </c>
      <c r="N1669" s="187" t="s">
        <v>25</v>
      </c>
      <c r="O1669" s="129" t="s">
        <v>275</v>
      </c>
      <c r="P1669" s="259"/>
    </row>
    <row r="1670" s="61" customFormat="1" ht="30" customHeight="1" spans="1:16">
      <c r="A1670" s="130"/>
      <c r="B1670" s="36"/>
      <c r="C1670" s="25"/>
      <c r="D1670" s="25"/>
      <c r="E1670" s="36"/>
      <c r="F1670" s="158" t="s">
        <v>4732</v>
      </c>
      <c r="G1670" s="245" t="s">
        <v>4733</v>
      </c>
      <c r="H1670" s="137" t="s">
        <v>4905</v>
      </c>
      <c r="I1670" s="135" t="s">
        <v>282</v>
      </c>
      <c r="J1670" s="136" t="str">
        <f>INDEX(数据元说明!A:F,MATCH(I1670,数据元说明!C:C,0),2)</f>
        <v>001001</v>
      </c>
      <c r="K1670" s="138" t="str">
        <f>INDEX(数据元说明!A:F,MATCH(I1670,数据元说明!C:C,0),5)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70" s="136" t="str">
        <f>INDEX(数据元说明!A:F,MATCH(I1670,数据元说明!C:C,0),6)</f>
        <v>C..400</v>
      </c>
      <c r="M1670" s="158"/>
      <c r="N1670" s="139" t="s">
        <v>25</v>
      </c>
      <c r="O1670" s="139" t="s">
        <v>280</v>
      </c>
      <c r="P1670" s="205"/>
    </row>
    <row r="1671" s="35" customFormat="1" ht="30" customHeight="1" outlineLevel="1" spans="1:16">
      <c r="A1671" s="93"/>
      <c r="B1671" s="94"/>
      <c r="C1671" s="95"/>
      <c r="D1671" s="95"/>
      <c r="E1671" s="94"/>
      <c r="F1671" s="158" t="s">
        <v>3963</v>
      </c>
      <c r="G1671" s="245" t="s">
        <v>4735</v>
      </c>
      <c r="H1671" s="137" t="s">
        <v>4906</v>
      </c>
      <c r="I1671" s="157" t="s">
        <v>697</v>
      </c>
      <c r="J1671" s="213" t="str">
        <f>INDEX(数据元说明!A:F,MATCH(I1671,数据元说明!C:C,0),2)</f>
        <v>003032</v>
      </c>
      <c r="K1671" s="158" t="str">
        <f>INDEX(数据元说明!A:F,MATCH(I1671,数据元说明!C:C,0),5)</f>
        <v>外部转账交易使用的账号。银行个人账户报送跟个人内部账号相对应的外部卡号、折号、单号或客户账号。对公活期账户报送活期存款账户对应的客户账号，对公定期报送与该业务绑定交易的客户账号。第三方平台账户报送第三方平台实际支付的账号。</v>
      </c>
      <c r="L1671" s="258" t="s">
        <v>385</v>
      </c>
      <c r="M1671" s="158" t="s">
        <v>4907</v>
      </c>
      <c r="N1671" s="143" t="s">
        <v>57</v>
      </c>
      <c r="O1671" s="140"/>
      <c r="P1671" s="259"/>
    </row>
    <row r="1672" s="35" customFormat="1" ht="30" customHeight="1" outlineLevel="1" spans="1:16">
      <c r="A1672" s="93"/>
      <c r="B1672" s="94"/>
      <c r="C1672" s="95"/>
      <c r="D1672" s="95"/>
      <c r="E1672" s="94"/>
      <c r="F1672" s="158" t="s">
        <v>4908</v>
      </c>
      <c r="G1672" s="245" t="s">
        <v>4909</v>
      </c>
      <c r="H1672" s="137" t="s">
        <v>4910</v>
      </c>
      <c r="I1672" s="222" t="s">
        <v>325</v>
      </c>
      <c r="J1672" s="213" t="str">
        <f>INDEX(数据元说明!A:F,MATCH(I1672,数据元说明!C:C,0),2)</f>
        <v>001010</v>
      </c>
      <c r="K1672" s="158" t="str">
        <f>INDEX(数据元说明!A:F,MATCH(I1672,数据元说明!C:C,0),5)</f>
        <v>12位人行支付行号或SWIFT行号。</v>
      </c>
      <c r="L1672" s="258" t="s">
        <v>323</v>
      </c>
      <c r="M1672" s="158"/>
      <c r="N1672" s="143" t="s">
        <v>57</v>
      </c>
      <c r="O1672" s="140"/>
      <c r="P1672" s="259"/>
    </row>
    <row r="1673" s="35" customFormat="1" ht="30" customHeight="1" outlineLevel="1" spans="1:16">
      <c r="A1673" s="93"/>
      <c r="B1673" s="94"/>
      <c r="C1673" s="95"/>
      <c r="D1673" s="95"/>
      <c r="E1673" s="94"/>
      <c r="F1673" s="158" t="s">
        <v>4911</v>
      </c>
      <c r="G1673" s="245" t="s">
        <v>4912</v>
      </c>
      <c r="H1673" s="137" t="s">
        <v>4913</v>
      </c>
      <c r="I1673" s="222" t="s">
        <v>282</v>
      </c>
      <c r="J1673" s="213" t="str">
        <f>INDEX(数据元说明!A:F,MATCH(I1673,数据元说明!C:C,0),2)</f>
        <v>001001</v>
      </c>
      <c r="K1673" s="158" t="str">
        <f>INDEX(数据元说明!A:F,MATCH(I1673,数据元说明!C:C,0),5)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73" s="258" t="s">
        <v>323</v>
      </c>
      <c r="M1673" s="158"/>
      <c r="N1673" s="143" t="s">
        <v>57</v>
      </c>
      <c r="O1673" s="140"/>
      <c r="P1673" s="259"/>
    </row>
    <row r="1674" s="81" customFormat="1" spans="1:16">
      <c r="A1674" s="134"/>
      <c r="B1674" s="47"/>
      <c r="C1674" s="39"/>
      <c r="D1674" s="39"/>
      <c r="E1674" s="47"/>
      <c r="F1674" s="158" t="s">
        <v>4914</v>
      </c>
      <c r="G1674" s="245" t="s">
        <v>4915</v>
      </c>
      <c r="H1674" s="137" t="s">
        <v>4916</v>
      </c>
      <c r="I1674" s="135" t="s">
        <v>287</v>
      </c>
      <c r="J1674" s="136" t="str">
        <f>INDEX(数据元说明!A:F,MATCH(I1674,数据元说明!C:C,0),2)</f>
        <v>001002</v>
      </c>
      <c r="K1674" s="138" t="str">
        <f>INDEX(数据元说明!A:F,MATCH(I1674,数据元说明!C:C,0),5)</f>
        <v>是，否。</v>
      </c>
      <c r="L1674" s="136" t="str">
        <f>INDEX(数据元说明!A:F,MATCH(I1674,数据元说明!C:C,0),6)</f>
        <v>C3</v>
      </c>
      <c r="M1674" s="158" t="s">
        <v>4917</v>
      </c>
      <c r="N1674" s="139" t="s">
        <v>57</v>
      </c>
      <c r="O1674" s="140"/>
      <c r="P1674" s="205"/>
    </row>
    <row r="1675" s="81" customFormat="1" ht="22" customHeight="1" spans="1:16">
      <c r="A1675" s="134"/>
      <c r="B1675" s="47"/>
      <c r="C1675" s="39"/>
      <c r="D1675" s="39"/>
      <c r="E1675" s="47"/>
      <c r="F1675" s="158" t="s">
        <v>3832</v>
      </c>
      <c r="G1675" s="245" t="s">
        <v>3833</v>
      </c>
      <c r="H1675" s="137" t="s">
        <v>4918</v>
      </c>
      <c r="I1675" s="135" t="s">
        <v>349</v>
      </c>
      <c r="J1675" s="136" t="str">
        <f>INDEX(数据元说明!A:F,MATCH(I1675,数据元说明!C:C,0),2)</f>
        <v>001016</v>
      </c>
      <c r="K1675" s="138" t="str">
        <f>INDEX(数据元说明!A:F,MATCH(I1675,数据元说明!C:C,0),5)</f>
        <v>工号，银行自定义。</v>
      </c>
      <c r="L1675" s="136" t="str">
        <f>INDEX(数据元说明!A:F,MATCH(I1675,数据元说明!C:C,0),6)</f>
        <v>C..30</v>
      </c>
      <c r="M1675" s="158" t="s">
        <v>4919</v>
      </c>
      <c r="N1675" s="139" t="s">
        <v>57</v>
      </c>
      <c r="O1675" s="140"/>
      <c r="P1675" s="205"/>
    </row>
    <row r="1676" s="81" customFormat="1" ht="53" spans="1:16">
      <c r="A1676" s="134"/>
      <c r="B1676" s="47"/>
      <c r="C1676" s="39"/>
      <c r="D1676" s="39"/>
      <c r="E1676" s="47"/>
      <c r="F1676" s="158" t="s">
        <v>3694</v>
      </c>
      <c r="G1676" s="245" t="s">
        <v>4681</v>
      </c>
      <c r="H1676" s="137" t="s">
        <v>4920</v>
      </c>
      <c r="I1676" s="135" t="s">
        <v>349</v>
      </c>
      <c r="J1676" s="136" t="str">
        <f>INDEX(数据元说明!A:F,MATCH(I1676,数据元说明!C:C,0),2)</f>
        <v>001016</v>
      </c>
      <c r="K1676" s="138" t="str">
        <f>INDEX(数据元说明!A:F,MATCH(I1676,数据元说明!C:C,0),5)</f>
        <v>工号，银行自定义。</v>
      </c>
      <c r="L1676" s="136" t="str">
        <f>INDEX(数据元说明!A:F,MATCH(I1676,数据元说明!C:C,0),6)</f>
        <v>C..30</v>
      </c>
      <c r="M1676" s="158" t="s">
        <v>4919</v>
      </c>
      <c r="N1676" s="139" t="s">
        <v>25</v>
      </c>
      <c r="O1676" s="140" t="s">
        <v>1550</v>
      </c>
      <c r="P1676" s="205"/>
    </row>
    <row r="1677" s="81" customFormat="1" ht="30" customHeight="1" outlineLevel="1" spans="1:16">
      <c r="A1677" s="134"/>
      <c r="B1677" s="47" t="s">
        <v>4921</v>
      </c>
      <c r="C1677" s="39"/>
      <c r="D1677" s="39"/>
      <c r="E1677" s="47"/>
      <c r="F1677" s="169" t="s">
        <v>449</v>
      </c>
      <c r="G1677" s="148" t="s">
        <v>1571</v>
      </c>
      <c r="H1677" s="148" t="s">
        <v>4922</v>
      </c>
      <c r="I1677" s="169" t="s">
        <v>449</v>
      </c>
      <c r="J1677" s="170" t="str">
        <f>INDEX(数据元说明!A:F,MATCH(I1677,数据元说明!C:C,0),2)</f>
        <v>001040</v>
      </c>
      <c r="K1677" s="171" t="str">
        <f>INDEX(数据元说明!A:F,MATCH(I1677,数据元说明!C:C,0),5)</f>
        <v>银行自定义。</v>
      </c>
      <c r="L1677" s="170" t="str">
        <f>INDEX(数据元说明!A:F,MATCH(I1677,数据元说明!C:C,0),6)</f>
        <v>C..600</v>
      </c>
      <c r="M1677" s="149" t="s">
        <v>1573</v>
      </c>
      <c r="N1677" s="143" t="s">
        <v>57</v>
      </c>
      <c r="O1677" s="173"/>
      <c r="P1677" s="173"/>
    </row>
    <row r="1678" s="81" customFormat="1" ht="30" customHeight="1" spans="1:16">
      <c r="A1678" s="134"/>
      <c r="B1678" s="47"/>
      <c r="C1678" s="39"/>
      <c r="D1678" s="39"/>
      <c r="E1678" s="47"/>
      <c r="F1678" s="158" t="s">
        <v>1574</v>
      </c>
      <c r="G1678" s="269" t="s">
        <v>1575</v>
      </c>
      <c r="H1678" s="137" t="s">
        <v>4923</v>
      </c>
      <c r="I1678" s="135" t="s">
        <v>302</v>
      </c>
      <c r="J1678" s="136" t="str">
        <f>INDEX(数据元说明!A:F,MATCH(I1678,数据元说明!C:C,0),2)</f>
        <v>001005</v>
      </c>
      <c r="K1678" s="138" t="str">
        <f>INDEX(数据元说明!A:F,MATCH(I1678,数据元说明!C:C,0),5)</f>
        <v>YYYYMMDD，默认值99991231。</v>
      </c>
      <c r="L1678" s="136" t="str">
        <f>INDEX(数据元说明!A:F,MATCH(I1678,数据元说明!C:C,0),6)</f>
        <v>C8</v>
      </c>
      <c r="M1678" s="138" t="s">
        <v>1577</v>
      </c>
      <c r="N1678" s="139" t="s">
        <v>25</v>
      </c>
      <c r="O1678" s="140" t="s">
        <v>449</v>
      </c>
      <c r="P1678" s="205" t="s">
        <v>1588</v>
      </c>
    </row>
    <row r="1679" s="61" customFormat="1" ht="30" customHeight="1" spans="1:16">
      <c r="A1679" s="249"/>
      <c r="B1679" s="52"/>
      <c r="C1679" s="50" t="s">
        <v>245</v>
      </c>
      <c r="D1679" s="51" t="s">
        <v>246</v>
      </c>
      <c r="E1679" s="126">
        <v>1104</v>
      </c>
      <c r="F1679" s="251"/>
      <c r="G1679" s="261"/>
      <c r="H1679" s="126"/>
      <c r="I1679" s="251"/>
      <c r="J1679" s="53"/>
      <c r="K1679" s="252"/>
      <c r="L1679" s="53"/>
      <c r="M1679" s="128" t="str">
        <f>INDEX(表结构总览!E:H,MATCH(D1679,表结构总览!E:E,0),4)</f>
        <v>填报截止报送日期有余额的自营资金业务及所持有的头寸信息，业务范围参考《自营报送范围》，其中债券与同业投资部分余额填报口径与1104报表G31一致。票据业务（包含贴现和转贴现）不在本表填报。已结清（余额为0）/赎回/核销/终结的业务在报送最后状态的次月不再报送。同一金融工具当月发生当月结清的数据也需要一条，并于次月不再报送。</v>
      </c>
      <c r="N1679" s="198" t="s">
        <v>25</v>
      </c>
      <c r="O1679" s="198" t="s">
        <v>449</v>
      </c>
      <c r="P1679" s="41"/>
    </row>
    <row r="1680" s="61" customFormat="1" ht="33" customHeight="1" spans="1:16">
      <c r="A1680" s="130"/>
      <c r="B1680" s="36"/>
      <c r="C1680" s="25"/>
      <c r="D1680" s="25"/>
      <c r="E1680" s="36"/>
      <c r="F1680" s="267" t="s">
        <v>325</v>
      </c>
      <c r="G1680" s="59" t="s">
        <v>1520</v>
      </c>
      <c r="H1680" s="132" t="s">
        <v>4924</v>
      </c>
      <c r="I1680" s="131" t="s">
        <v>325</v>
      </c>
      <c r="J1680" s="31" t="str">
        <f>INDEX(数据元说明!A:F,MATCH(I1680,数据元说明!C:C,0),2)</f>
        <v>001010</v>
      </c>
      <c r="K1680" s="133" t="str">
        <f>INDEX(数据元说明!A:F,MATCH(I1680,数据元说明!C:C,0),5)</f>
        <v>12位人行支付行号或SWIFT行号。</v>
      </c>
      <c r="L1680" s="31" t="str">
        <f>INDEX(数据元说明!A:F,MATCH(I1680,数据元说明!C:C,0),6)</f>
        <v>C..30</v>
      </c>
      <c r="M1680" s="133" t="s">
        <v>1579</v>
      </c>
      <c r="N1680" s="33"/>
      <c r="O1680" s="99"/>
      <c r="P1680" s="41"/>
    </row>
    <row r="1681" s="81" customFormat="1" ht="30" customHeight="1" outlineLevel="1" spans="1:16">
      <c r="A1681" s="134"/>
      <c r="B1681" s="47"/>
      <c r="C1681" s="39"/>
      <c r="D1681" s="39"/>
      <c r="E1681" s="47"/>
      <c r="F1681" s="135" t="s">
        <v>329</v>
      </c>
      <c r="G1681" s="136" t="s">
        <v>1526</v>
      </c>
      <c r="H1681" s="137" t="s">
        <v>4925</v>
      </c>
      <c r="I1681" s="135" t="s">
        <v>329</v>
      </c>
      <c r="J1681" s="136" t="str">
        <f>INDEX(数据元说明!A:F,MATCH(I1681,数据元说明!C:C,0),2)</f>
        <v>001011</v>
      </c>
      <c r="K1681" s="138" t="str">
        <f>INDEX(数据元说明!A:F,MATCH(I1681,数据元说明!C:C,0),5)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1-银保监会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L1681" s="136" t="str">
        <f>INDEX(数据元说明!A:F,MATCH(I1681,数据元说明!C:C,0),6)</f>
        <v>C..30</v>
      </c>
      <c r="M1681" s="138" t="s">
        <v>3204</v>
      </c>
      <c r="N1681" s="259"/>
      <c r="O1681" s="140"/>
      <c r="P1681" s="140"/>
    </row>
    <row r="1682" s="61" customFormat="1" ht="29" customHeight="1" spans="1:16">
      <c r="A1682" s="130"/>
      <c r="B1682" s="36"/>
      <c r="C1682" s="25"/>
      <c r="D1682" s="25"/>
      <c r="E1682" s="36"/>
      <c r="F1682" s="267" t="s">
        <v>333</v>
      </c>
      <c r="G1682" s="59" t="s">
        <v>1523</v>
      </c>
      <c r="H1682" s="132" t="s">
        <v>4926</v>
      </c>
      <c r="I1682" s="131" t="s">
        <v>333</v>
      </c>
      <c r="J1682" s="31" t="str">
        <f>INDEX(数据元说明!A:F,MATCH(I1682,数据元说明!C:C,0),2)</f>
        <v>001012</v>
      </c>
      <c r="K1682" s="133" t="str">
        <f>INDEX(数据元说明!A:F,MATCH(I1682,数据元说明!C:C,0),5)</f>
        <v>银行内部机构号。应具有标识机构的唯一性。</v>
      </c>
      <c r="L1682" s="31" t="str">
        <f>INDEX(数据元说明!A:F,MATCH(I1682,数据元说明!C:C,0),6)</f>
        <v>C..30</v>
      </c>
      <c r="M1682" s="133" t="s">
        <v>1834</v>
      </c>
      <c r="N1682" s="33"/>
      <c r="O1682" s="99"/>
      <c r="P1682" s="41"/>
    </row>
    <row r="1683" s="61" customFormat="1" ht="29" customHeight="1" spans="1:16">
      <c r="A1683" s="130"/>
      <c r="B1683" s="36"/>
      <c r="C1683" s="25"/>
      <c r="D1683" s="25"/>
      <c r="E1683" s="36"/>
      <c r="F1683" s="246" t="s">
        <v>1532</v>
      </c>
      <c r="G1683" s="245" t="s">
        <v>1533</v>
      </c>
      <c r="H1683" s="137" t="s">
        <v>4927</v>
      </c>
      <c r="I1683" s="135" t="s">
        <v>282</v>
      </c>
      <c r="J1683" s="136" t="str">
        <f>INDEX(数据元说明!A:F,MATCH(I1683,数据元说明!C:C,0),2)</f>
        <v>001001</v>
      </c>
      <c r="K1683" s="138" t="str">
        <f>INDEX(数据元说明!A:F,MATCH(I1683,数据元说明!C:C,0),5)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683" s="136" t="str">
        <f>INDEX(数据元说明!A:F,MATCH(I1683,数据元说明!C:C,0),6)</f>
        <v>C..400</v>
      </c>
      <c r="M1683" s="138" t="s">
        <v>1584</v>
      </c>
      <c r="N1683" s="139" t="s">
        <v>25</v>
      </c>
      <c r="O1683" s="139" t="s">
        <v>280</v>
      </c>
      <c r="P1683" s="205" t="s">
        <v>1588</v>
      </c>
    </row>
    <row r="1684" s="81" customFormat="1" ht="30" customHeight="1" outlineLevel="1" spans="1:16">
      <c r="A1684" s="167"/>
      <c r="B1684" s="168"/>
      <c r="C1684" s="176"/>
      <c r="D1684" s="176"/>
      <c r="E1684" s="168"/>
      <c r="F1684" s="157" t="s">
        <v>2325</v>
      </c>
      <c r="G1684" s="43" t="s">
        <v>2326</v>
      </c>
      <c r="H1684" s="137" t="s">
        <v>4928</v>
      </c>
      <c r="I1684" s="135" t="s">
        <v>574</v>
      </c>
      <c r="J1684" s="43" t="str">
        <f>INDEX(数据元说明!A:F,MATCH(I1684,数据元说明!C:C,0),2)</f>
        <v>003002</v>
      </c>
      <c r="K1684" s="158" t="str">
        <f>INDEX(数据元说明!A:F,MATCH(I1684,数据元说明!C:C,0),5)</f>
        <v>机构实际使用的总账会计科目编码。</v>
      </c>
      <c r="L1684" s="43" t="str">
        <f>INDEX(数据元说明!A:F,MATCH(I1684,数据元说明!C:C,0),6)</f>
        <v>C..200</v>
      </c>
      <c r="M1684" s="138" t="s">
        <v>2328</v>
      </c>
      <c r="N1684" s="164" t="s">
        <v>57</v>
      </c>
      <c r="O1684" s="140"/>
      <c r="P1684" s="139"/>
    </row>
    <row r="1685" s="81" customFormat="1" ht="30" customHeight="1" outlineLevel="1" spans="1:16">
      <c r="A1685" s="167"/>
      <c r="B1685" s="168"/>
      <c r="C1685" s="176"/>
      <c r="D1685" s="176"/>
      <c r="E1685" s="168"/>
      <c r="F1685" s="157" t="s">
        <v>2329</v>
      </c>
      <c r="G1685" s="43" t="s">
        <v>2330</v>
      </c>
      <c r="H1685" s="137" t="s">
        <v>4929</v>
      </c>
      <c r="I1685" s="135" t="s">
        <v>578</v>
      </c>
      <c r="J1685" s="43" t="str">
        <f>INDEX(数据元说明!A:F,MATCH(I1685,数据元说明!C:C,0),2)</f>
        <v>003003</v>
      </c>
      <c r="K1685" s="158" t="str">
        <f>INDEX(数据元说明!A:F,MATCH(I1685,数据元说明!C:C,0),5)</f>
        <v>机构实际使用的总账会计科目编码对应的名称。</v>
      </c>
      <c r="L1685" s="43" t="str">
        <f>INDEX(数据元说明!A:F,MATCH(I1685,数据元说明!C:C,0),6)</f>
        <v>C..200</v>
      </c>
      <c r="M1685" s="138" t="s">
        <v>2328</v>
      </c>
      <c r="N1685" s="164" t="s">
        <v>57</v>
      </c>
      <c r="O1685" s="140"/>
      <c r="P1685" s="139"/>
    </row>
    <row r="1686" s="61" customFormat="1" ht="30" customHeight="1" spans="1:16">
      <c r="A1686" s="130"/>
      <c r="B1686" s="36"/>
      <c r="C1686" s="25"/>
      <c r="D1686" s="44"/>
      <c r="E1686" s="36"/>
      <c r="F1686" s="135" t="s">
        <v>1097</v>
      </c>
      <c r="G1686" s="245" t="s">
        <v>4779</v>
      </c>
      <c r="H1686" s="137" t="s">
        <v>4930</v>
      </c>
      <c r="I1686" s="135" t="s">
        <v>1097</v>
      </c>
      <c r="J1686" s="406" t="str">
        <f>INDEX(数据元说明!A:F,MATCH(I1686,数据元说明!C:C,0),2)</f>
        <v>010001</v>
      </c>
      <c r="K1686" s="138" t="str">
        <f>INDEX(数据元说明!A:F,MATCH(I1686,数据元说明!C:C,0),5)</f>
        <v>能在表内唯一识别金融工具的编号，包括但不限于标准化或非标准化金融产品。在中登公司有登记的金融产品，需填报在中登公司记录的正确编号，如果不是标准产品，则由银行自定义。</v>
      </c>
      <c r="L1686" s="136" t="str">
        <f>INDEX(数据元说明!A:F,MATCH(I1686,数据元说明!C:C,0),6)</f>
        <v>C..60</v>
      </c>
      <c r="M1686" s="138" t="s">
        <v>4931</v>
      </c>
      <c r="N1686" s="164" t="s">
        <v>57</v>
      </c>
      <c r="P1686" s="41"/>
    </row>
    <row r="1687" s="61" customFormat="1" ht="30" customHeight="1" spans="1:16">
      <c r="A1687" s="130"/>
      <c r="B1687" s="36"/>
      <c r="C1687" s="25"/>
      <c r="D1687" s="44"/>
      <c r="E1687" s="36"/>
      <c r="F1687" s="135" t="s">
        <v>1101</v>
      </c>
      <c r="G1687" s="245" t="s">
        <v>4782</v>
      </c>
      <c r="H1687" s="137" t="s">
        <v>4932</v>
      </c>
      <c r="I1687" s="135" t="s">
        <v>1101</v>
      </c>
      <c r="J1687" s="406" t="str">
        <f>INDEX(数据元说明!A:F,MATCH(I1687,数据元说明!C:C,0),2)</f>
        <v>010002</v>
      </c>
      <c r="K1687" s="138" t="str">
        <f>INDEX(数据元说明!A:F,MATCH(I1687,数据元说明!C:C,0),5)</f>
        <v>金融产品名称，包括但不限于标准化或非标准化金融产品。如果不是标准产品，则由银行自定义。</v>
      </c>
      <c r="L1687" s="136" t="str">
        <f>INDEX(数据元说明!A:F,MATCH(I1687,数据元说明!C:C,0),6)</f>
        <v>C..200</v>
      </c>
      <c r="M1687" s="138" t="s">
        <v>4879</v>
      </c>
      <c r="N1687" s="164" t="s">
        <v>57</v>
      </c>
      <c r="P1687" s="41"/>
    </row>
    <row r="1688" s="61" customFormat="1" ht="30" customHeight="1" spans="1:16">
      <c r="A1688" s="130"/>
      <c r="B1688" s="36"/>
      <c r="C1688" s="25"/>
      <c r="D1688" s="25"/>
      <c r="E1688" s="36"/>
      <c r="F1688" s="267" t="s">
        <v>1082</v>
      </c>
      <c r="G1688" s="31" t="s">
        <v>4873</v>
      </c>
      <c r="H1688" s="132" t="s">
        <v>4933</v>
      </c>
      <c r="I1688" s="131" t="s">
        <v>1082</v>
      </c>
      <c r="J1688" s="31" t="str">
        <f>INDEX(数据元说明!A:F,MATCH(I1688,数据元说明!C:C,0),2)</f>
        <v>009001</v>
      </c>
      <c r="K1688" s="131" t="str">
        <f>INDEX(数据元说明!A:F,MATCH(I1688,数据元说明!C:C,0),5)</f>
        <v>银行账户，交易账户。</v>
      </c>
      <c r="L1688" s="31" t="str">
        <f>INDEX(数据元说明!A:F,MATCH(I1688,数据元说明!C:C,0),6)</f>
        <v>C12</v>
      </c>
      <c r="M1688" s="133"/>
      <c r="N1688" s="33"/>
      <c r="O1688" s="99"/>
      <c r="P1688" s="41"/>
    </row>
    <row r="1689" s="81" customFormat="1" ht="30" customHeight="1" spans="1:16">
      <c r="A1689" s="134"/>
      <c r="B1689" s="47"/>
      <c r="C1689" s="39"/>
      <c r="D1689" s="139"/>
      <c r="E1689" s="47"/>
      <c r="F1689" s="135" t="s">
        <v>1206</v>
      </c>
      <c r="G1689" s="245" t="s">
        <v>4880</v>
      </c>
      <c r="H1689" s="137" t="s">
        <v>4934</v>
      </c>
      <c r="I1689" s="135" t="s">
        <v>1206</v>
      </c>
      <c r="J1689" s="406" t="str">
        <f>INDEX(数据元说明!A:F,MATCH(I1689,数据元说明!C:C,0),2)</f>
        <v>010028</v>
      </c>
      <c r="K1689" s="138" t="str">
        <f>INDEX(数据元说明!A:F,MATCH(I1689,数据元说明!C:C,0),5)</f>
        <v>同《自营报送范围》中的“业务大类”清单，其中债券与同业投资部分与1104报表G31的产品种类一致，不可自定义修改。</v>
      </c>
      <c r="L1689" s="136" t="str">
        <f>INDEX(数据元说明!A:F,MATCH(I1689,数据元说明!C:C,0),6)</f>
        <v>C..60</v>
      </c>
      <c r="M1689" s="138"/>
      <c r="N1689" s="164" t="s">
        <v>57</v>
      </c>
      <c r="P1689" s="205"/>
    </row>
    <row r="1690" s="61" customFormat="1" ht="36" spans="1:16">
      <c r="A1690" s="130"/>
      <c r="B1690" s="36"/>
      <c r="C1690" s="25"/>
      <c r="D1690" s="25"/>
      <c r="E1690" s="36"/>
      <c r="F1690" s="267" t="s">
        <v>1210</v>
      </c>
      <c r="G1690" s="31" t="s">
        <v>4482</v>
      </c>
      <c r="H1690" s="132" t="s">
        <v>4935</v>
      </c>
      <c r="I1690" s="131" t="s">
        <v>1210</v>
      </c>
      <c r="J1690" s="409" t="str">
        <f>INDEX(数据元说明!A:F,MATCH(I1690,数据元说明!C:C,0),2)</f>
        <v>010029</v>
      </c>
      <c r="K1690" s="133" t="str">
        <f>INDEX(数据元说明!A:F,MATCH(I1690,数据元说明!C:C,0),5)</f>
        <v>同《自营报送范围》中的“业务中类”清单，其中债券与同业投资部分与1104报表G31的产品种类一致，不可自定义修改。</v>
      </c>
      <c r="L1690" s="31" t="str">
        <f>INDEX(数据元说明!A:F,MATCH(I1690,数据元说明!C:C,0),6)</f>
        <v>C..60</v>
      </c>
      <c r="M1690" s="133"/>
      <c r="N1690" s="220"/>
      <c r="O1690" s="268"/>
      <c r="P1690" s="41"/>
    </row>
    <row r="1691" s="61" customFormat="1" ht="36" spans="1:16">
      <c r="A1691" s="130"/>
      <c r="B1691" s="36"/>
      <c r="C1691" s="25"/>
      <c r="D1691" s="25"/>
      <c r="E1691" s="36"/>
      <c r="F1691" s="267" t="s">
        <v>1214</v>
      </c>
      <c r="G1691" s="31" t="s">
        <v>4883</v>
      </c>
      <c r="H1691" s="132" t="s">
        <v>4936</v>
      </c>
      <c r="I1691" s="131" t="s">
        <v>1214</v>
      </c>
      <c r="J1691" s="409" t="str">
        <f>INDEX(数据元说明!A:F,MATCH(I1691,数据元说明!C:C,0),2)</f>
        <v>010030</v>
      </c>
      <c r="K1691" s="133" t="str">
        <f>INDEX(数据元说明!A:F,MATCH(I1691,数据元说明!C:C,0),5)</f>
        <v>同《自营报送范围》中的“业务小类”清单，其中债券与同业投资部分与1104报表G31的产品种类一致，不可自定义修改。</v>
      </c>
      <c r="L1691" s="31" t="str">
        <f>INDEX(数据元说明!A:F,MATCH(I1691,数据元说明!C:C,0),6)</f>
        <v>C..60</v>
      </c>
      <c r="M1691" s="133"/>
      <c r="N1691" s="220"/>
      <c r="O1691" s="268"/>
      <c r="P1691" s="41"/>
    </row>
    <row r="1692" s="61" customFormat="1" ht="24" customHeight="1" spans="1:16">
      <c r="A1692" s="130"/>
      <c r="B1692" s="36"/>
      <c r="C1692" s="25"/>
      <c r="D1692" s="25"/>
      <c r="E1692" s="36"/>
      <c r="F1692" s="267" t="s">
        <v>739</v>
      </c>
      <c r="G1692" s="31" t="s">
        <v>4703</v>
      </c>
      <c r="H1692" s="132" t="s">
        <v>4937</v>
      </c>
      <c r="I1692" s="131" t="s">
        <v>739</v>
      </c>
      <c r="J1692" s="31" t="str">
        <f>INDEX(数据元说明!A:F,MATCH(I1692,数据元说明!C:C,0),2)</f>
        <v>005001</v>
      </c>
      <c r="K1692" s="133" t="str">
        <f>INDEX(数据元说明!A:F,MATCH(I1692,数据元说明!C:C,0),5)</f>
        <v>银行内部产品中文名称，银行自定义。</v>
      </c>
      <c r="L1692" s="31" t="str">
        <f>INDEX(数据元说明!A:F,MATCH(I1692,数据元说明!C:C,0),6)</f>
        <v>C..200</v>
      </c>
      <c r="M1692" s="133"/>
      <c r="N1692" s="33"/>
      <c r="O1692" s="99"/>
      <c r="P1692" s="41"/>
    </row>
    <row r="1693" s="61" customFormat="1" ht="53" spans="1:16">
      <c r="A1693" s="130"/>
      <c r="B1693" s="36"/>
      <c r="C1693" s="25"/>
      <c r="D1693" s="25"/>
      <c r="E1693" s="36"/>
      <c r="F1693" s="267" t="s">
        <v>624</v>
      </c>
      <c r="G1693" s="31" t="s">
        <v>1989</v>
      </c>
      <c r="H1693" s="132" t="s">
        <v>4938</v>
      </c>
      <c r="I1693" s="131" t="s">
        <v>624</v>
      </c>
      <c r="J1693" s="31" t="str">
        <f>INDEX(数据元说明!A:F,MATCH(I1693,数据元说明!C:C,0),2)</f>
        <v>003014</v>
      </c>
      <c r="K1693" s="133" t="str">
        <f>INDEX(数据元说明!A:F,MATCH(I1693,数据元说明!C:C,0),5)</f>
        <v>遵循《GB/T 12406 表示货币和资金的代码》的字母代码，如CNY。上述文件所列币种无法涵盖的，允许银行自定义填报。多个币种合计折算为人民币（本外币合计）的，填报为BWB。</v>
      </c>
      <c r="L1693" s="31" t="str">
        <f>INDEX(数据元说明!A:F,MATCH(I1693,数据元说明!C:C,0),6)</f>
        <v>C3</v>
      </c>
      <c r="M1693" s="133" t="s">
        <v>4939</v>
      </c>
      <c r="N1693" s="33"/>
      <c r="O1693" s="99"/>
      <c r="P1693" s="41"/>
    </row>
    <row r="1694" s="81" customFormat="1" ht="25" customHeight="1" spans="1:16">
      <c r="A1694" s="270"/>
      <c r="B1694" s="91"/>
      <c r="C1694" s="91"/>
      <c r="D1694" s="91"/>
      <c r="E1694" s="235"/>
      <c r="F1694" s="224" t="s">
        <v>4940</v>
      </c>
      <c r="G1694" s="205" t="s">
        <v>4941</v>
      </c>
      <c r="H1694" s="137" t="s">
        <v>4942</v>
      </c>
      <c r="I1694" s="224" t="s">
        <v>609</v>
      </c>
      <c r="J1694" s="205" t="str">
        <f>INDEX(数据元说明!A:F,MATCH(I1694,数据元说明!C:C,0),2)</f>
        <v>003010</v>
      </c>
      <c r="K1694" s="224" t="str">
        <f>INDEX(数据元说明!A:F,MATCH(I1694,数据元说明!C:C,0),5)</f>
        <v>与币种相对应金额。</v>
      </c>
      <c r="L1694" s="205" t="str">
        <f>INDEX(数据元说明!A:F,MATCH(I1694,数据元说明!C:C,0),6)</f>
        <v>D20.2</v>
      </c>
      <c r="M1694" s="224" t="s">
        <v>4943</v>
      </c>
      <c r="N1694" s="198" t="s">
        <v>25</v>
      </c>
      <c r="O1694" s="198" t="s">
        <v>449</v>
      </c>
      <c r="P1694" s="205"/>
    </row>
    <row r="1695" s="61" customFormat="1" ht="36" spans="1:16">
      <c r="A1695" s="130"/>
      <c r="B1695" s="36"/>
      <c r="C1695" s="25"/>
      <c r="D1695" s="25"/>
      <c r="E1695" s="36"/>
      <c r="F1695" s="267" t="s">
        <v>4944</v>
      </c>
      <c r="G1695" s="31" t="s">
        <v>4945</v>
      </c>
      <c r="H1695" s="132" t="s">
        <v>4946</v>
      </c>
      <c r="I1695" s="131" t="s">
        <v>609</v>
      </c>
      <c r="J1695" s="31" t="str">
        <f>INDEX(数据元说明!A:F,MATCH(I1695,数据元说明!C:C,0),2)</f>
        <v>003010</v>
      </c>
      <c r="K1695" s="133" t="str">
        <f>INDEX(数据元说明!A:F,MATCH(I1695,数据元说明!C:C,0),5)</f>
        <v>与币种相对应金额。</v>
      </c>
      <c r="L1695" s="31" t="str">
        <f>INDEX(数据元说明!A:F,MATCH(I1695,数据元说明!C:C,0),6)</f>
        <v>D20.2</v>
      </c>
      <c r="M1695" s="163" t="s">
        <v>4947</v>
      </c>
      <c r="N1695" s="33"/>
      <c r="O1695" s="99"/>
      <c r="P1695" s="41"/>
    </row>
    <row r="1696" s="61" customFormat="1" ht="71" spans="1:16">
      <c r="A1696" s="271"/>
      <c r="B1696" s="27"/>
      <c r="C1696" s="27"/>
      <c r="D1696" s="27"/>
      <c r="E1696" s="272"/>
      <c r="F1696" s="163" t="s">
        <v>4948</v>
      </c>
      <c r="G1696" s="41" t="s">
        <v>4949</v>
      </c>
      <c r="H1696" s="132" t="s">
        <v>4950</v>
      </c>
      <c r="I1696" s="163" t="s">
        <v>609</v>
      </c>
      <c r="J1696" s="41" t="str">
        <f>INDEX(数据元说明!A:F,MATCH(I1696,数据元说明!C:C,0),2)</f>
        <v>003010</v>
      </c>
      <c r="K1696" s="163" t="str">
        <f>INDEX(数据元说明!A:F,MATCH(I1696,数据元说明!C:C,0),5)</f>
        <v>与币种相对应金额。</v>
      </c>
      <c r="L1696" s="41" t="str">
        <f>INDEX(数据元说明!A:F,MATCH(I1696,数据元说明!C:C,0),6)</f>
        <v>D20.2</v>
      </c>
      <c r="M1696" s="224" t="s">
        <v>4951</v>
      </c>
      <c r="N1696" s="198" t="s">
        <v>25</v>
      </c>
      <c r="O1696" s="198" t="s">
        <v>449</v>
      </c>
      <c r="P1696" s="41"/>
    </row>
    <row r="1697" s="61" customFormat="1" ht="71" spans="1:16">
      <c r="A1697" s="271"/>
      <c r="B1697" s="27"/>
      <c r="C1697" s="27"/>
      <c r="D1697" s="27"/>
      <c r="E1697" s="272"/>
      <c r="F1697" s="163" t="s">
        <v>4952</v>
      </c>
      <c r="G1697" s="41" t="s">
        <v>4953</v>
      </c>
      <c r="H1697" s="132" t="s">
        <v>4954</v>
      </c>
      <c r="I1697" s="163" t="s">
        <v>609</v>
      </c>
      <c r="J1697" s="41" t="str">
        <f>INDEX(数据元说明!A:F,MATCH(I1697,数据元说明!C:C,0),2)</f>
        <v>003010</v>
      </c>
      <c r="K1697" s="163" t="str">
        <f>INDEX(数据元说明!A:F,MATCH(I1697,数据元说明!C:C,0),5)</f>
        <v>与币种相对应金额。</v>
      </c>
      <c r="L1697" s="41" t="str">
        <f>INDEX(数据元说明!A:F,MATCH(I1697,数据元说明!C:C,0),6)</f>
        <v>D20.2</v>
      </c>
      <c r="M1697" s="224" t="s">
        <v>4955</v>
      </c>
      <c r="N1697" s="198" t="s">
        <v>25</v>
      </c>
      <c r="O1697" s="198" t="s">
        <v>449</v>
      </c>
      <c r="P1697" s="41"/>
    </row>
    <row r="1698" s="81" customFormat="1" ht="24" customHeight="1" spans="1:16">
      <c r="A1698" s="134"/>
      <c r="B1698" s="47"/>
      <c r="C1698" s="39"/>
      <c r="D1698" s="39"/>
      <c r="E1698" s="47"/>
      <c r="F1698" s="246" t="s">
        <v>4715</v>
      </c>
      <c r="G1698" s="136" t="s">
        <v>4716</v>
      </c>
      <c r="H1698" s="137" t="s">
        <v>4956</v>
      </c>
      <c r="I1698" s="135" t="s">
        <v>660</v>
      </c>
      <c r="J1698" s="136" t="str">
        <f>INDEX(数据元说明!A:F,MATCH(I1698,数据元说明!C:C,0),2)</f>
        <v>003023</v>
      </c>
      <c r="K1698" s="138" t="str">
        <f>INDEX(数据元说明!A:F,MATCH(I1698,数据元说明!C:C,0),5)</f>
        <v>百分比为单位，即%，如4.5%填报为4.5。</v>
      </c>
      <c r="L1698" s="136" t="str">
        <f>INDEX(数据元说明!A:F,MATCH(I1698,数据元说明!C:C,0),6)</f>
        <v>D10.4</v>
      </c>
      <c r="M1698" s="224" t="s">
        <v>4957</v>
      </c>
      <c r="N1698" s="198" t="s">
        <v>25</v>
      </c>
      <c r="O1698" s="198" t="s">
        <v>449</v>
      </c>
      <c r="P1698" s="205"/>
    </row>
    <row r="1699" s="81" customFormat="1" ht="36" spans="1:16">
      <c r="A1699" s="134"/>
      <c r="B1699" s="47"/>
      <c r="C1699" s="39"/>
      <c r="D1699" s="39"/>
      <c r="E1699" s="47"/>
      <c r="F1699" s="246" t="s">
        <v>1232</v>
      </c>
      <c r="G1699" s="136" t="s">
        <v>4958</v>
      </c>
      <c r="H1699" s="137" t="s">
        <v>4959</v>
      </c>
      <c r="I1699" s="246" t="s">
        <v>1232</v>
      </c>
      <c r="J1699" s="406" t="str">
        <f>INDEX(数据元说明!A:F,MATCH(I1699,数据元说明!C:C,0),2)</f>
        <v>010035</v>
      </c>
      <c r="K1699" s="138" t="str">
        <f>INDEX(数据元说明!A:F,MATCH(I1699,数据元说明!C:C,0),5)</f>
        <v>信用风险加权资产计算权重，填写风险缓释后加权平均权重（即G4B-1表中的风险加权资产比例）。业务如可穿透管理则填写加权平均权重。</v>
      </c>
      <c r="L1699" s="136" t="str">
        <f>INDEX(数据元说明!A:F,MATCH(I1699,数据元说明!C:C,0),6)</f>
        <v>D10.6</v>
      </c>
      <c r="M1699" s="224" t="s">
        <v>4960</v>
      </c>
      <c r="N1699" s="139" t="s">
        <v>25</v>
      </c>
      <c r="O1699" s="140" t="s">
        <v>275</v>
      </c>
      <c r="P1699" s="205"/>
    </row>
    <row r="1700" s="81" customFormat="1" ht="25" customHeight="1" spans="1:16">
      <c r="A1700" s="134"/>
      <c r="B1700" s="47"/>
      <c r="C1700" s="39"/>
      <c r="D1700" s="39"/>
      <c r="E1700" s="47"/>
      <c r="F1700" s="246" t="s">
        <v>4279</v>
      </c>
      <c r="G1700" s="136" t="s">
        <v>4280</v>
      </c>
      <c r="H1700" s="137" t="s">
        <v>4961</v>
      </c>
      <c r="I1700" s="135" t="s">
        <v>685</v>
      </c>
      <c r="J1700" s="136" t="str">
        <f>INDEX(数据元说明!A:F,MATCH(I1700,数据元说明!C:C,0),2)</f>
        <v>003029</v>
      </c>
      <c r="K1700" s="138" t="str">
        <f>INDEX(数据元说明!A:F,MATCH(I1700,数据元说明!C:C,0),5)</f>
        <v>正常，关注，次级，可疑，损失。</v>
      </c>
      <c r="L1700" s="136" t="str">
        <f>INDEX(数据元说明!A:F,MATCH(I1700,数据元说明!C:C,0),6)</f>
        <v>C6</v>
      </c>
      <c r="M1700" s="224" t="s">
        <v>4962</v>
      </c>
      <c r="N1700" s="139"/>
      <c r="O1700" s="140"/>
      <c r="P1700" s="205"/>
    </row>
    <row r="1701" s="61" customFormat="1" ht="36" spans="1:16">
      <c r="A1701" s="130"/>
      <c r="B1701" s="36"/>
      <c r="C1701" s="25"/>
      <c r="D1701" s="25"/>
      <c r="E1701" s="36"/>
      <c r="F1701" s="267" t="s">
        <v>4963</v>
      </c>
      <c r="G1701" s="31" t="s">
        <v>4964</v>
      </c>
      <c r="H1701" s="132" t="s">
        <v>4965</v>
      </c>
      <c r="I1701" s="131" t="s">
        <v>609</v>
      </c>
      <c r="J1701" s="31" t="str">
        <f>INDEX(数据元说明!A:F,MATCH(I1701,数据元说明!C:C,0),2)</f>
        <v>003010</v>
      </c>
      <c r="K1701" s="133" t="str">
        <f>INDEX(数据元说明!A:F,MATCH(I1701,数据元说明!C:C,0),5)</f>
        <v>与币种相对应金额。</v>
      </c>
      <c r="L1701" s="31" t="str">
        <f>INDEX(数据元说明!A:F,MATCH(I1701,数据元说明!C:C,0),6)</f>
        <v>D20.2</v>
      </c>
      <c r="M1701" s="163" t="s">
        <v>4966</v>
      </c>
      <c r="N1701" s="33"/>
      <c r="O1701" s="99"/>
      <c r="P1701" s="41"/>
    </row>
    <row r="1702" s="81" customFormat="1" ht="53" spans="1:16">
      <c r="A1702" s="134"/>
      <c r="B1702" s="47"/>
      <c r="C1702" s="39"/>
      <c r="D1702" s="39"/>
      <c r="E1702" s="47"/>
      <c r="F1702" s="246" t="s">
        <v>4967</v>
      </c>
      <c r="G1702" s="136" t="s">
        <v>2232</v>
      </c>
      <c r="H1702" s="137" t="s">
        <v>4968</v>
      </c>
      <c r="I1702" s="135" t="s">
        <v>302</v>
      </c>
      <c r="J1702" s="136" t="str">
        <f>INDEX(数据元说明!A:F,MATCH(I1702,数据元说明!C:C,0),2)</f>
        <v>001005</v>
      </c>
      <c r="K1702" s="138" t="str">
        <f>INDEX(数据元说明!A:F,MATCH(I1702,数据元说明!C:C,0),5)</f>
        <v>YYYYMMDD，默认值99991231。</v>
      </c>
      <c r="L1702" s="136" t="str">
        <f>INDEX(数据元说明!A:F,MATCH(I1702,数据元说明!C:C,0),6)</f>
        <v>C8</v>
      </c>
      <c r="M1702" s="224" t="s">
        <v>4969</v>
      </c>
      <c r="N1702" s="139" t="s">
        <v>25</v>
      </c>
      <c r="O1702" s="140" t="s">
        <v>1550</v>
      </c>
      <c r="P1702" s="205"/>
    </row>
    <row r="1703" s="81" customFormat="1" ht="53" spans="1:16">
      <c r="A1703" s="134"/>
      <c r="B1703" s="47"/>
      <c r="C1703" s="39"/>
      <c r="D1703" s="39"/>
      <c r="E1703" s="47"/>
      <c r="F1703" s="246" t="s">
        <v>2490</v>
      </c>
      <c r="G1703" s="136" t="s">
        <v>2491</v>
      </c>
      <c r="H1703" s="137" t="s">
        <v>4970</v>
      </c>
      <c r="I1703" s="135" t="s">
        <v>302</v>
      </c>
      <c r="J1703" s="136" t="str">
        <f>INDEX(数据元说明!A:F,MATCH(I1703,数据元说明!C:C,0),2)</f>
        <v>001005</v>
      </c>
      <c r="K1703" s="138" t="str">
        <f>INDEX(数据元说明!A:F,MATCH(I1703,数据元说明!C:C,0),5)</f>
        <v>YYYYMMDD，默认值99991231。</v>
      </c>
      <c r="L1703" s="136" t="str">
        <f>INDEX(数据元说明!A:F,MATCH(I1703,数据元说明!C:C,0),6)</f>
        <v>C8</v>
      </c>
      <c r="M1703" s="224" t="s">
        <v>4971</v>
      </c>
      <c r="N1703" s="139" t="s">
        <v>25</v>
      </c>
      <c r="O1703" s="140" t="s">
        <v>1550</v>
      </c>
      <c r="P1703" s="205"/>
    </row>
    <row r="1704" s="81" customFormat="1" ht="30" customHeight="1" outlineLevel="1" spans="1:16">
      <c r="A1704" s="134"/>
      <c r="B1704" s="47"/>
      <c r="C1704" s="39"/>
      <c r="D1704" s="39"/>
      <c r="E1704" s="47"/>
      <c r="F1704" s="169" t="s">
        <v>449</v>
      </c>
      <c r="G1704" s="148" t="s">
        <v>1571</v>
      </c>
      <c r="H1704" s="148" t="s">
        <v>4972</v>
      </c>
      <c r="I1704" s="169" t="s">
        <v>449</v>
      </c>
      <c r="J1704" s="170" t="str">
        <f>INDEX(数据元说明!A:F,MATCH(I1704,数据元说明!C:C,0),2)</f>
        <v>001040</v>
      </c>
      <c r="K1704" s="171" t="str">
        <f>INDEX(数据元说明!A:F,MATCH(I1704,数据元说明!C:C,0),5)</f>
        <v>银行自定义。</v>
      </c>
      <c r="L1704" s="170" t="str">
        <f>INDEX(数据元说明!A:F,MATCH(I1704,数据元说明!C:C,0),6)</f>
        <v>C..600</v>
      </c>
      <c r="M1704" s="149" t="s">
        <v>1573</v>
      </c>
      <c r="N1704" s="143" t="s">
        <v>57</v>
      </c>
      <c r="O1704" s="173"/>
      <c r="P1704" s="173"/>
    </row>
    <row r="1705" s="81" customFormat="1" ht="88" spans="1:16">
      <c r="A1705" s="134"/>
      <c r="B1705" s="47"/>
      <c r="C1705" s="39"/>
      <c r="D1705" s="39"/>
      <c r="E1705" s="47"/>
      <c r="F1705" s="135" t="s">
        <v>1574</v>
      </c>
      <c r="G1705" s="269" t="s">
        <v>1575</v>
      </c>
      <c r="H1705" s="137" t="s">
        <v>4973</v>
      </c>
      <c r="I1705" s="135" t="s">
        <v>302</v>
      </c>
      <c r="J1705" s="136" t="str">
        <f>INDEX(数据元说明!A:F,MATCH(I1705,数据元说明!C:C,0),2)</f>
        <v>001005</v>
      </c>
      <c r="K1705" s="138" t="str">
        <f>INDEX(数据元说明!A:F,MATCH(I1705,数据元说明!C:C,0),5)</f>
        <v>YYYYMMDD，默认值99991231。</v>
      </c>
      <c r="L1705" s="136" t="str">
        <f>INDEX(数据元说明!A:F,MATCH(I1705,数据元说明!C:C,0),6)</f>
        <v>C8</v>
      </c>
      <c r="M1705" s="138" t="s">
        <v>1577</v>
      </c>
      <c r="N1705" s="139" t="s">
        <v>25</v>
      </c>
      <c r="O1705" s="139" t="s">
        <v>449</v>
      </c>
      <c r="P1705" s="205" t="s">
        <v>1588</v>
      </c>
    </row>
    <row r="1706" s="61" customFormat="1" ht="18.75" customHeight="1" spans="1:16">
      <c r="A1706" s="119" t="s">
        <v>248</v>
      </c>
      <c r="B1706" s="120" t="s">
        <v>249</v>
      </c>
      <c r="C1706" s="121"/>
      <c r="D1706" s="121"/>
      <c r="E1706" s="121"/>
      <c r="F1706" s="122"/>
      <c r="G1706" s="123"/>
      <c r="H1706" s="123"/>
      <c r="I1706" s="122"/>
      <c r="J1706" s="123"/>
      <c r="K1706" s="122"/>
      <c r="L1706" s="123"/>
      <c r="M1706" s="175"/>
      <c r="N1706" s="99"/>
      <c r="O1706" s="99"/>
      <c r="P1706" s="41"/>
    </row>
    <row r="1707" s="61" customFormat="1" ht="194" spans="1:16">
      <c r="A1707" s="125"/>
      <c r="B1707" s="19"/>
      <c r="C1707" s="19" t="s">
        <v>250</v>
      </c>
      <c r="D1707" s="24" t="s">
        <v>251</v>
      </c>
      <c r="E1707" s="126">
        <v>1201</v>
      </c>
      <c r="F1707" s="127"/>
      <c r="G1707" s="126" t="s">
        <v>4974</v>
      </c>
      <c r="H1707" s="126"/>
      <c r="I1707" s="127"/>
      <c r="J1707" s="126"/>
      <c r="K1707" s="127"/>
      <c r="L1707" s="126"/>
      <c r="M1707" s="128" t="str">
        <f>INDEX(表结构总览!E:H,MATCH(D1707,表结构总览!E:E,0),4)</f>
        <v>该表体现截至统计时点所有在全国银行业理财信息登记系统中取得产品登记编码并成功发行的理财产品相关信息。</v>
      </c>
      <c r="N1707" s="198" t="s">
        <v>25</v>
      </c>
      <c r="O1707" s="198" t="s">
        <v>449</v>
      </c>
      <c r="P1707" s="206" t="s">
        <v>4975</v>
      </c>
    </row>
    <row r="1708" s="61" customFormat="1" ht="36" spans="1:16">
      <c r="A1708" s="271"/>
      <c r="B1708" s="27"/>
      <c r="C1708" s="27"/>
      <c r="D1708" s="27"/>
      <c r="E1708" s="272"/>
      <c r="F1708" s="163" t="s">
        <v>4976</v>
      </c>
      <c r="G1708" s="41" t="s">
        <v>4977</v>
      </c>
      <c r="H1708" s="273" t="s">
        <v>4978</v>
      </c>
      <c r="I1708" s="163" t="s">
        <v>1356</v>
      </c>
      <c r="J1708" s="409" t="str">
        <f>INDEX(数据元说明!A:F,MATCH(I1708,数据元说明!C:C,0),2)</f>
        <v>010065</v>
      </c>
      <c r="K1708" s="133" t="str">
        <f>INDEX(数据元说明!A:F,MATCH(I1708,数据元说明!C:C,0),5)</f>
        <v>理财中心赋予产品或资产的序号。</v>
      </c>
      <c r="L1708" s="31" t="str">
        <f>INDEX(数据元说明!A:F,MATCH(I1708,数据元说明!C:C,0),6)</f>
        <v>C..30</v>
      </c>
      <c r="M1708" s="163" t="s">
        <v>4979</v>
      </c>
      <c r="N1708" s="33"/>
      <c r="O1708" s="99"/>
      <c r="P1708" s="41"/>
    </row>
    <row r="1709" s="61" customFormat="1" ht="63" customHeight="1" spans="1:16">
      <c r="A1709" s="271"/>
      <c r="B1709" s="27"/>
      <c r="C1709" s="27"/>
      <c r="D1709" s="27"/>
      <c r="E1709" s="272"/>
      <c r="F1709" s="163" t="s">
        <v>1141</v>
      </c>
      <c r="G1709" s="41" t="s">
        <v>4980</v>
      </c>
      <c r="H1709" s="273" t="s">
        <v>4981</v>
      </c>
      <c r="I1709" s="163" t="s">
        <v>1141</v>
      </c>
      <c r="J1709" s="409" t="str">
        <f>INDEX(数据元说明!A:F,MATCH(I1709,数据元说明!C:C,0),2)</f>
        <v>010012</v>
      </c>
      <c r="K1709" s="133" t="str">
        <f>INDEX(数据元说明!A:F,MATCH(I1709,数据元说明!C:C,0),5)</f>
        <v>登记机构赋予理财产品的标识码，该码具有唯一性。</v>
      </c>
      <c r="L1709" s="31" t="str">
        <f>INDEX(数据元说明!A:F,MATCH(I1709,数据元说明!C:C,0),6)</f>
        <v>C..30</v>
      </c>
      <c r="M1709" s="163" t="s">
        <v>4982</v>
      </c>
      <c r="N1709" s="33"/>
      <c r="O1709" s="99"/>
      <c r="P1709" s="41"/>
    </row>
    <row r="1710" s="81" customFormat="1" ht="36" spans="1:16">
      <c r="A1710" s="270"/>
      <c r="B1710" s="91"/>
      <c r="C1710" s="91"/>
      <c r="D1710" s="91"/>
      <c r="E1710" s="235"/>
      <c r="F1710" s="274" t="s">
        <v>4983</v>
      </c>
      <c r="G1710" s="275" t="s">
        <v>4984</v>
      </c>
      <c r="H1710" s="273" t="s">
        <v>4985</v>
      </c>
      <c r="I1710" s="274" t="s">
        <v>1121</v>
      </c>
      <c r="J1710" s="406" t="str">
        <f>INDEX(数据元说明!A:F,MATCH(I1710,数据元说明!C:C,0),2)</f>
        <v>010007</v>
      </c>
      <c r="K1710" s="138" t="str">
        <f>INDEX(数据元说明!A:F,MATCH(I1710,数据元说明!C:C,0),5)</f>
        <v>发行机构在发行登记时赋予理财产品的代码，该代码在发行机构内部具有唯一性。</v>
      </c>
      <c r="L1710" s="136" t="str">
        <f>INDEX(数据元说明!A:F,MATCH(I1710,数据元说明!C:C,0),6)</f>
        <v>C..200</v>
      </c>
      <c r="M1710" s="224"/>
      <c r="N1710" s="139" t="s">
        <v>25</v>
      </c>
      <c r="O1710" s="140" t="s">
        <v>280</v>
      </c>
      <c r="P1710" s="205"/>
    </row>
    <row r="1711" s="81" customFormat="1" ht="36" spans="1:16">
      <c r="A1711" s="270"/>
      <c r="B1711" s="91"/>
      <c r="C1711" s="91"/>
      <c r="D1711" s="91"/>
      <c r="E1711" s="235"/>
      <c r="F1711" s="274" t="s">
        <v>1145</v>
      </c>
      <c r="G1711" s="275" t="s">
        <v>4986</v>
      </c>
      <c r="H1711" s="273" t="s">
        <v>4987</v>
      </c>
      <c r="I1711" s="274" t="s">
        <v>1145</v>
      </c>
      <c r="J1711" s="406" t="str">
        <f>INDEX(数据元说明!A:F,MATCH(I1711,数据元说明!C:C,0),2)</f>
        <v>010013</v>
      </c>
      <c r="K1711" s="138" t="str">
        <f>INDEX(数据元说明!A:F,MATCH(I1711,数据元说明!C:C,0),5)</f>
        <v>发行机构在申报登记时赋予理财产品的代码，该代码在发行机构内部具有唯一性。</v>
      </c>
      <c r="L1711" s="136" t="str">
        <f>INDEX(数据元说明!A:F,MATCH(I1711,数据元说明!C:C,0),6)</f>
        <v>C..100</v>
      </c>
      <c r="M1711" s="224"/>
      <c r="N1711" s="139" t="s">
        <v>25</v>
      </c>
      <c r="O1711" s="140" t="s">
        <v>280</v>
      </c>
      <c r="P1711" s="205"/>
    </row>
    <row r="1712" s="81" customFormat="1" ht="36" spans="1:16">
      <c r="A1712" s="270"/>
      <c r="B1712" s="91"/>
      <c r="C1712" s="91"/>
      <c r="D1712" s="91"/>
      <c r="E1712" s="235"/>
      <c r="F1712" s="274" t="s">
        <v>739</v>
      </c>
      <c r="G1712" s="275" t="s">
        <v>4703</v>
      </c>
      <c r="H1712" s="273" t="s">
        <v>4988</v>
      </c>
      <c r="I1712" s="274" t="s">
        <v>1101</v>
      </c>
      <c r="J1712" s="406" t="str">
        <f>INDEX(数据元说明!A:F,MATCH(I1712,数据元说明!C:C,0),2)</f>
        <v>010002</v>
      </c>
      <c r="K1712" s="138" t="str">
        <f>INDEX(数据元说明!A:F,MATCH(I1712,数据元说明!C:C,0),5)</f>
        <v>金融产品名称，包括但不限于标准化或非标准化金融产品。如果不是标准产品，则由银行自定义。</v>
      </c>
      <c r="L1712" s="136" t="str">
        <f>INDEX(数据元说明!A:F,MATCH(I1712,数据元说明!C:C,0),6)</f>
        <v>C..200</v>
      </c>
      <c r="M1712" s="274" t="s">
        <v>4989</v>
      </c>
      <c r="N1712" s="139" t="s">
        <v>25</v>
      </c>
      <c r="O1712" s="139" t="s">
        <v>280</v>
      </c>
      <c r="P1712" s="205"/>
    </row>
    <row r="1713" s="81" customFormat="1" ht="36" spans="1:16">
      <c r="A1713" s="270"/>
      <c r="B1713" s="91"/>
      <c r="C1713" s="91"/>
      <c r="D1713" s="91"/>
      <c r="E1713" s="235"/>
      <c r="F1713" s="274" t="s">
        <v>1149</v>
      </c>
      <c r="G1713" s="275" t="s">
        <v>4990</v>
      </c>
      <c r="H1713" s="273" t="s">
        <v>4991</v>
      </c>
      <c r="I1713" s="274" t="s">
        <v>1149</v>
      </c>
      <c r="J1713" s="406" t="str">
        <f>INDEX(数据元说明!A:F,MATCH(I1713,数据元说明!C:C,0),2)</f>
        <v>010014</v>
      </c>
      <c r="K1713" s="138" t="str">
        <f>INDEX(数据元说明!A:F,MATCH(I1713,数据元说明!C:C,0),5)</f>
        <v>理财产品的标记，用以和其他竞争产品相区别的名称，具有自我宣传的作用。</v>
      </c>
      <c r="L1713" s="136" t="str">
        <f>INDEX(数据元说明!A:F,MATCH(I1713,数据元说明!C:C,0),6)</f>
        <v>C..120</v>
      </c>
      <c r="M1713" s="274"/>
      <c r="N1713" s="139" t="s">
        <v>25</v>
      </c>
      <c r="O1713" s="140" t="s">
        <v>280</v>
      </c>
      <c r="P1713" s="205"/>
    </row>
    <row r="1714" s="61" customFormat="1" spans="1:16">
      <c r="A1714" s="271"/>
      <c r="B1714" s="27"/>
      <c r="C1714" s="27"/>
      <c r="D1714" s="27"/>
      <c r="E1714" s="272"/>
      <c r="F1714" s="274" t="s">
        <v>1401</v>
      </c>
      <c r="G1714" s="275" t="s">
        <v>4799</v>
      </c>
      <c r="H1714" s="273" t="s">
        <v>4992</v>
      </c>
      <c r="I1714" s="274" t="s">
        <v>1401</v>
      </c>
      <c r="J1714" s="406" t="str">
        <f>INDEX(数据元说明!A:F,MATCH(I1714,数据元说明!C:C,0),2)</f>
        <v>010076</v>
      </c>
      <c r="K1714" s="138" t="str">
        <f>INDEX(数据元说明!A:F,MATCH(I1714,数据元说明!C:C,0),5)</f>
        <v>取自金融机构代码证前6位。</v>
      </c>
      <c r="L1714" s="136" t="str">
        <f>INDEX(数据元说明!A:F,MATCH(I1714,数据元说明!C:C,0),6)</f>
        <v>C..30</v>
      </c>
      <c r="M1714" s="274"/>
      <c r="N1714" s="33"/>
      <c r="O1714" s="99"/>
      <c r="P1714" s="41"/>
    </row>
    <row r="1715" s="61" customFormat="1" ht="30" customHeight="1" spans="1:16">
      <c r="A1715" s="271"/>
      <c r="B1715" s="27"/>
      <c r="C1715" s="27"/>
      <c r="D1715" s="27"/>
      <c r="E1715" s="272"/>
      <c r="F1715" s="274" t="s">
        <v>4658</v>
      </c>
      <c r="G1715" s="275" t="s">
        <v>4659</v>
      </c>
      <c r="H1715" s="273" t="s">
        <v>4993</v>
      </c>
      <c r="I1715" s="274" t="s">
        <v>282</v>
      </c>
      <c r="J1715" s="136" t="str">
        <f>INDEX(数据元说明!A:F,MATCH(I1715,数据元说明!C:C,0),2)</f>
        <v>001001</v>
      </c>
      <c r="K1715" s="138" t="str">
        <f>INDEX(数据元说明!A:F,MATCH(I1715,数据元说明!C:C,0),5)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715" s="136" t="str">
        <f>INDEX(数据元说明!A:F,MATCH(I1715,数据元说明!C:C,0),6)</f>
        <v>C..400</v>
      </c>
      <c r="M1715" s="274" t="s">
        <v>4994</v>
      </c>
      <c r="N1715" s="139" t="s">
        <v>25</v>
      </c>
      <c r="O1715" s="139" t="s">
        <v>280</v>
      </c>
      <c r="P1715" s="205"/>
    </row>
    <row r="1716" s="61" customFormat="1" ht="36" spans="1:16">
      <c r="A1716" s="271"/>
      <c r="B1716" s="27"/>
      <c r="C1716" s="27"/>
      <c r="D1716" s="27"/>
      <c r="E1716" s="272"/>
      <c r="F1716" s="274" t="s">
        <v>4995</v>
      </c>
      <c r="G1716" s="275" t="s">
        <v>4996</v>
      </c>
      <c r="H1716" s="273" t="s">
        <v>4997</v>
      </c>
      <c r="I1716" s="274" t="s">
        <v>1365</v>
      </c>
      <c r="J1716" s="406" t="str">
        <f>INDEX(数据元说明!A:F,MATCH(I1716,数据元说明!C:C,0),2)</f>
        <v>010067</v>
      </c>
      <c r="K1716" s="138" t="str">
        <f>INDEX(数据元说明!A:F,MATCH(I1716,数据元说明!C:C,0),5)</f>
        <v>国有银行，股份制银行，城商行，外资银行，农村合作金融机构，政策性银行，国家开发银行，理财公司，其他。</v>
      </c>
      <c r="L1716" s="136" t="str">
        <f>INDEX(数据元说明!A:F,MATCH(I1716,数据元说明!C:C,0),6)</f>
        <v>C..30</v>
      </c>
      <c r="M1716" s="274" t="s">
        <v>4979</v>
      </c>
      <c r="N1716" s="33"/>
      <c r="O1716" s="99"/>
      <c r="P1716" s="41"/>
    </row>
    <row r="1717" s="81" customFormat="1" ht="36" spans="1:16">
      <c r="A1717" s="270"/>
      <c r="B1717" s="91"/>
      <c r="C1717" s="91"/>
      <c r="D1717" s="91"/>
      <c r="E1717" s="235"/>
      <c r="F1717" s="274" t="s">
        <v>1369</v>
      </c>
      <c r="G1717" s="275" t="s">
        <v>4998</v>
      </c>
      <c r="H1717" s="273" t="s">
        <v>4999</v>
      </c>
      <c r="I1717" s="274" t="s">
        <v>1369</v>
      </c>
      <c r="J1717" s="406" t="str">
        <f>INDEX(数据元说明!A:F,MATCH(I1717,数据元说明!C:C,0),2)</f>
        <v>010068</v>
      </c>
      <c r="K1717" s="138" t="str">
        <f>INDEX(数据元说明!A:F,MATCH(I1717,数据元说明!C:C,0),5)</f>
        <v>数字。</v>
      </c>
      <c r="L1717" s="136" t="str">
        <f>INDEX(数据元说明!A:F,MATCH(I1717,数据元说明!C:C,0),6)</f>
        <v>C..6</v>
      </c>
      <c r="M1717" s="274" t="s">
        <v>5000</v>
      </c>
      <c r="N1717" s="139" t="s">
        <v>25</v>
      </c>
      <c r="O1717" s="140" t="s">
        <v>280</v>
      </c>
      <c r="P1717" s="205"/>
    </row>
    <row r="1718" s="61" customFormat="1" ht="53" spans="1:16">
      <c r="A1718" s="271"/>
      <c r="B1718" s="27"/>
      <c r="C1718" s="27"/>
      <c r="D1718" s="27"/>
      <c r="E1718" s="272"/>
      <c r="F1718" s="163" t="s">
        <v>5001</v>
      </c>
      <c r="G1718" s="41" t="s">
        <v>5002</v>
      </c>
      <c r="H1718" s="273" t="s">
        <v>5003</v>
      </c>
      <c r="I1718" s="163" t="s">
        <v>1137</v>
      </c>
      <c r="J1718" s="409" t="str">
        <f>INDEX(数据元说明!A:F,MATCH(I1718,数据元说明!C:C,0),2)</f>
        <v>010011</v>
      </c>
      <c r="K1718" s="133" t="str">
        <f>INDEX(数据元说明!A:F,MATCH(I1718,数据元说明!C:C,0),5)</f>
        <v>约定的期限，适用于债券等业务。</v>
      </c>
      <c r="L1718" s="31" t="str">
        <f>INDEX(数据元说明!A:F,MATCH(I1718,数据元说明!C:C,0),6)</f>
        <v>C..30</v>
      </c>
      <c r="M1718" s="163" t="s">
        <v>5004</v>
      </c>
      <c r="N1718" s="33"/>
      <c r="O1718" s="99"/>
      <c r="P1718" s="41"/>
    </row>
    <row r="1719" s="61" customFormat="1" ht="36" spans="1:16">
      <c r="A1719" s="271"/>
      <c r="B1719" s="27"/>
      <c r="C1719" s="27"/>
      <c r="D1719" s="27"/>
      <c r="E1719" s="272"/>
      <c r="F1719" s="163" t="s">
        <v>5005</v>
      </c>
      <c r="G1719" s="41" t="s">
        <v>5006</v>
      </c>
      <c r="H1719" s="273" t="s">
        <v>5007</v>
      </c>
      <c r="I1719" s="163" t="s">
        <v>1162</v>
      </c>
      <c r="J1719" s="409" t="str">
        <f>INDEX(数据元说明!A:F,MATCH(I1719,数据元说明!C:C,0),2)</f>
        <v>010017</v>
      </c>
      <c r="K1719" s="133" t="str">
        <f>INDEX(数据元说明!A:F,MATCH(I1719,数据元说明!C:C,0),5)</f>
        <v>一级，二级，三级，四级，五级。</v>
      </c>
      <c r="L1719" s="31" t="str">
        <f>INDEX(数据元说明!A:F,MATCH(I1719,数据元说明!C:C,0),6)</f>
        <v>C..30</v>
      </c>
      <c r="M1719" s="163"/>
      <c r="N1719" s="33"/>
      <c r="O1719" s="99"/>
      <c r="P1719" s="41"/>
    </row>
    <row r="1720" s="61" customFormat="1" ht="36" spans="1:16">
      <c r="A1720" s="271"/>
      <c r="B1720" s="27"/>
      <c r="C1720" s="27"/>
      <c r="D1720" s="27"/>
      <c r="E1720" s="272"/>
      <c r="F1720" s="163" t="s">
        <v>5008</v>
      </c>
      <c r="G1720" s="41" t="s">
        <v>5009</v>
      </c>
      <c r="H1720" s="273" t="s">
        <v>5010</v>
      </c>
      <c r="I1720" s="163" t="s">
        <v>1158</v>
      </c>
      <c r="J1720" s="409" t="str">
        <f>INDEX(数据元说明!A:F,MATCH(I1720,数据元说明!C:C,0),2)</f>
        <v>010016</v>
      </c>
      <c r="K1720" s="133" t="str">
        <f>INDEX(数据元说明!A:F,MATCH(I1720,数据元说明!C:C,0),5)</f>
        <v>一般个人客户、高资产净值客户、私人银行客户、机构客户、金融同业客户。</v>
      </c>
      <c r="L1720" s="31" t="str">
        <f>INDEX(数据元说明!A:F,MATCH(I1720,数据元说明!C:C,0),6)</f>
        <v>C..30</v>
      </c>
      <c r="M1720" s="163"/>
      <c r="N1720" s="33"/>
      <c r="O1720" s="99"/>
      <c r="P1720" s="41"/>
    </row>
    <row r="1721" s="61" customFormat="1" spans="1:16">
      <c r="A1721" s="271"/>
      <c r="B1721" s="27"/>
      <c r="C1721" s="27"/>
      <c r="D1721" s="27"/>
      <c r="E1721" s="272"/>
      <c r="F1721" s="163" t="s">
        <v>1153</v>
      </c>
      <c r="G1721" s="41" t="s">
        <v>5011</v>
      </c>
      <c r="H1721" s="273" t="s">
        <v>5012</v>
      </c>
      <c r="I1721" s="163" t="s">
        <v>1153</v>
      </c>
      <c r="J1721" s="409" t="str">
        <f>INDEX(数据元说明!A:F,MATCH(I1721,数据元说明!C:C,0),2)</f>
        <v>010015</v>
      </c>
      <c r="K1721" s="133" t="str">
        <f>INDEX(数据元说明!A:F,MATCH(I1721,数据元说明!C:C,0),5)</f>
        <v>境内，境外，境内和境外。</v>
      </c>
      <c r="L1721" s="31" t="str">
        <f>INDEX(数据元说明!A:F,MATCH(I1721,数据元说明!C:C,0),6)</f>
        <v>C..15</v>
      </c>
      <c r="M1721" s="163" t="s">
        <v>5013</v>
      </c>
      <c r="N1721" s="33"/>
      <c r="O1721" s="99"/>
      <c r="P1721" s="41"/>
    </row>
    <row r="1722" s="61" customFormat="1" spans="1:16">
      <c r="A1722" s="271"/>
      <c r="B1722" s="27"/>
      <c r="C1722" s="27"/>
      <c r="D1722" s="27"/>
      <c r="E1722" s="272"/>
      <c r="F1722" s="163" t="s">
        <v>1166</v>
      </c>
      <c r="G1722" s="41" t="s">
        <v>5014</v>
      </c>
      <c r="H1722" s="273" t="s">
        <v>5015</v>
      </c>
      <c r="I1722" s="163" t="s">
        <v>1166</v>
      </c>
      <c r="J1722" s="409" t="str">
        <f>INDEX(数据元说明!A:F,MATCH(I1722,数据元说明!C:C,0),2)</f>
        <v>010018</v>
      </c>
      <c r="K1722" s="133" t="str">
        <f>INDEX(数据元说明!A:F,MATCH(I1722,数据元说明!C:C,0),5)</f>
        <v>封闭式净值型，封闭式非净值型，开放式净值型，开放式非净值型。</v>
      </c>
      <c r="L1722" s="31" t="str">
        <f>INDEX(数据元说明!A:F,MATCH(I1722,数据元说明!C:C,0),6)</f>
        <v>C..30</v>
      </c>
      <c r="M1722" s="163"/>
      <c r="N1722" s="33"/>
      <c r="O1722" s="99"/>
      <c r="P1722" s="41"/>
    </row>
    <row r="1723" s="61" customFormat="1" ht="36" spans="1:16">
      <c r="A1723" s="271"/>
      <c r="B1723" s="27"/>
      <c r="C1723" s="27"/>
      <c r="D1723" s="27"/>
      <c r="E1723" s="272"/>
      <c r="F1723" s="163" t="s">
        <v>1170</v>
      </c>
      <c r="G1723" s="41" t="s">
        <v>5016</v>
      </c>
      <c r="H1723" s="273" t="s">
        <v>5017</v>
      </c>
      <c r="I1723" s="163" t="s">
        <v>1170</v>
      </c>
      <c r="J1723" s="409" t="str">
        <f>INDEX(数据元说明!A:F,MATCH(I1723,数据元说明!C:C,0),2)</f>
        <v>010019</v>
      </c>
      <c r="K1723" s="133" t="str">
        <f>INDEX(数据元说明!A:F,MATCH(I1723,数据元说明!C:C,0),5)</f>
        <v>单一资产配置（一对一），资产组合配置（一对多），其他配置（多对多）。</v>
      </c>
      <c r="L1723" s="31" t="str">
        <f>INDEX(数据元说明!A:F,MATCH(I1723,数据元说明!C:C,0),6)</f>
        <v>C..30</v>
      </c>
      <c r="M1723" s="163"/>
      <c r="N1723" s="33"/>
      <c r="O1723" s="99"/>
      <c r="P1723" s="41"/>
    </row>
    <row r="1724" s="61" customFormat="1" ht="36" spans="1:16">
      <c r="A1724" s="271"/>
      <c r="B1724" s="27"/>
      <c r="C1724" s="27"/>
      <c r="D1724" s="27"/>
      <c r="E1724" s="272"/>
      <c r="F1724" s="163" t="s">
        <v>1174</v>
      </c>
      <c r="G1724" s="41" t="s">
        <v>5018</v>
      </c>
      <c r="H1724" s="273" t="s">
        <v>5019</v>
      </c>
      <c r="I1724" s="163" t="s">
        <v>1174</v>
      </c>
      <c r="J1724" s="409" t="str">
        <f>INDEX(数据元说明!A:F,MATCH(I1724,数据元说明!C:C,0),2)</f>
        <v>010020</v>
      </c>
      <c r="K1724" s="133" t="str">
        <f>INDEX(数据元说明!A:F,MATCH(I1724,数据元说明!C:C,0),5)</f>
        <v>银行为实际管理人，其他机构为实际管理人，资产管理公司，特殊目的载体（SPV）。</v>
      </c>
      <c r="L1724" s="31" t="str">
        <f>INDEX(数据元说明!A:F,MATCH(I1724,数据元说明!C:C,0),6)</f>
        <v>C..30</v>
      </c>
      <c r="M1724" s="163"/>
      <c r="N1724" s="33"/>
      <c r="O1724" s="99"/>
      <c r="P1724" s="41"/>
    </row>
    <row r="1725" s="61" customFormat="1" ht="30" customHeight="1" spans="1:16">
      <c r="A1725" s="271"/>
      <c r="B1725" s="27"/>
      <c r="C1725" s="27"/>
      <c r="D1725" s="27"/>
      <c r="E1725" s="272"/>
      <c r="F1725" s="274" t="s">
        <v>5020</v>
      </c>
      <c r="G1725" s="275" t="s">
        <v>5021</v>
      </c>
      <c r="H1725" s="273" t="s">
        <v>5022</v>
      </c>
      <c r="I1725" s="274" t="s">
        <v>282</v>
      </c>
      <c r="J1725" s="136" t="str">
        <f>INDEX(数据元说明!A:F,MATCH(I1725,数据元说明!C:C,0),2)</f>
        <v>001001</v>
      </c>
      <c r="K1725" s="138" t="str">
        <f>INDEX(数据元说明!A:F,MATCH(I1725,数据元说明!C:C,0),5)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725" s="136" t="str">
        <f>INDEX(数据元说明!A:F,MATCH(I1725,数据元说明!C:C,0),6)</f>
        <v>C..400</v>
      </c>
      <c r="M1725" s="274" t="s">
        <v>5023</v>
      </c>
      <c r="N1725" s="139" t="s">
        <v>25</v>
      </c>
      <c r="O1725" s="139" t="s">
        <v>280</v>
      </c>
      <c r="P1725" s="205"/>
    </row>
    <row r="1726" s="61" customFormat="1" ht="36" spans="1:16">
      <c r="A1726" s="271"/>
      <c r="B1726" s="27"/>
      <c r="C1726" s="27"/>
      <c r="D1726" s="27"/>
      <c r="E1726" s="272"/>
      <c r="F1726" s="163" t="s">
        <v>1409</v>
      </c>
      <c r="G1726" s="41" t="s">
        <v>5024</v>
      </c>
      <c r="H1726" s="273" t="s">
        <v>5025</v>
      </c>
      <c r="I1726" s="163" t="s">
        <v>1409</v>
      </c>
      <c r="J1726" s="409" t="str">
        <f>INDEX(数据元说明!A:F,MATCH(I1726,数据元说明!C:C,0),2)</f>
        <v>010078</v>
      </c>
      <c r="K1726" s="133" t="str">
        <f>INDEX(数据元说明!A:F,MATCH(I1726,数据元说明!C:C,0),5)</f>
        <v>集合管理，单独管理</v>
      </c>
      <c r="L1726" s="31" t="str">
        <f>INDEX(数据元说明!A:F,MATCH(I1726,数据元说明!C:C,0),6)</f>
        <v>C..30 </v>
      </c>
      <c r="M1726" s="276" t="s">
        <v>5026</v>
      </c>
      <c r="N1726" s="33"/>
      <c r="O1726" s="99"/>
      <c r="P1726" s="41"/>
    </row>
    <row r="1727" s="61" customFormat="1" ht="36" spans="1:16">
      <c r="A1727" s="271"/>
      <c r="B1727" s="27"/>
      <c r="C1727" s="27"/>
      <c r="D1727" s="27"/>
      <c r="E1727" s="272"/>
      <c r="F1727" s="163" t="s">
        <v>5027</v>
      </c>
      <c r="G1727" s="41" t="s">
        <v>5028</v>
      </c>
      <c r="H1727" s="273" t="s">
        <v>5029</v>
      </c>
      <c r="I1727" s="163" t="s">
        <v>353</v>
      </c>
      <c r="J1727" s="31" t="str">
        <f>INDEX(数据元说明!A:F,MATCH(I1727,数据元说明!C:C,0),2)</f>
        <v>001017</v>
      </c>
      <c r="K1727" s="133" t="str">
        <f>INDEX(数据元说明!A:F,MATCH(I1727,数据元说明!C:C,0),5)</f>
        <v>姓名。</v>
      </c>
      <c r="L1727" s="31" t="str">
        <f>INDEX(数据元说明!A:F,MATCH(I1727,数据元说明!C:C,0),6)</f>
        <v>C..200</v>
      </c>
      <c r="M1727" s="163" t="s">
        <v>5030</v>
      </c>
      <c r="N1727" s="139" t="s">
        <v>25</v>
      </c>
      <c r="O1727" s="139" t="s">
        <v>280</v>
      </c>
      <c r="P1727" s="41"/>
    </row>
    <row r="1728" s="61" customFormat="1" ht="53" spans="1:16">
      <c r="A1728" s="271"/>
      <c r="B1728" s="27"/>
      <c r="C1728" s="27"/>
      <c r="D1728" s="27"/>
      <c r="E1728" s="272"/>
      <c r="F1728" s="163" t="s">
        <v>5031</v>
      </c>
      <c r="G1728" s="41" t="s">
        <v>5032</v>
      </c>
      <c r="H1728" s="273" t="s">
        <v>5033</v>
      </c>
      <c r="I1728" s="163" t="s">
        <v>461</v>
      </c>
      <c r="J1728" s="31" t="str">
        <f>INDEX(数据元说明!A:F,MATCH(I1728,数据元说明!C:C,0),2)</f>
        <v>002003</v>
      </c>
      <c r="K1728" s="133" t="str">
        <f>INDEX(数据元说明!A:F,MATCH(I1728,数据元说明!C:C,0),5)</f>
        <v>与证件类别对应的证件号码。涉及个人身份证件时需按照本规范给定规则进行脱敏处理。</v>
      </c>
      <c r="L1728" s="31" t="str">
        <f>INDEX(数据元说明!A:F,MATCH(I1728,数据元说明!C:C,0),6)</f>
        <v>C..70</v>
      </c>
      <c r="M1728" s="163" t="s">
        <v>5034</v>
      </c>
      <c r="N1728" s="139" t="s">
        <v>25</v>
      </c>
      <c r="O1728" s="139" t="s">
        <v>280</v>
      </c>
      <c r="P1728" s="41"/>
    </row>
    <row r="1729" s="61" customFormat="1" spans="1:16">
      <c r="A1729" s="271"/>
      <c r="B1729" s="27"/>
      <c r="C1729" s="27"/>
      <c r="D1729" s="27"/>
      <c r="E1729" s="272"/>
      <c r="F1729" s="163" t="s">
        <v>5035</v>
      </c>
      <c r="G1729" s="41" t="s">
        <v>5036</v>
      </c>
      <c r="H1729" s="273" t="s">
        <v>5037</v>
      </c>
      <c r="I1729" s="163" t="s">
        <v>353</v>
      </c>
      <c r="J1729" s="31" t="str">
        <f>INDEX(数据元说明!A:F,MATCH(I1729,数据元说明!C:C,0),2)</f>
        <v>001017</v>
      </c>
      <c r="K1729" s="133" t="str">
        <f>INDEX(数据元说明!A:F,MATCH(I1729,数据元说明!C:C,0),5)</f>
        <v>姓名。</v>
      </c>
      <c r="L1729" s="31" t="str">
        <f>INDEX(数据元说明!A:F,MATCH(I1729,数据元说明!C:C,0),6)</f>
        <v>C..200</v>
      </c>
      <c r="M1729" s="163" t="s">
        <v>5038</v>
      </c>
      <c r="N1729" s="139" t="s">
        <v>25</v>
      </c>
      <c r="O1729" s="139" t="s">
        <v>280</v>
      </c>
      <c r="P1729" s="41"/>
    </row>
    <row r="1730" s="61" customFormat="1" ht="36" spans="1:16">
      <c r="A1730" s="271"/>
      <c r="B1730" s="27"/>
      <c r="C1730" s="27"/>
      <c r="D1730" s="27"/>
      <c r="E1730" s="272"/>
      <c r="F1730" s="163" t="s">
        <v>5039</v>
      </c>
      <c r="G1730" s="41" t="s">
        <v>5040</v>
      </c>
      <c r="H1730" s="273" t="s">
        <v>5041</v>
      </c>
      <c r="I1730" s="163" t="s">
        <v>461</v>
      </c>
      <c r="J1730" s="31" t="str">
        <f>INDEX(数据元说明!A:F,MATCH(I1730,数据元说明!C:C,0),2)</f>
        <v>002003</v>
      </c>
      <c r="K1730" s="133" t="str">
        <f>INDEX(数据元说明!A:F,MATCH(I1730,数据元说明!C:C,0),5)</f>
        <v>与证件类别对应的证件号码。涉及个人身份证件时需按照本规范给定规则进行脱敏处理。</v>
      </c>
      <c r="L1730" s="31" t="str">
        <f>INDEX(数据元说明!A:F,MATCH(I1730,数据元说明!C:C,0),6)</f>
        <v>C..70</v>
      </c>
      <c r="M1730" s="163" t="s">
        <v>5042</v>
      </c>
      <c r="N1730" s="139" t="s">
        <v>25</v>
      </c>
      <c r="O1730" s="139" t="s">
        <v>280</v>
      </c>
      <c r="P1730" s="41"/>
    </row>
    <row r="1731" s="81" customFormat="1" ht="36" spans="1:16">
      <c r="A1731" s="270"/>
      <c r="B1731" s="91"/>
      <c r="C1731" s="91"/>
      <c r="D1731" s="91"/>
      <c r="E1731" s="235"/>
      <c r="F1731" s="163" t="s">
        <v>5043</v>
      </c>
      <c r="G1731" s="41" t="s">
        <v>5044</v>
      </c>
      <c r="H1731" s="273" t="s">
        <v>5045</v>
      </c>
      <c r="I1731" s="163" t="s">
        <v>353</v>
      </c>
      <c r="J1731" s="31" t="str">
        <f>INDEX(数据元说明!A:F,MATCH(I1731,数据元说明!C:C,0),2)</f>
        <v>001017</v>
      </c>
      <c r="K1731" s="133" t="str">
        <f>INDEX(数据元说明!A:F,MATCH(I1731,数据元说明!C:C,0),5)</f>
        <v>姓名。</v>
      </c>
      <c r="L1731" s="31" t="str">
        <f>INDEX(数据元说明!A:F,MATCH(I1731,数据元说明!C:C,0),6)</f>
        <v>C..200</v>
      </c>
      <c r="M1731" s="224" t="s">
        <v>5046</v>
      </c>
      <c r="N1731" s="139" t="s">
        <v>25</v>
      </c>
      <c r="O1731" s="139" t="s">
        <v>1673</v>
      </c>
      <c r="P1731" s="205"/>
    </row>
    <row r="1732" s="81" customFormat="1" ht="53" spans="1:16">
      <c r="A1732" s="270"/>
      <c r="B1732" s="91"/>
      <c r="C1732" s="91"/>
      <c r="D1732" s="91"/>
      <c r="E1732" s="235"/>
      <c r="F1732" s="163" t="s">
        <v>5047</v>
      </c>
      <c r="G1732" s="41" t="s">
        <v>5048</v>
      </c>
      <c r="H1732" s="273" t="s">
        <v>5049</v>
      </c>
      <c r="I1732" s="163" t="s">
        <v>461</v>
      </c>
      <c r="J1732" s="31" t="str">
        <f>INDEX(数据元说明!A:F,MATCH(I1732,数据元说明!C:C,0),2)</f>
        <v>002003</v>
      </c>
      <c r="K1732" s="133" t="str">
        <f>INDEX(数据元说明!A:F,MATCH(I1732,数据元说明!C:C,0),5)</f>
        <v>与证件类别对应的证件号码。涉及个人身份证件时需按照本规范给定规则进行脱敏处理。</v>
      </c>
      <c r="L1732" s="31" t="str">
        <f>INDEX(数据元说明!A:F,MATCH(I1732,数据元说明!C:C,0),6)</f>
        <v>C..70</v>
      </c>
      <c r="M1732" s="224" t="s">
        <v>5050</v>
      </c>
      <c r="N1732" s="139" t="s">
        <v>25</v>
      </c>
      <c r="O1732" s="139" t="s">
        <v>1673</v>
      </c>
      <c r="P1732" s="205"/>
    </row>
    <row r="1733" s="61" customFormat="1" ht="36" spans="1:16">
      <c r="A1733" s="271"/>
      <c r="B1733" s="27"/>
      <c r="C1733" s="27"/>
      <c r="D1733" s="27"/>
      <c r="E1733" s="272"/>
      <c r="F1733" s="163" t="s">
        <v>1178</v>
      </c>
      <c r="G1733" s="41" t="s">
        <v>5051</v>
      </c>
      <c r="H1733" s="273" t="s">
        <v>5052</v>
      </c>
      <c r="I1733" s="163" t="s">
        <v>1178</v>
      </c>
      <c r="J1733" s="409" t="str">
        <f>INDEX(数据元说明!A:F,MATCH(I1733,数据元说明!C:C,0),2)</f>
        <v>010021</v>
      </c>
      <c r="K1733" s="133" t="str">
        <f>INDEX(数据元说明!A:F,MATCH(I1733,数据元说明!C:C,0),5)</f>
        <v>公允价值定价，成本法定价，综合定价。</v>
      </c>
      <c r="L1733" s="31" t="str">
        <f>INDEX(数据元说明!A:F,MATCH(I1733,数据元说明!C:C,0),6)</f>
        <v>C..30</v>
      </c>
      <c r="M1733" s="163" t="s">
        <v>5053</v>
      </c>
      <c r="N1733" s="33"/>
      <c r="O1733" s="99"/>
      <c r="P1733" s="41"/>
    </row>
    <row r="1734" s="61" customFormat="1" ht="36" spans="1:16">
      <c r="A1734" s="271"/>
      <c r="B1734" s="27"/>
      <c r="C1734" s="27"/>
      <c r="D1734" s="27"/>
      <c r="E1734" s="272"/>
      <c r="F1734" s="163" t="s">
        <v>5054</v>
      </c>
      <c r="G1734" s="41" t="s">
        <v>5055</v>
      </c>
      <c r="H1734" s="273" t="s">
        <v>5056</v>
      </c>
      <c r="I1734" s="163" t="s">
        <v>1182</v>
      </c>
      <c r="J1734" s="409" t="str">
        <f>INDEX(数据元说明!A:F,MATCH(I1734,数据元说明!C:C,0),2)</f>
        <v>010022</v>
      </c>
      <c r="K1734" s="133" t="str">
        <f>INDEX(数据元说明!A:F,MATCH(I1734,数据元说明!C:C,0),5)</f>
        <v>结构性理财产品，货币市场工具类，债券类，非标准化债权类，基金股票类，股权类，另类投资类，混合类，代客境外理财产品。</v>
      </c>
      <c r="L1734" s="31" t="str">
        <f>INDEX(数据元说明!A:F,MATCH(I1734,数据元说明!C:C,0),6)</f>
        <v>C..30</v>
      </c>
      <c r="M1734" s="163"/>
      <c r="N1734" s="33"/>
      <c r="O1734" s="99"/>
      <c r="P1734" s="41"/>
    </row>
    <row r="1735" s="61" customFormat="1" ht="36" spans="1:16">
      <c r="A1735" s="271"/>
      <c r="B1735" s="27"/>
      <c r="C1735" s="27"/>
      <c r="D1735" s="27"/>
      <c r="E1735" s="272"/>
      <c r="F1735" s="163" t="s">
        <v>5057</v>
      </c>
      <c r="G1735" s="41" t="s">
        <v>5058</v>
      </c>
      <c r="H1735" s="273" t="s">
        <v>5059</v>
      </c>
      <c r="I1735" s="163" t="s">
        <v>1275</v>
      </c>
      <c r="J1735" s="409" t="str">
        <f>INDEX(数据元说明!A:F,MATCH(I1735,数据元说明!C:C,0),2)</f>
        <v>010045</v>
      </c>
      <c r="K1735" s="133" t="str">
        <f>INDEX(数据元说明!A:F,MATCH(I1735,数据元说明!C:C,0),5)</f>
        <v>利率，汇率，股票，农产品，大宗商品，贵金属，债券，指数，基金，另类资产，期货，期权，远期，互换，复合金融衍生品，其他。</v>
      </c>
      <c r="L1735" s="31" t="str">
        <f>INDEX(数据元说明!A:F,MATCH(I1735,数据元说明!C:C,0),6)</f>
        <v>C..300</v>
      </c>
      <c r="M1735" s="163"/>
      <c r="N1735" s="33"/>
      <c r="O1735" s="99"/>
      <c r="P1735" s="41"/>
    </row>
    <row r="1736" s="61" customFormat="1" ht="247" spans="1:16">
      <c r="A1736" s="271"/>
      <c r="B1736" s="27"/>
      <c r="C1736" s="27"/>
      <c r="D1736" s="27"/>
      <c r="E1736" s="272"/>
      <c r="F1736" s="163" t="s">
        <v>1186</v>
      </c>
      <c r="G1736" s="41" t="s">
        <v>5060</v>
      </c>
      <c r="H1736" s="273" t="s">
        <v>5061</v>
      </c>
      <c r="I1736" s="163" t="s">
        <v>1186</v>
      </c>
      <c r="J1736" s="409" t="str">
        <f>INDEX(数据元说明!A:F,MATCH(I1736,数据元说明!C:C,0),2)</f>
        <v>010023</v>
      </c>
      <c r="K1736" s="133" t="str">
        <f>INDEX(数据元说明!A:F,MATCH(I1736,数据元说明!C:C,0),5)</f>
        <v>独立运作，银信，银保，银基，银证，混合类，其他。</v>
      </c>
      <c r="L1736" s="31" t="str">
        <f>INDEX(数据元说明!A:F,MATCH(I1736,数据元说明!C:C,0),6)</f>
        <v>C..30</v>
      </c>
      <c r="M1736" s="163" t="s">
        <v>5062</v>
      </c>
      <c r="N1736" s="33"/>
      <c r="O1736" s="99"/>
      <c r="P1736" s="41"/>
    </row>
    <row r="1737" s="61" customFormat="1" ht="29" customHeight="1" spans="1:16">
      <c r="A1737" s="271"/>
      <c r="B1737" s="27"/>
      <c r="C1737" s="27"/>
      <c r="D1737" s="27"/>
      <c r="E1737" s="272"/>
      <c r="F1737" s="163" t="s">
        <v>5063</v>
      </c>
      <c r="G1737" s="41" t="s">
        <v>5064</v>
      </c>
      <c r="H1737" s="273" t="s">
        <v>5065</v>
      </c>
      <c r="I1737" s="163" t="s">
        <v>282</v>
      </c>
      <c r="J1737" s="31" t="str">
        <f>INDEX(数据元说明!A:F,MATCH(I1737,数据元说明!C:C,0),2)</f>
        <v>001001</v>
      </c>
      <c r="K1737" s="133" t="str">
        <f>INDEX(数据元说明!A:F,MATCH(I1737,数据元说明!C:C,0),5)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737" s="31" t="str">
        <f>INDEX(数据元说明!A:F,MATCH(I1737,数据元说明!C:C,0),6)</f>
        <v>C..400</v>
      </c>
      <c r="M1737" s="163" t="s">
        <v>5066</v>
      </c>
      <c r="N1737" s="139" t="s">
        <v>25</v>
      </c>
      <c r="O1737" s="139" t="s">
        <v>280</v>
      </c>
      <c r="P1737" s="205"/>
    </row>
    <row r="1738" s="61" customFormat="1" ht="53" spans="1:16">
      <c r="A1738" s="271"/>
      <c r="B1738" s="27"/>
      <c r="C1738" s="27"/>
      <c r="D1738" s="27"/>
      <c r="E1738" s="272"/>
      <c r="F1738" s="163" t="s">
        <v>1190</v>
      </c>
      <c r="G1738" s="41" t="s">
        <v>5067</v>
      </c>
      <c r="H1738" s="273" t="s">
        <v>5068</v>
      </c>
      <c r="I1738" s="163" t="s">
        <v>1190</v>
      </c>
      <c r="J1738" s="409" t="str">
        <f>INDEX(数据元说明!A:F,MATCH(I1738,数据元说明!C:C,0),2)</f>
        <v>010024</v>
      </c>
      <c r="K1738" s="133" t="str">
        <f>INDEX(数据元说明!A:F,MATCH(I1738,数据元说明!C:C,0),5)</f>
        <v>需按照以下格式填写，例如“10%：股票（二级市场）；10%-20%：公司债券；70%-80%：信贷资产”(百分号、冒号、分号、连字号均为英文半角标点)；百分号前的数字应在[0，100]区间内。</v>
      </c>
      <c r="L1738" s="31" t="str">
        <f>INDEX(数据元说明!A:F,MATCH(I1738,数据元说明!C:C,0),6)</f>
        <v>C..2000</v>
      </c>
      <c r="M1738" s="163"/>
      <c r="N1738" s="33"/>
      <c r="O1738" s="99"/>
      <c r="P1738" s="41"/>
    </row>
    <row r="1739" s="61" customFormat="1" ht="53" spans="1:16">
      <c r="A1739" s="271"/>
      <c r="B1739" s="27"/>
      <c r="C1739" s="27"/>
      <c r="D1739" s="27"/>
      <c r="E1739" s="272"/>
      <c r="F1739" s="163" t="s">
        <v>5069</v>
      </c>
      <c r="G1739" s="41" t="s">
        <v>5070</v>
      </c>
      <c r="H1739" s="273" t="s">
        <v>5071</v>
      </c>
      <c r="I1739" s="163" t="s">
        <v>427</v>
      </c>
      <c r="J1739" s="31" t="str">
        <f>INDEX(数据元说明!A:F,MATCH(I1739,数据元说明!C:C,0),2)</f>
        <v>001035</v>
      </c>
      <c r="K1739" s="133" t="str">
        <f>INDEX(数据元说明!A:F,MATCH(I1739,数据元说明!C:C,0),5)</f>
        <v>多个代码</v>
      </c>
      <c r="L1739" s="31" t="str">
        <f>INDEX(数据元说明!A:F,MATCH(I1739,数据元说明!C:C,0),6)</f>
        <v>C..1000</v>
      </c>
      <c r="M1739" s="163" t="s">
        <v>5072</v>
      </c>
      <c r="N1739" s="139" t="s">
        <v>25</v>
      </c>
      <c r="O1739" s="140" t="s">
        <v>280</v>
      </c>
      <c r="P1739" s="41"/>
    </row>
    <row r="1740" s="61" customFormat="1" ht="53" spans="1:16">
      <c r="A1740" s="271"/>
      <c r="B1740" s="27"/>
      <c r="C1740" s="27"/>
      <c r="D1740" s="27"/>
      <c r="E1740" s="272"/>
      <c r="F1740" s="163" t="s">
        <v>5073</v>
      </c>
      <c r="G1740" s="41" t="s">
        <v>5074</v>
      </c>
      <c r="H1740" s="273" t="s">
        <v>5075</v>
      </c>
      <c r="I1740" s="163" t="s">
        <v>427</v>
      </c>
      <c r="J1740" s="31" t="str">
        <f>INDEX(数据元说明!A:F,MATCH(I1740,数据元说明!C:C,0),2)</f>
        <v>001035</v>
      </c>
      <c r="K1740" s="133" t="str">
        <f>INDEX(数据元说明!A:F,MATCH(I1740,数据元说明!C:C,0),5)</f>
        <v>多个代码</v>
      </c>
      <c r="L1740" s="31" t="str">
        <f>INDEX(数据元说明!A:F,MATCH(I1740,数据元说明!C:C,0),6)</f>
        <v>C..1000</v>
      </c>
      <c r="M1740" s="163" t="s">
        <v>5076</v>
      </c>
      <c r="N1740" s="139" t="s">
        <v>25</v>
      </c>
      <c r="O1740" s="140" t="s">
        <v>280</v>
      </c>
      <c r="P1740" s="41"/>
    </row>
    <row r="1741" s="61" customFormat="1" ht="53" spans="1:16">
      <c r="A1741" s="271"/>
      <c r="B1741" s="27"/>
      <c r="C1741" s="27"/>
      <c r="D1741" s="27"/>
      <c r="E1741" s="272"/>
      <c r="F1741" s="163" t="s">
        <v>5077</v>
      </c>
      <c r="G1741" s="41" t="s">
        <v>5078</v>
      </c>
      <c r="H1741" s="273" t="s">
        <v>5079</v>
      </c>
      <c r="I1741" s="163" t="s">
        <v>427</v>
      </c>
      <c r="J1741" s="31" t="str">
        <f>INDEX(数据元说明!A:F,MATCH(I1741,数据元说明!C:C,0),2)</f>
        <v>001035</v>
      </c>
      <c r="K1741" s="133" t="str">
        <f>INDEX(数据元说明!A:F,MATCH(I1741,数据元说明!C:C,0),5)</f>
        <v>多个代码</v>
      </c>
      <c r="L1741" s="31" t="str">
        <f>INDEX(数据元说明!A:F,MATCH(I1741,数据元说明!C:C,0),6)</f>
        <v>C..1000</v>
      </c>
      <c r="M1741" s="163" t="s">
        <v>5076</v>
      </c>
      <c r="N1741" s="139" t="s">
        <v>25</v>
      </c>
      <c r="O1741" s="140" t="s">
        <v>280</v>
      </c>
      <c r="P1741" s="41"/>
    </row>
    <row r="1742" s="81" customFormat="1" ht="36" spans="1:16">
      <c r="A1742" s="270"/>
      <c r="B1742" s="91"/>
      <c r="C1742" s="91"/>
      <c r="D1742" s="91"/>
      <c r="E1742" s="235"/>
      <c r="F1742" s="274" t="s">
        <v>5080</v>
      </c>
      <c r="G1742" s="275" t="s">
        <v>5081</v>
      </c>
      <c r="H1742" s="273" t="s">
        <v>5082</v>
      </c>
      <c r="I1742" s="274" t="s">
        <v>1202</v>
      </c>
      <c r="J1742" s="406" t="str">
        <f>INDEX(数据元说明!A:F,MATCH(I1742,数据元说明!C:C,0),2)</f>
        <v>010027</v>
      </c>
      <c r="K1742" s="138" t="str">
        <f>INDEX(数据元说明!A:F,MATCH(I1742,数据元说明!C:C,0),5)</f>
        <v>T+N（N为数字）</v>
      </c>
      <c r="L1742" s="136" t="str">
        <f>INDEX(数据元说明!A:F,MATCH(I1742,数据元说明!C:C,0),6)</f>
        <v>C..20</v>
      </c>
      <c r="M1742" s="163" t="s">
        <v>5083</v>
      </c>
      <c r="N1742" s="139" t="s">
        <v>25</v>
      </c>
      <c r="O1742" s="140" t="s">
        <v>280</v>
      </c>
      <c r="P1742" s="205"/>
    </row>
    <row r="1743" s="81" customFormat="1" ht="36" spans="1:16">
      <c r="A1743" s="270"/>
      <c r="B1743" s="91"/>
      <c r="C1743" s="91"/>
      <c r="D1743" s="91"/>
      <c r="E1743" s="235"/>
      <c r="F1743" s="274" t="s">
        <v>5084</v>
      </c>
      <c r="G1743" s="275" t="s">
        <v>5085</v>
      </c>
      <c r="H1743" s="273" t="s">
        <v>5086</v>
      </c>
      <c r="I1743" s="274" t="s">
        <v>1202</v>
      </c>
      <c r="J1743" s="406" t="str">
        <f>INDEX(数据元说明!A:F,MATCH(I1743,数据元说明!C:C,0),2)</f>
        <v>010027</v>
      </c>
      <c r="K1743" s="138" t="str">
        <f>INDEX(数据元说明!A:F,MATCH(I1743,数据元说明!C:C,0),5)</f>
        <v>T+N（N为数字）</v>
      </c>
      <c r="L1743" s="136" t="str">
        <f>INDEX(数据元说明!A:F,MATCH(I1743,数据元说明!C:C,0),6)</f>
        <v>C..20</v>
      </c>
      <c r="M1743" s="163" t="s">
        <v>5087</v>
      </c>
      <c r="N1743" s="139" t="s">
        <v>25</v>
      </c>
      <c r="O1743" s="140" t="s">
        <v>280</v>
      </c>
      <c r="P1743" s="205"/>
    </row>
    <row r="1744" s="61" customFormat="1" ht="36" spans="1:16">
      <c r="A1744" s="271"/>
      <c r="B1744" s="27"/>
      <c r="C1744" s="27"/>
      <c r="D1744" s="27"/>
      <c r="E1744" s="272"/>
      <c r="F1744" s="163" t="s">
        <v>5088</v>
      </c>
      <c r="G1744" s="41" t="s">
        <v>5089</v>
      </c>
      <c r="H1744" s="273" t="s">
        <v>5090</v>
      </c>
      <c r="I1744" s="163" t="s">
        <v>287</v>
      </c>
      <c r="J1744" s="31" t="str">
        <f>INDEX(数据元说明!A:F,MATCH(I1744,数据元说明!C:C,0),2)</f>
        <v>001002</v>
      </c>
      <c r="K1744" s="133" t="str">
        <f>INDEX(数据元说明!A:F,MATCH(I1744,数据元说明!C:C,0),5)</f>
        <v>是，否。</v>
      </c>
      <c r="L1744" s="31" t="str">
        <f>INDEX(数据元说明!A:F,MATCH(I1744,数据元说明!C:C,0),6)</f>
        <v>C3</v>
      </c>
      <c r="M1744" s="163" t="s">
        <v>5091</v>
      </c>
      <c r="N1744" s="33"/>
      <c r="O1744" s="99"/>
      <c r="P1744" s="41"/>
    </row>
    <row r="1745" s="61" customFormat="1" spans="1:16">
      <c r="A1745" s="271"/>
      <c r="B1745" s="27"/>
      <c r="C1745" s="27"/>
      <c r="D1745" s="27"/>
      <c r="E1745" s="272"/>
      <c r="F1745" s="163" t="s">
        <v>5092</v>
      </c>
      <c r="G1745" s="41" t="s">
        <v>5093</v>
      </c>
      <c r="H1745" s="273" t="s">
        <v>5094</v>
      </c>
      <c r="I1745" s="163" t="s">
        <v>287</v>
      </c>
      <c r="J1745" s="31" t="str">
        <f>INDEX(数据元说明!A:F,MATCH(I1745,数据元说明!C:C,0),2)</f>
        <v>001002</v>
      </c>
      <c r="K1745" s="133" t="str">
        <f>INDEX(数据元说明!A:F,MATCH(I1745,数据元说明!C:C,0),5)</f>
        <v>是，否。</v>
      </c>
      <c r="L1745" s="31" t="str">
        <f>INDEX(数据元说明!A:F,MATCH(I1745,数据元说明!C:C,0),6)</f>
        <v>C3</v>
      </c>
      <c r="M1745" s="163" t="s">
        <v>5095</v>
      </c>
      <c r="N1745" s="33"/>
      <c r="O1745" s="99"/>
      <c r="P1745" s="41"/>
    </row>
    <row r="1746" s="61" customFormat="1" ht="36" spans="1:16">
      <c r="A1746" s="271"/>
      <c r="B1746" s="27"/>
      <c r="C1746" s="27"/>
      <c r="D1746" s="27"/>
      <c r="E1746" s="272"/>
      <c r="F1746" s="163" t="s">
        <v>5096</v>
      </c>
      <c r="G1746" s="41" t="s">
        <v>5097</v>
      </c>
      <c r="H1746" s="273" t="s">
        <v>5098</v>
      </c>
      <c r="I1746" s="163" t="s">
        <v>287</v>
      </c>
      <c r="J1746" s="31" t="str">
        <f>INDEX(数据元说明!A:F,MATCH(I1746,数据元说明!C:C,0),2)</f>
        <v>001002</v>
      </c>
      <c r="K1746" s="133" t="str">
        <f>INDEX(数据元说明!A:F,MATCH(I1746,数据元说明!C:C,0),5)</f>
        <v>是，否。</v>
      </c>
      <c r="L1746" s="31" t="str">
        <f>INDEX(数据元说明!A:F,MATCH(I1746,数据元说明!C:C,0),6)</f>
        <v>C3</v>
      </c>
      <c r="M1746" s="163" t="s">
        <v>5099</v>
      </c>
      <c r="N1746" s="33"/>
      <c r="O1746" s="99"/>
      <c r="P1746" s="41"/>
    </row>
    <row r="1747" s="61" customFormat="1" ht="36" spans="1:16">
      <c r="A1747" s="271"/>
      <c r="B1747" s="27"/>
      <c r="C1747" s="27"/>
      <c r="D1747" s="27"/>
      <c r="E1747" s="272"/>
      <c r="F1747" s="163" t="s">
        <v>1198</v>
      </c>
      <c r="G1747" s="41" t="s">
        <v>5100</v>
      </c>
      <c r="H1747" s="273" t="s">
        <v>5101</v>
      </c>
      <c r="I1747" s="163" t="s">
        <v>1198</v>
      </c>
      <c r="J1747" s="409" t="str">
        <f>INDEX(数据元说明!A:F,MATCH(I1747,数据元说明!C:C,0),2)</f>
        <v>010026</v>
      </c>
      <c r="K1747" s="133" t="str">
        <f>INDEX(数据元说明!A:F,MATCH(I1747,数据元说明!C:C,0),5)</f>
        <v>内部增级，外部增级，内外增级。</v>
      </c>
      <c r="L1747" s="31" t="str">
        <f>INDEX(数据元说明!A:F,MATCH(I1747,数据元说明!C:C,0),6)</f>
        <v>C12</v>
      </c>
      <c r="M1747" s="163" t="s">
        <v>5102</v>
      </c>
      <c r="N1747" s="33"/>
      <c r="O1747" s="99"/>
      <c r="P1747" s="41"/>
    </row>
    <row r="1748" s="61" customFormat="1" spans="1:16">
      <c r="A1748" s="271"/>
      <c r="B1748" s="27"/>
      <c r="C1748" s="27"/>
      <c r="D1748" s="27"/>
      <c r="E1748" s="272"/>
      <c r="F1748" s="163" t="s">
        <v>5103</v>
      </c>
      <c r="G1748" s="41" t="s">
        <v>5104</v>
      </c>
      <c r="H1748" s="273" t="s">
        <v>5105</v>
      </c>
      <c r="I1748" s="163" t="s">
        <v>287</v>
      </c>
      <c r="J1748" s="31" t="str">
        <f>INDEX(数据元说明!A:F,MATCH(I1748,数据元说明!C:C,0),2)</f>
        <v>001002</v>
      </c>
      <c r="K1748" s="133" t="str">
        <f>INDEX(数据元说明!A:F,MATCH(I1748,数据元说明!C:C,0),5)</f>
        <v>是，否。</v>
      </c>
      <c r="L1748" s="31" t="str">
        <f>INDEX(数据元说明!A:F,MATCH(I1748,数据元说明!C:C,0),6)</f>
        <v>C3</v>
      </c>
      <c r="M1748" s="163"/>
      <c r="N1748" s="33"/>
      <c r="O1748" s="99"/>
      <c r="P1748" s="41"/>
    </row>
    <row r="1749" s="61" customFormat="1" ht="36" spans="1:16">
      <c r="A1749" s="271"/>
      <c r="B1749" s="27"/>
      <c r="C1749" s="27"/>
      <c r="D1749" s="27"/>
      <c r="E1749" s="272"/>
      <c r="F1749" s="163" t="s">
        <v>1340</v>
      </c>
      <c r="G1749" s="41" t="s">
        <v>5106</v>
      </c>
      <c r="H1749" s="273" t="s">
        <v>5107</v>
      </c>
      <c r="I1749" s="163" t="s">
        <v>1340</v>
      </c>
      <c r="J1749" s="409" t="str">
        <f>INDEX(数据元说明!A:F,MATCH(I1749,数据元说明!C:C,0),2)</f>
        <v>010061</v>
      </c>
      <c r="K1749" s="133" t="str">
        <f>INDEX(数据元说明!A:F,MATCH(I1749,数据元说明!C:C,0),5)</f>
        <v>优先层级一，优先层级二，优先层级三，优先层级四，优先层级五，进取层级一，进取层级二，进取层级三，进取层级四，进取层级五。</v>
      </c>
      <c r="L1749" s="31" t="str">
        <f>INDEX(数据元说明!A:F,MATCH(I1749,数据元说明!C:C,0),6)</f>
        <v>C..30</v>
      </c>
      <c r="M1749" s="163"/>
      <c r="N1749" s="33"/>
      <c r="O1749" s="99"/>
      <c r="P1749" s="41"/>
    </row>
    <row r="1750" s="81" customFormat="1" spans="1:16">
      <c r="A1750" s="270"/>
      <c r="B1750" s="91"/>
      <c r="C1750" s="91"/>
      <c r="D1750" s="91"/>
      <c r="E1750" s="235"/>
      <c r="F1750" s="274" t="s">
        <v>5108</v>
      </c>
      <c r="G1750" s="275" t="s">
        <v>5109</v>
      </c>
      <c r="H1750" s="273" t="s">
        <v>5110</v>
      </c>
      <c r="I1750" s="274" t="s">
        <v>1373</v>
      </c>
      <c r="J1750" s="406" t="str">
        <f>INDEX(数据元说明!A:F,MATCH(I1750,数据元说明!C:C,0),2)</f>
        <v>010069</v>
      </c>
      <c r="K1750" s="138" t="str">
        <f>INDEX(数据元说明!A:F,MATCH(I1750,数据元说明!C:C,0),5)</f>
        <v>发行机构自定义。</v>
      </c>
      <c r="L1750" s="136" t="str">
        <f>INDEX(数据元说明!A:F,MATCH(I1750,数据元说明!C:C,0),6)</f>
        <v>C..400</v>
      </c>
      <c r="M1750" s="224"/>
      <c r="N1750" s="139" t="s">
        <v>25</v>
      </c>
      <c r="O1750" s="140" t="s">
        <v>280</v>
      </c>
      <c r="P1750" s="205"/>
    </row>
    <row r="1751" s="61" customFormat="1" ht="36" spans="1:16">
      <c r="A1751" s="271"/>
      <c r="B1751" s="27"/>
      <c r="C1751" s="27"/>
      <c r="D1751" s="27"/>
      <c r="E1751" s="272"/>
      <c r="F1751" s="163" t="s">
        <v>1245</v>
      </c>
      <c r="G1751" s="41" t="s">
        <v>5111</v>
      </c>
      <c r="H1751" s="273" t="s">
        <v>5112</v>
      </c>
      <c r="I1751" s="163" t="s">
        <v>1245</v>
      </c>
      <c r="J1751" s="409" t="str">
        <f>INDEX(数据元说明!A:F,MATCH(I1751,数据元说明!C:C,0),2)</f>
        <v>010038</v>
      </c>
      <c r="K1751" s="133" t="str">
        <f>INDEX(数据元说明!A:F,MATCH(I1751,数据元说明!C:C,0),5)</f>
        <v>有规律开放，无规律开放。</v>
      </c>
      <c r="L1751" s="31" t="str">
        <f>INDEX(数据元说明!A:F,MATCH(I1751,数据元说明!C:C,0),6)</f>
        <v>C..30</v>
      </c>
      <c r="M1751" s="163" t="s">
        <v>5113</v>
      </c>
      <c r="N1751" s="33"/>
      <c r="O1751" s="99"/>
      <c r="P1751" s="41"/>
    </row>
    <row r="1752" s="61" customFormat="1" ht="36" spans="1:16">
      <c r="A1752" s="271"/>
      <c r="B1752" s="27"/>
      <c r="C1752" s="27"/>
      <c r="D1752" s="27"/>
      <c r="E1752" s="272"/>
      <c r="F1752" s="163" t="s">
        <v>1249</v>
      </c>
      <c r="G1752" s="41" t="s">
        <v>5114</v>
      </c>
      <c r="H1752" s="273" t="s">
        <v>5115</v>
      </c>
      <c r="I1752" s="163" t="s">
        <v>1249</v>
      </c>
      <c r="J1752" s="409" t="str">
        <f>INDEX(数据元说明!A:F,MATCH(I1752,数据元说明!C:C,0),2)</f>
        <v>010039</v>
      </c>
      <c r="K1752" s="133" t="str">
        <f>INDEX(数据元说明!A:F,MATCH(I1752,数据元说明!C:C,0),5)</f>
        <v>每天开放，每周开放一次，每两周开放一次，每月开放一次，每季度开放一次，每半年开放一次，每年开放一次，其他规律开放周期。</v>
      </c>
      <c r="L1752" s="31" t="str">
        <f>INDEX(数据元说明!A:F,MATCH(I1752,数据元说明!C:C,0),6)</f>
        <v>C..30</v>
      </c>
      <c r="M1752" s="163" t="s">
        <v>5116</v>
      </c>
      <c r="N1752" s="33"/>
      <c r="O1752" s="99"/>
      <c r="P1752" s="41"/>
    </row>
    <row r="1753" s="61" customFormat="1" ht="36" spans="1:16">
      <c r="A1753" s="271"/>
      <c r="B1753" s="27"/>
      <c r="C1753" s="27"/>
      <c r="D1753" s="27"/>
      <c r="E1753" s="272"/>
      <c r="F1753" s="163" t="s">
        <v>5117</v>
      </c>
      <c r="G1753" s="41" t="s">
        <v>5118</v>
      </c>
      <c r="H1753" s="273" t="s">
        <v>5119</v>
      </c>
      <c r="I1753" s="163" t="s">
        <v>1253</v>
      </c>
      <c r="J1753" s="409" t="str">
        <f>INDEX(数据元说明!A:F,MATCH(I1753,数据元说明!C:C,0),2)</f>
        <v>010040</v>
      </c>
      <c r="K1753" s="133" t="str">
        <f>INDEX(数据元说明!A:F,MATCH(I1753,数据元说明!C:C,0),5)</f>
        <v>以天为单位计的时间长度。</v>
      </c>
      <c r="L1753" s="31" t="str">
        <f>INDEX(数据元说明!A:F,MATCH(I1753,数据元说明!C:C,0),6)</f>
        <v>I..8</v>
      </c>
      <c r="M1753" s="163" t="s">
        <v>5120</v>
      </c>
      <c r="N1753" s="139" t="s">
        <v>25</v>
      </c>
      <c r="O1753" s="140" t="s">
        <v>280</v>
      </c>
      <c r="P1753" s="41"/>
    </row>
    <row r="1754" s="61" customFormat="1" ht="36" spans="1:16">
      <c r="A1754" s="271"/>
      <c r="B1754" s="27"/>
      <c r="C1754" s="27"/>
      <c r="D1754" s="27"/>
      <c r="E1754" s="272"/>
      <c r="F1754" s="163" t="s">
        <v>5121</v>
      </c>
      <c r="G1754" s="41" t="s">
        <v>5122</v>
      </c>
      <c r="H1754" s="273" t="s">
        <v>5123</v>
      </c>
      <c r="I1754" s="163" t="s">
        <v>287</v>
      </c>
      <c r="J1754" s="31" t="str">
        <f>INDEX(数据元说明!A:F,MATCH(I1754,数据元说明!C:C,0),2)</f>
        <v>001002</v>
      </c>
      <c r="K1754" s="133" t="str">
        <f>INDEX(数据元说明!A:F,MATCH(I1754,数据元说明!C:C,0),5)</f>
        <v>是，否。</v>
      </c>
      <c r="L1754" s="31" t="str">
        <f>INDEX(数据元说明!A:F,MATCH(I1754,数据元说明!C:C,0),6)</f>
        <v>C3</v>
      </c>
      <c r="M1754" s="163" t="s">
        <v>5124</v>
      </c>
      <c r="N1754" s="33"/>
      <c r="O1754" s="99"/>
      <c r="P1754" s="41"/>
    </row>
    <row r="1755" s="61" customFormat="1" ht="36" spans="1:16">
      <c r="A1755" s="271"/>
      <c r="B1755" s="27"/>
      <c r="C1755" s="27"/>
      <c r="D1755" s="27"/>
      <c r="E1755" s="272"/>
      <c r="F1755" s="163" t="s">
        <v>1258</v>
      </c>
      <c r="G1755" s="41" t="s">
        <v>5125</v>
      </c>
      <c r="H1755" s="273" t="s">
        <v>5126</v>
      </c>
      <c r="I1755" s="163" t="s">
        <v>1258</v>
      </c>
      <c r="J1755" s="409" t="str">
        <f>INDEX(数据元说明!A:F,MATCH(I1755,数据元说明!C:C,0),2)</f>
        <v>010041</v>
      </c>
      <c r="K1755" s="133" t="str">
        <f>INDEX(数据元说明!A:F,MATCH(I1755,数据元说明!C:C,0),5)</f>
        <v>在一个年度内开放的次数。</v>
      </c>
      <c r="L1755" s="31" t="str">
        <f>INDEX(数据元说明!A:F,MATCH(I1755,数据元说明!C:C,0),6)</f>
        <v>D5.2</v>
      </c>
      <c r="M1755" s="163" t="s">
        <v>5127</v>
      </c>
      <c r="N1755" s="33"/>
      <c r="O1755" s="99"/>
      <c r="P1755" s="41"/>
    </row>
    <row r="1756" s="81" customFormat="1" ht="53" spans="1:16">
      <c r="A1756" s="270"/>
      <c r="B1756" s="91"/>
      <c r="C1756" s="91"/>
      <c r="D1756" s="91"/>
      <c r="E1756" s="235"/>
      <c r="F1756" s="224" t="s">
        <v>1263</v>
      </c>
      <c r="G1756" s="205" t="s">
        <v>5128</v>
      </c>
      <c r="H1756" s="277" t="s">
        <v>5129</v>
      </c>
      <c r="I1756" s="224" t="s">
        <v>1263</v>
      </c>
      <c r="J1756" s="406" t="str">
        <f>INDEX(数据元说明!A:F,MATCH(I1756,数据元说明!C:C,0),2)</f>
        <v>010042</v>
      </c>
      <c r="K1756" s="138" t="str">
        <f>INDEX(数据元说明!A:F,MATCH(I1756,数据元说明!C:C,0),5)</f>
        <v>申赎皆可，仅可申购无限制，仅可赎回无限制，仅可申购有限制，仅可赎回有限制，其他。</v>
      </c>
      <c r="L1756" s="136" t="str">
        <f>INDEX(数据元说明!A:F,MATCH(I1756,数据元说明!C:C,0),6)</f>
        <v>C..30</v>
      </c>
      <c r="M1756" s="274" t="s">
        <v>5130</v>
      </c>
      <c r="N1756" s="139" t="s">
        <v>25</v>
      </c>
      <c r="O1756" s="139" t="s">
        <v>3821</v>
      </c>
      <c r="P1756" s="205"/>
    </row>
    <row r="1757" s="81" customFormat="1" spans="1:16">
      <c r="A1757" s="270"/>
      <c r="B1757" s="91"/>
      <c r="C1757" s="91"/>
      <c r="D1757" s="91"/>
      <c r="E1757" s="235"/>
      <c r="F1757" s="274" t="s">
        <v>5131</v>
      </c>
      <c r="G1757" s="275" t="s">
        <v>5132</v>
      </c>
      <c r="H1757" s="273" t="s">
        <v>5133</v>
      </c>
      <c r="I1757" s="274" t="s">
        <v>302</v>
      </c>
      <c r="J1757" s="136" t="str">
        <f>INDEX(数据元说明!A:F,MATCH(I1757,数据元说明!C:C,0),2)</f>
        <v>001005</v>
      </c>
      <c r="K1757" s="138" t="str">
        <f>INDEX(数据元说明!A:F,MATCH(I1757,数据元说明!C:C,0),5)</f>
        <v>YYYYMMDD，默认值99991231。</v>
      </c>
      <c r="L1757" s="136" t="str">
        <f>INDEX(数据元说明!A:F,MATCH(I1757,数据元说明!C:C,0),6)</f>
        <v>C8</v>
      </c>
      <c r="M1757" s="224" t="s">
        <v>5134</v>
      </c>
      <c r="N1757" s="139" t="s">
        <v>25</v>
      </c>
      <c r="O1757" s="140" t="s">
        <v>449</v>
      </c>
      <c r="P1757" s="205"/>
    </row>
    <row r="1758" s="81" customFormat="1" spans="1:16">
      <c r="A1758" s="270"/>
      <c r="B1758" s="91"/>
      <c r="C1758" s="91"/>
      <c r="D1758" s="91"/>
      <c r="E1758" s="235"/>
      <c r="F1758" s="274" t="s">
        <v>5135</v>
      </c>
      <c r="G1758" s="275" t="s">
        <v>5136</v>
      </c>
      <c r="H1758" s="273" t="s">
        <v>5137</v>
      </c>
      <c r="I1758" s="274" t="s">
        <v>302</v>
      </c>
      <c r="J1758" s="136" t="str">
        <f>INDEX(数据元说明!A:F,MATCH(I1758,数据元说明!C:C,0),2)</f>
        <v>001005</v>
      </c>
      <c r="K1758" s="138" t="str">
        <f>INDEX(数据元说明!A:F,MATCH(I1758,数据元说明!C:C,0),5)</f>
        <v>YYYYMMDD，默认值99991231。</v>
      </c>
      <c r="L1758" s="136" t="str">
        <f>INDEX(数据元说明!A:F,MATCH(I1758,数据元说明!C:C,0),6)</f>
        <v>C8</v>
      </c>
      <c r="M1758" s="224" t="s">
        <v>5138</v>
      </c>
      <c r="N1758" s="139" t="s">
        <v>25</v>
      </c>
      <c r="O1758" s="140" t="s">
        <v>449</v>
      </c>
      <c r="P1758" s="205"/>
    </row>
    <row r="1759" s="61" customFormat="1" ht="36" spans="1:16">
      <c r="A1759" s="271"/>
      <c r="B1759" s="27"/>
      <c r="C1759" s="27"/>
      <c r="D1759" s="27"/>
      <c r="E1759" s="272"/>
      <c r="F1759" s="163" t="s">
        <v>5139</v>
      </c>
      <c r="G1759" s="41" t="s">
        <v>5140</v>
      </c>
      <c r="H1759" s="273" t="s">
        <v>5141</v>
      </c>
      <c r="I1759" s="163" t="s">
        <v>302</v>
      </c>
      <c r="J1759" s="31" t="str">
        <f>INDEX(数据元说明!A:F,MATCH(I1759,数据元说明!C:C,0),2)</f>
        <v>001005</v>
      </c>
      <c r="K1759" s="133" t="str">
        <f>INDEX(数据元说明!A:F,MATCH(I1759,数据元说明!C:C,0),5)</f>
        <v>YYYYMMDD，默认值99991231。</v>
      </c>
      <c r="L1759" s="31" t="str">
        <f>INDEX(数据元说明!A:F,MATCH(I1759,数据元说明!C:C,0),6)</f>
        <v>C8</v>
      </c>
      <c r="M1759" s="163" t="s">
        <v>5142</v>
      </c>
      <c r="N1759" s="33"/>
      <c r="O1759" s="99"/>
      <c r="P1759" s="41"/>
    </row>
    <row r="1760" s="61" customFormat="1" spans="1:16">
      <c r="A1760" s="271"/>
      <c r="B1760" s="27"/>
      <c r="C1760" s="27"/>
      <c r="D1760" s="27"/>
      <c r="E1760" s="272"/>
      <c r="F1760" s="163" t="s">
        <v>5143</v>
      </c>
      <c r="G1760" s="41" t="s">
        <v>5144</v>
      </c>
      <c r="H1760" s="273" t="s">
        <v>5145</v>
      </c>
      <c r="I1760" s="163" t="s">
        <v>302</v>
      </c>
      <c r="J1760" s="31" t="str">
        <f>INDEX(数据元说明!A:F,MATCH(I1760,数据元说明!C:C,0),2)</f>
        <v>001005</v>
      </c>
      <c r="K1760" s="133" t="str">
        <f>INDEX(数据元说明!A:F,MATCH(I1760,数据元说明!C:C,0),5)</f>
        <v>YYYYMMDD，默认值99991231。</v>
      </c>
      <c r="L1760" s="31" t="str">
        <f>INDEX(数据元说明!A:F,MATCH(I1760,数据元说明!C:C,0),6)</f>
        <v>C8</v>
      </c>
      <c r="M1760" s="163" t="s">
        <v>5146</v>
      </c>
      <c r="N1760" s="33"/>
      <c r="O1760" s="99"/>
      <c r="P1760" s="41"/>
    </row>
    <row r="1761" s="61" customFormat="1" ht="36" spans="1:16">
      <c r="A1761" s="271"/>
      <c r="B1761" s="27"/>
      <c r="C1761" s="27"/>
      <c r="D1761" s="27"/>
      <c r="E1761" s="272"/>
      <c r="F1761" s="163" t="s">
        <v>5147</v>
      </c>
      <c r="G1761" s="41" t="s">
        <v>5148</v>
      </c>
      <c r="H1761" s="273" t="s">
        <v>5149</v>
      </c>
      <c r="I1761" s="163" t="s">
        <v>302</v>
      </c>
      <c r="J1761" s="31" t="str">
        <f>INDEX(数据元说明!A:F,MATCH(I1761,数据元说明!C:C,0),2)</f>
        <v>001005</v>
      </c>
      <c r="K1761" s="133" t="str">
        <f>INDEX(数据元说明!A:F,MATCH(I1761,数据元说明!C:C,0),5)</f>
        <v>YYYYMMDD，默认值99991231。</v>
      </c>
      <c r="L1761" s="31" t="str">
        <f>INDEX(数据元说明!A:F,MATCH(I1761,数据元说明!C:C,0),6)</f>
        <v>C8</v>
      </c>
      <c r="M1761" s="163" t="s">
        <v>5150</v>
      </c>
      <c r="N1761" s="33"/>
      <c r="O1761" s="99"/>
      <c r="P1761" s="41"/>
    </row>
    <row r="1762" s="81" customFormat="1" ht="53" spans="1:16">
      <c r="A1762" s="270"/>
      <c r="B1762" s="91"/>
      <c r="C1762" s="91"/>
      <c r="D1762" s="91"/>
      <c r="E1762" s="235"/>
      <c r="F1762" s="224" t="s">
        <v>5151</v>
      </c>
      <c r="G1762" s="205" t="s">
        <v>5152</v>
      </c>
      <c r="H1762" s="277" t="s">
        <v>5153</v>
      </c>
      <c r="I1762" s="274" t="s">
        <v>302</v>
      </c>
      <c r="J1762" s="136" t="str">
        <f>INDEX(数据元说明!A:F,MATCH(I1762,数据元说明!C:C,0),2)</f>
        <v>001005</v>
      </c>
      <c r="K1762" s="138" t="str">
        <f>INDEX(数据元说明!A:F,MATCH(I1762,数据元说明!C:C,0),5)</f>
        <v>YYYYMMDD，默认值99991231。</v>
      </c>
      <c r="L1762" s="136" t="str">
        <f>INDEX(数据元说明!A:F,MATCH(I1762,数据元说明!C:C,0),6)</f>
        <v>C8</v>
      </c>
      <c r="M1762" s="274" t="s">
        <v>5154</v>
      </c>
      <c r="N1762" s="139" t="s">
        <v>25</v>
      </c>
      <c r="O1762" s="139" t="s">
        <v>1550</v>
      </c>
      <c r="P1762" s="205"/>
    </row>
    <row r="1763" s="81" customFormat="1" ht="53" spans="1:16">
      <c r="A1763" s="270"/>
      <c r="B1763" s="91"/>
      <c r="C1763" s="91"/>
      <c r="D1763" s="91"/>
      <c r="E1763" s="235"/>
      <c r="F1763" s="224" t="s">
        <v>5155</v>
      </c>
      <c r="G1763" s="205" t="s">
        <v>5156</v>
      </c>
      <c r="H1763" s="277" t="s">
        <v>5157</v>
      </c>
      <c r="I1763" s="274" t="s">
        <v>302</v>
      </c>
      <c r="J1763" s="136" t="str">
        <f>INDEX(数据元说明!A:F,MATCH(I1763,数据元说明!C:C,0),2)</f>
        <v>001005</v>
      </c>
      <c r="K1763" s="138" t="str">
        <f>INDEX(数据元说明!A:F,MATCH(I1763,数据元说明!C:C,0),5)</f>
        <v>YYYYMMDD，默认值99991231。</v>
      </c>
      <c r="L1763" s="136" t="str">
        <f>INDEX(数据元说明!A:F,MATCH(I1763,数据元说明!C:C,0),6)</f>
        <v>C8</v>
      </c>
      <c r="M1763" s="274" t="s">
        <v>5158</v>
      </c>
      <c r="N1763" s="139" t="s">
        <v>25</v>
      </c>
      <c r="O1763" s="139" t="s">
        <v>1550</v>
      </c>
      <c r="P1763" s="205"/>
    </row>
    <row r="1764" s="81" customFormat="1" ht="71" spans="1:16">
      <c r="A1764" s="270"/>
      <c r="B1764" s="91"/>
      <c r="C1764" s="91"/>
      <c r="D1764" s="91"/>
      <c r="E1764" s="235"/>
      <c r="F1764" s="224" t="s">
        <v>5159</v>
      </c>
      <c r="G1764" s="205" t="s">
        <v>5160</v>
      </c>
      <c r="H1764" s="277" t="s">
        <v>5161</v>
      </c>
      <c r="I1764" s="274" t="s">
        <v>302</v>
      </c>
      <c r="J1764" s="136" t="str">
        <f>INDEX(数据元说明!A:F,MATCH(I1764,数据元说明!C:C,0),2)</f>
        <v>001005</v>
      </c>
      <c r="K1764" s="138" t="str">
        <f>INDEX(数据元说明!A:F,MATCH(I1764,数据元说明!C:C,0),5)</f>
        <v>YYYYMMDD，默认值99991231。</v>
      </c>
      <c r="L1764" s="136" t="str">
        <f>INDEX(数据元说明!A:F,MATCH(I1764,数据元说明!C:C,0),6)</f>
        <v>C8</v>
      </c>
      <c r="M1764" s="274" t="s">
        <v>5162</v>
      </c>
      <c r="N1764" s="139" t="s">
        <v>25</v>
      </c>
      <c r="O1764" s="140" t="s">
        <v>1550</v>
      </c>
      <c r="P1764" s="205"/>
    </row>
    <row r="1765" s="81" customFormat="1" ht="53" spans="1:16">
      <c r="A1765" s="270"/>
      <c r="B1765" s="91"/>
      <c r="C1765" s="91"/>
      <c r="D1765" s="91"/>
      <c r="E1765" s="235"/>
      <c r="F1765" s="274" t="s">
        <v>1236</v>
      </c>
      <c r="G1765" s="275" t="s">
        <v>5163</v>
      </c>
      <c r="H1765" s="273" t="s">
        <v>5164</v>
      </c>
      <c r="I1765" s="274" t="s">
        <v>1236</v>
      </c>
      <c r="J1765" s="406" t="str">
        <f>INDEX(数据元说明!A:F,MATCH(I1765,数据元说明!C:C,0),2)</f>
        <v>010036</v>
      </c>
      <c r="K1765" s="138" t="str">
        <f>INDEX(数据元说明!A:F,MATCH(I1765,数据元说明!C:C,0),5)</f>
        <v>存续，暂存，待审阅，报告通过，报告未通过，报告通过未发行，已发行登记，发行失败，已募集登记，已终止登记。</v>
      </c>
      <c r="L1765" s="136" t="str">
        <f>INDEX(数据元说明!A:F,MATCH(I1765,数据元说明!C:C,0),6)</f>
        <v>C..30</v>
      </c>
      <c r="M1765" s="274" t="s">
        <v>5165</v>
      </c>
      <c r="N1765" s="139" t="s">
        <v>25</v>
      </c>
      <c r="O1765" s="140" t="s">
        <v>275</v>
      </c>
      <c r="P1765" s="205"/>
    </row>
    <row r="1766" s="61" customFormat="1" ht="106" spans="1:16">
      <c r="A1766" s="271"/>
      <c r="B1766" s="27"/>
      <c r="C1766" s="27"/>
      <c r="D1766" s="27"/>
      <c r="E1766" s="272"/>
      <c r="F1766" s="163" t="s">
        <v>1194</v>
      </c>
      <c r="G1766" s="41" t="s">
        <v>5166</v>
      </c>
      <c r="H1766" s="273" t="s">
        <v>5167</v>
      </c>
      <c r="I1766" s="163" t="s">
        <v>1194</v>
      </c>
      <c r="J1766" s="409" t="str">
        <f>INDEX(数据元说明!A:F,MATCH(I1766,数据元说明!C:C,0),2)</f>
        <v>010025</v>
      </c>
      <c r="K1766" s="133" t="str">
        <f>INDEX(数据元说明!A:F,MATCH(I1766,数据元说明!C:C,0),5)</f>
        <v>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v>
      </c>
      <c r="L1766" s="31" t="str">
        <f>INDEX(数据元说明!A:F,MATCH(I1766,数据元说明!C:C,0),6)</f>
        <v>C..2000</v>
      </c>
      <c r="M1766" s="163" t="s">
        <v>5168</v>
      </c>
      <c r="N1766" s="33"/>
      <c r="O1766" s="99"/>
      <c r="P1766" s="41"/>
    </row>
    <row r="1767" s="61" customFormat="1" ht="36" spans="1:16">
      <c r="A1767" s="271"/>
      <c r="B1767" s="27"/>
      <c r="C1767" s="27"/>
      <c r="D1767" s="27"/>
      <c r="E1767" s="272"/>
      <c r="F1767" s="163" t="s">
        <v>5169</v>
      </c>
      <c r="G1767" s="41" t="s">
        <v>5170</v>
      </c>
      <c r="H1767" s="273" t="s">
        <v>5171</v>
      </c>
      <c r="I1767" s="163" t="s">
        <v>287</v>
      </c>
      <c r="J1767" s="31" t="str">
        <f>INDEX(数据元说明!A:F,MATCH(I1767,数据元说明!C:C,0),2)</f>
        <v>001002</v>
      </c>
      <c r="K1767" s="133" t="str">
        <f>INDEX(数据元说明!A:F,MATCH(I1767,数据元说明!C:C,0),5)</f>
        <v>是，否。</v>
      </c>
      <c r="L1767" s="31" t="str">
        <f>INDEX(数据元说明!A:F,MATCH(I1767,数据元说明!C:C,0),6)</f>
        <v>C3</v>
      </c>
      <c r="M1767" s="163" t="s">
        <v>5172</v>
      </c>
      <c r="N1767" s="33"/>
      <c r="O1767" s="99"/>
      <c r="P1767" s="41"/>
    </row>
    <row r="1768" s="61" customFormat="1" spans="1:16">
      <c r="A1768" s="271"/>
      <c r="B1768" s="27"/>
      <c r="C1768" s="27"/>
      <c r="D1768" s="27"/>
      <c r="E1768" s="272"/>
      <c r="F1768" s="163" t="s">
        <v>5173</v>
      </c>
      <c r="G1768" s="41" t="s">
        <v>5174</v>
      </c>
      <c r="H1768" s="273" t="s">
        <v>5175</v>
      </c>
      <c r="I1768" s="163" t="s">
        <v>1401</v>
      </c>
      <c r="J1768" s="409" t="str">
        <f>INDEX(数据元说明!A:F,MATCH(I1768,数据元说明!C:C,0),2)</f>
        <v>010076</v>
      </c>
      <c r="K1768" s="133" t="str">
        <f>INDEX(数据元说明!A:F,MATCH(I1768,数据元说明!C:C,0),5)</f>
        <v>取自金融机构代码证前6位。</v>
      </c>
      <c r="L1768" s="31" t="str">
        <f>INDEX(数据元说明!A:F,MATCH(I1768,数据元说明!C:C,0),6)</f>
        <v>C..30</v>
      </c>
      <c r="M1768" s="163" t="s">
        <v>5176</v>
      </c>
      <c r="N1768" s="33"/>
      <c r="O1768" s="99"/>
      <c r="P1768" s="41"/>
    </row>
    <row r="1769" s="61" customFormat="1" ht="194" spans="1:16">
      <c r="A1769" s="271"/>
      <c r="B1769" s="27"/>
      <c r="C1769" s="27"/>
      <c r="D1769" s="27"/>
      <c r="E1769" s="272"/>
      <c r="F1769" s="163" t="s">
        <v>5177</v>
      </c>
      <c r="G1769" s="41" t="s">
        <v>5178</v>
      </c>
      <c r="H1769" s="273" t="s">
        <v>5179</v>
      </c>
      <c r="I1769" s="163" t="s">
        <v>1393</v>
      </c>
      <c r="J1769" s="409" t="str">
        <f>INDEX(数据元说明!A:F,MATCH(I1769,数据元说明!C:C,0),2)</f>
        <v>010074</v>
      </c>
      <c r="K1769" s="133" t="str">
        <f>INDEX(数据元说明!A:F,MATCH(I1769,数据元说明!C:C,0),5)</f>
        <v>中国工商银行股份有限公司，中国农业银行股份有限公司，中国银行股份有限公司，中国建设银行股份有限公司，交通银行股份有限公司，华夏银行股份有限公司，中国光大银行股份有限公司，招商银行股份有限公司，中信银行股份有限公司，中国民生银行股份有限公司，兴业银行股份有限公司，上海浦东发展银行股份有限公司，北京银行股份有限公司，平安银行股份有限公司，广发银行股份有限公司，中国邮政储蓄银行股份有限公司，上海银行股份有限公司，渤海银行股份有限公司，宁波银行股份有限公司，浙商银行股份有限公司，徽商银行股份有限公司，广州农村商业银行股份有限公司，包商银行股份有限公司，恒丰银行股份有限公司，杭州银行股份有限公司，南京银行股份有限公司，江苏银行股份有限公司，银行业理财登记托管中心有限公司，其他</v>
      </c>
      <c r="L1769" s="31" t="str">
        <f>INDEX(数据元说明!A:F,MATCH(I1769,数据元说明!C:C,0),6)</f>
        <v>C..300</v>
      </c>
      <c r="M1769" s="163" t="s">
        <v>5180</v>
      </c>
      <c r="N1769" s="33"/>
      <c r="O1769" s="99"/>
      <c r="P1769" s="41"/>
    </row>
    <row r="1770" s="61" customFormat="1" ht="53" spans="1:16">
      <c r="A1770" s="271"/>
      <c r="B1770" s="27"/>
      <c r="C1770" s="27"/>
      <c r="D1770" s="27"/>
      <c r="E1770" s="272"/>
      <c r="F1770" s="163" t="s">
        <v>5181</v>
      </c>
      <c r="G1770" s="41" t="s">
        <v>5182</v>
      </c>
      <c r="H1770" s="273" t="s">
        <v>5183</v>
      </c>
      <c r="I1770" s="163" t="s">
        <v>1109</v>
      </c>
      <c r="J1770" s="409" t="str">
        <f>INDEX(数据元说明!A:F,MATCH(I1770,数据元说明!C:C,0),2)</f>
        <v>010004</v>
      </c>
      <c r="K1770" s="133" t="str">
        <f>INDEX(数据元说明!A:F,MATCH(I1770,数据元说明!C:C,0),5)</f>
        <v>《GB/T 2659 世界各国和地区名称代码》定义的三字符代码，如CHN。</v>
      </c>
      <c r="L1770" s="31" t="str">
        <f>INDEX(数据元说明!A:F,MATCH(I1770,数据元说明!C:C,0),6)</f>
        <v>C3</v>
      </c>
      <c r="M1770" s="163" t="s">
        <v>5184</v>
      </c>
      <c r="N1770" s="139" t="s">
        <v>25</v>
      </c>
      <c r="O1770" s="139" t="s">
        <v>280</v>
      </c>
      <c r="P1770" s="41"/>
    </row>
    <row r="1771" s="61" customFormat="1" ht="30" customHeight="1" spans="1:16">
      <c r="A1771" s="271"/>
      <c r="B1771" s="27"/>
      <c r="C1771" s="27"/>
      <c r="D1771" s="27"/>
      <c r="E1771" s="272"/>
      <c r="F1771" s="274" t="s">
        <v>5185</v>
      </c>
      <c r="G1771" s="275" t="s">
        <v>5186</v>
      </c>
      <c r="H1771" s="273" t="s">
        <v>5187</v>
      </c>
      <c r="I1771" s="274" t="s">
        <v>282</v>
      </c>
      <c r="J1771" s="136" t="str">
        <f>INDEX(数据元说明!A:F,MATCH(I1771,数据元说明!C:C,0),2)</f>
        <v>001001</v>
      </c>
      <c r="K1771" s="138" t="str">
        <f>INDEX(数据元说明!A:F,MATCH(I1771,数据元说明!C:C,0),5)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771" s="136" t="str">
        <f>INDEX(数据元说明!A:F,MATCH(I1771,数据元说明!C:C,0),6)</f>
        <v>C..400</v>
      </c>
      <c r="M1771" s="224" t="s">
        <v>5188</v>
      </c>
      <c r="N1771" s="139" t="s">
        <v>25</v>
      </c>
      <c r="O1771" s="139" t="s">
        <v>280</v>
      </c>
      <c r="P1771" s="205"/>
    </row>
    <row r="1772" s="61" customFormat="1" spans="1:16">
      <c r="A1772" s="271"/>
      <c r="B1772" s="27"/>
      <c r="C1772" s="27"/>
      <c r="D1772" s="27"/>
      <c r="E1772" s="272"/>
      <c r="F1772" s="163" t="s">
        <v>5189</v>
      </c>
      <c r="G1772" s="41" t="s">
        <v>5190</v>
      </c>
      <c r="H1772" s="273" t="s">
        <v>5191</v>
      </c>
      <c r="I1772" s="163" t="s">
        <v>570</v>
      </c>
      <c r="J1772" s="31" t="str">
        <f>INDEX(数据元说明!A:F,MATCH(I1772,数据元说明!C:C,0),2)</f>
        <v>003001</v>
      </c>
      <c r="K1772" s="133" t="str">
        <f>INDEX(数据元说明!A:F,MATCH(I1772,数据元说明!C:C,0),5)</f>
        <v>系统内最细一级的账号，无唯一性约束，不需要和序号、子序号等做拼接。</v>
      </c>
      <c r="L1772" s="31" t="str">
        <f>INDEX(数据元说明!A:F,MATCH(I1772,数据元说明!C:C,0),6)</f>
        <v>C..60</v>
      </c>
      <c r="M1772" s="276" t="s">
        <v>5192</v>
      </c>
      <c r="N1772" s="33"/>
      <c r="O1772" s="99"/>
      <c r="P1772" s="41"/>
    </row>
    <row r="1773" s="81" customFormat="1" ht="53" spans="1:16">
      <c r="A1773" s="270"/>
      <c r="B1773" s="91"/>
      <c r="C1773" s="91"/>
      <c r="D1773" s="91"/>
      <c r="E1773" s="235"/>
      <c r="F1773" s="274" t="s">
        <v>5193</v>
      </c>
      <c r="G1773" s="275" t="s">
        <v>5194</v>
      </c>
      <c r="H1773" s="273" t="s">
        <v>5195</v>
      </c>
      <c r="I1773" s="274" t="s">
        <v>628</v>
      </c>
      <c r="J1773" s="136" t="str">
        <f>INDEX(数据元说明!A:F,MATCH(I1773,数据元说明!C:C,0),2)</f>
        <v>003015</v>
      </c>
      <c r="K1773" s="138" t="str">
        <f>INDEX(数据元说明!A:F,MATCH(I1773,数据元说明!C:C,0),5)</f>
        <v>账户归属者的名称。如果客户为个人，则为隐私，银行机构变形，变形规则见《采集技术接口说明》。客户是境内涉密机构的，账户名称填报为“*********”。其他情况，则为非隐私，不做变形。</v>
      </c>
      <c r="L1773" s="136" t="str">
        <f>INDEX(数据元说明!A:F,MATCH(I1773,数据元说明!C:C,0),6)</f>
        <v>C..400</v>
      </c>
      <c r="M1773" s="278" t="s">
        <v>5196</v>
      </c>
      <c r="N1773" s="139" t="s">
        <v>25</v>
      </c>
      <c r="O1773" s="139" t="s">
        <v>1516</v>
      </c>
      <c r="P1773" s="205"/>
    </row>
    <row r="1774" s="81" customFormat="1" ht="106" spans="1:16">
      <c r="A1774" s="270"/>
      <c r="B1774" s="91"/>
      <c r="C1774" s="91"/>
      <c r="D1774" s="91"/>
      <c r="E1774" s="235"/>
      <c r="F1774" s="224" t="s">
        <v>5197</v>
      </c>
      <c r="G1774" s="205" t="s">
        <v>5198</v>
      </c>
      <c r="H1774" s="277" t="s">
        <v>5199</v>
      </c>
      <c r="I1774" s="224" t="s">
        <v>287</v>
      </c>
      <c r="J1774" s="136" t="str">
        <f>INDEX(数据元说明!A:F,MATCH(I1774,数据元说明!C:C,0),2)</f>
        <v>001002</v>
      </c>
      <c r="K1774" s="138" t="str">
        <f>INDEX(数据元说明!A:F,MATCH(I1774,数据元说明!C:C,0),5)</f>
        <v>是，否。</v>
      </c>
      <c r="L1774" s="136" t="str">
        <f>INDEX(数据元说明!A:F,MATCH(I1774,数据元说明!C:C,0),6)</f>
        <v>C3</v>
      </c>
      <c r="M1774" s="224" t="s">
        <v>5200</v>
      </c>
      <c r="N1774" s="139" t="s">
        <v>25</v>
      </c>
      <c r="O1774" s="139" t="s">
        <v>5201</v>
      </c>
      <c r="P1774" s="205"/>
    </row>
    <row r="1775" s="61" customFormat="1" spans="1:16">
      <c r="A1775" s="271"/>
      <c r="B1775" s="27"/>
      <c r="C1775" s="27"/>
      <c r="D1775" s="27"/>
      <c r="E1775" s="272"/>
      <c r="F1775" s="163" t="s">
        <v>1267</v>
      </c>
      <c r="G1775" s="41" t="s">
        <v>5202</v>
      </c>
      <c r="H1775" s="273" t="s">
        <v>5203</v>
      </c>
      <c r="I1775" s="163" t="s">
        <v>1267</v>
      </c>
      <c r="J1775" s="409" t="str">
        <f>INDEX(数据元说明!A:F,MATCH(I1775,数据元说明!C:C,0),2)</f>
        <v>010043</v>
      </c>
      <c r="K1775" s="133" t="str">
        <f>INDEX(数据元说明!A:F,MATCH(I1775,数据元说明!C:C,0),5)</f>
        <v>公募，私募。</v>
      </c>
      <c r="L1775" s="31" t="str">
        <f>INDEX(数据元说明!A:F,MATCH(I1775,数据元说明!C:C,0),6)</f>
        <v>C..30</v>
      </c>
      <c r="M1775" s="163" t="s">
        <v>5204</v>
      </c>
      <c r="N1775" s="33"/>
      <c r="O1775" s="99"/>
      <c r="P1775" s="41"/>
    </row>
    <row r="1776" s="61" customFormat="1" ht="36" spans="1:16">
      <c r="A1776" s="271"/>
      <c r="B1776" s="27"/>
      <c r="C1776" s="27"/>
      <c r="D1776" s="27"/>
      <c r="E1776" s="272"/>
      <c r="F1776" s="163" t="s">
        <v>1271</v>
      </c>
      <c r="G1776" s="41" t="s">
        <v>5205</v>
      </c>
      <c r="H1776" s="273" t="s">
        <v>5206</v>
      </c>
      <c r="I1776" s="163" t="s">
        <v>1271</v>
      </c>
      <c r="J1776" s="409" t="str">
        <f>INDEX(数据元说明!A:F,MATCH(I1776,数据元说明!C:C,0),2)</f>
        <v>010044</v>
      </c>
      <c r="K1776" s="133" t="str">
        <f>INDEX(数据元说明!A:F,MATCH(I1776,数据元说明!C:C,0),5)</f>
        <v>固收类，权益类，商品及衍生品类，混合类。</v>
      </c>
      <c r="L1776" s="31" t="str">
        <f>INDEX(数据元说明!A:F,MATCH(I1776,数据元说明!C:C,0),6)</f>
        <v>C..30</v>
      </c>
      <c r="M1776" s="163" t="s">
        <v>5207</v>
      </c>
      <c r="N1776" s="33"/>
      <c r="O1776" s="99"/>
      <c r="P1776" s="41"/>
    </row>
    <row r="1777" s="61" customFormat="1" ht="53" spans="1:16">
      <c r="A1777" s="271"/>
      <c r="B1777" s="27"/>
      <c r="C1777" s="27"/>
      <c r="D1777" s="27"/>
      <c r="E1777" s="272"/>
      <c r="F1777" s="163" t="s">
        <v>5208</v>
      </c>
      <c r="G1777" s="41" t="s">
        <v>5209</v>
      </c>
      <c r="H1777" s="273" t="s">
        <v>5210</v>
      </c>
      <c r="I1777" s="163" t="s">
        <v>287</v>
      </c>
      <c r="J1777" s="31" t="str">
        <f>INDEX(数据元说明!A:F,MATCH(I1777,数据元说明!C:C,0),2)</f>
        <v>001002</v>
      </c>
      <c r="K1777" s="133" t="str">
        <f>INDEX(数据元说明!A:F,MATCH(I1777,数据元说明!C:C,0),5)</f>
        <v>是，否。</v>
      </c>
      <c r="L1777" s="31" t="str">
        <f>INDEX(数据元说明!A:F,MATCH(I1777,数据元说明!C:C,0),6)</f>
        <v>C3</v>
      </c>
      <c r="M1777" s="163" t="s">
        <v>5211</v>
      </c>
      <c r="N1777" s="33"/>
      <c r="O1777" s="99"/>
      <c r="P1777" s="41"/>
    </row>
    <row r="1778" s="61" customFormat="1" ht="36" spans="1:16">
      <c r="A1778" s="271"/>
      <c r="B1778" s="27"/>
      <c r="C1778" s="27"/>
      <c r="D1778" s="27"/>
      <c r="E1778" s="272"/>
      <c r="F1778" s="163" t="s">
        <v>5212</v>
      </c>
      <c r="G1778" s="41" t="s">
        <v>5213</v>
      </c>
      <c r="H1778" s="273" t="s">
        <v>5214</v>
      </c>
      <c r="I1778" s="163" t="s">
        <v>1253</v>
      </c>
      <c r="J1778" s="409" t="str">
        <f>INDEX(数据元说明!A:F,MATCH(I1778,数据元说明!C:C,0),2)</f>
        <v>010040</v>
      </c>
      <c r="K1778" s="133" t="str">
        <f>INDEX(数据元说明!A:F,MATCH(I1778,数据元说明!C:C,0),5)</f>
        <v>以天为单位计的时间长度。</v>
      </c>
      <c r="L1778" s="31" t="str">
        <f>INDEX(数据元说明!A:F,MATCH(I1778,数据元说明!C:C,0),6)</f>
        <v>I..8</v>
      </c>
      <c r="M1778" s="163" t="s">
        <v>5215</v>
      </c>
      <c r="N1778" s="139" t="s">
        <v>25</v>
      </c>
      <c r="O1778" s="139" t="s">
        <v>280</v>
      </c>
      <c r="P1778" s="41"/>
    </row>
    <row r="1779" s="61" customFormat="1" ht="53" spans="1:16">
      <c r="A1779" s="271"/>
      <c r="B1779" s="27"/>
      <c r="C1779" s="27"/>
      <c r="D1779" s="27"/>
      <c r="E1779" s="272"/>
      <c r="F1779" s="163" t="s">
        <v>5216</v>
      </c>
      <c r="G1779" s="41" t="s">
        <v>5217</v>
      </c>
      <c r="H1779" s="273" t="s">
        <v>5218</v>
      </c>
      <c r="I1779" s="163" t="s">
        <v>287</v>
      </c>
      <c r="J1779" s="31" t="str">
        <f>INDEX(数据元说明!A:F,MATCH(I1779,数据元说明!C:C,0),2)</f>
        <v>001002</v>
      </c>
      <c r="K1779" s="133" t="str">
        <f>INDEX(数据元说明!A:F,MATCH(I1779,数据元说明!C:C,0),5)</f>
        <v>是，否。</v>
      </c>
      <c r="L1779" s="31" t="str">
        <f>INDEX(数据元说明!A:F,MATCH(I1779,数据元说明!C:C,0),6)</f>
        <v>C3</v>
      </c>
      <c r="M1779" s="163" t="s">
        <v>5219</v>
      </c>
      <c r="N1779" s="33"/>
      <c r="O1779" s="99"/>
      <c r="P1779" s="41"/>
    </row>
    <row r="1780" s="61" customFormat="1" ht="36" spans="1:16">
      <c r="A1780" s="271"/>
      <c r="B1780" s="27"/>
      <c r="C1780" s="27"/>
      <c r="D1780" s="27"/>
      <c r="E1780" s="272"/>
      <c r="F1780" s="163" t="s">
        <v>5220</v>
      </c>
      <c r="G1780" s="41" t="s">
        <v>5221</v>
      </c>
      <c r="H1780" s="273" t="s">
        <v>5222</v>
      </c>
      <c r="I1780" s="163" t="s">
        <v>287</v>
      </c>
      <c r="J1780" s="31" t="str">
        <f>INDEX(数据元说明!A:F,MATCH(I1780,数据元说明!C:C,0),2)</f>
        <v>001002</v>
      </c>
      <c r="K1780" s="133" t="str">
        <f>INDEX(数据元说明!A:F,MATCH(I1780,数据元说明!C:C,0),5)</f>
        <v>是，否。</v>
      </c>
      <c r="L1780" s="31" t="str">
        <f>INDEX(数据元说明!A:F,MATCH(I1780,数据元说明!C:C,0),6)</f>
        <v>C3</v>
      </c>
      <c r="M1780" s="163"/>
      <c r="N1780" s="33"/>
      <c r="O1780" s="99"/>
      <c r="P1780" s="41"/>
    </row>
    <row r="1781" s="81" customFormat="1" ht="53" spans="1:16">
      <c r="A1781" s="270"/>
      <c r="B1781" s="91"/>
      <c r="C1781" s="91"/>
      <c r="D1781" s="91"/>
      <c r="E1781" s="235"/>
      <c r="F1781" s="274" t="s">
        <v>5223</v>
      </c>
      <c r="G1781" s="275" t="s">
        <v>5224</v>
      </c>
      <c r="H1781" s="273" t="s">
        <v>5225</v>
      </c>
      <c r="I1781" s="224" t="s">
        <v>292</v>
      </c>
      <c r="J1781" s="136" t="str">
        <f>INDEX(数据元说明!A:F,MATCH(I1781,数据元说明!C:C,0),2)</f>
        <v>001003</v>
      </c>
      <c r="K1781" s="138" t="str">
        <f>INDEX(数据元说明!A:F,MATCH(I1781,数据元说明!C:C,0),5)</f>
        <v>百分比为单位，即1/100，保留两位小数。如4.5%则填报为4.50。</v>
      </c>
      <c r="L1781" s="136" t="str">
        <f>INDEX(数据元说明!A:F,MATCH(I1781,数据元说明!C:C,0),6)</f>
        <v>D20.2</v>
      </c>
      <c r="M1781" s="279" t="s">
        <v>5226</v>
      </c>
      <c r="N1781" s="139" t="s">
        <v>25</v>
      </c>
      <c r="O1781" s="139" t="s">
        <v>5227</v>
      </c>
      <c r="P1781" s="205"/>
    </row>
    <row r="1782" s="81" customFormat="1" ht="53" spans="1:16">
      <c r="A1782" s="270"/>
      <c r="B1782" s="91"/>
      <c r="C1782" s="91"/>
      <c r="D1782" s="91"/>
      <c r="E1782" s="235"/>
      <c r="F1782" s="274" t="s">
        <v>5228</v>
      </c>
      <c r="G1782" s="275" t="s">
        <v>5229</v>
      </c>
      <c r="H1782" s="273" t="s">
        <v>5230</v>
      </c>
      <c r="I1782" s="224" t="s">
        <v>292</v>
      </c>
      <c r="J1782" s="136" t="str">
        <f>INDEX(数据元说明!A:F,MATCH(I1782,数据元说明!C:C,0),2)</f>
        <v>001003</v>
      </c>
      <c r="K1782" s="138" t="str">
        <f>INDEX(数据元说明!A:F,MATCH(I1782,数据元说明!C:C,0),5)</f>
        <v>百分比为单位，即1/100，保留两位小数。如4.5%则填报为4.50。</v>
      </c>
      <c r="L1782" s="136" t="str">
        <f>INDEX(数据元说明!A:F,MATCH(I1782,数据元说明!C:C,0),6)</f>
        <v>D20.2</v>
      </c>
      <c r="M1782" s="279" t="s">
        <v>5231</v>
      </c>
      <c r="N1782" s="139" t="s">
        <v>25</v>
      </c>
      <c r="O1782" s="139" t="s">
        <v>5227</v>
      </c>
      <c r="P1782" s="205"/>
    </row>
    <row r="1783" s="81" customFormat="1" ht="53" spans="1:16">
      <c r="A1783" s="270"/>
      <c r="B1783" s="91"/>
      <c r="C1783" s="91"/>
      <c r="D1783" s="91"/>
      <c r="E1783" s="235"/>
      <c r="F1783" s="274" t="s">
        <v>5232</v>
      </c>
      <c r="G1783" s="275" t="s">
        <v>5233</v>
      </c>
      <c r="H1783" s="273" t="s">
        <v>5234</v>
      </c>
      <c r="I1783" s="274" t="s">
        <v>1373</v>
      </c>
      <c r="J1783" s="406" t="str">
        <f>INDEX(数据元说明!A:F,MATCH(I1783,数据元说明!C:C,0),2)</f>
        <v>010069</v>
      </c>
      <c r="K1783" s="138" t="str">
        <f>INDEX(数据元说明!A:F,MATCH(I1783,数据元说明!C:C,0),5)</f>
        <v>发行机构自定义。</v>
      </c>
      <c r="L1783" s="136" t="str">
        <f>INDEX(数据元说明!A:F,MATCH(I1783,数据元说明!C:C,0),6)</f>
        <v>C..400</v>
      </c>
      <c r="M1783" s="279" t="s">
        <v>5235</v>
      </c>
      <c r="N1783" s="139" t="s">
        <v>25</v>
      </c>
      <c r="O1783" s="139" t="s">
        <v>280</v>
      </c>
      <c r="P1783" s="205"/>
    </row>
    <row r="1784" s="81" customFormat="1" ht="53" spans="1:16">
      <c r="A1784" s="270"/>
      <c r="B1784" s="91"/>
      <c r="C1784" s="91"/>
      <c r="D1784" s="91"/>
      <c r="E1784" s="235"/>
      <c r="F1784" s="274" t="s">
        <v>5236</v>
      </c>
      <c r="G1784" s="275" t="s">
        <v>5237</v>
      </c>
      <c r="H1784" s="273" t="s">
        <v>5238</v>
      </c>
      <c r="I1784" s="224" t="s">
        <v>292</v>
      </c>
      <c r="J1784" s="136" t="str">
        <f>INDEX(数据元说明!A:F,MATCH(I1784,数据元说明!C:C,0),2)</f>
        <v>001003</v>
      </c>
      <c r="K1784" s="138" t="str">
        <f>INDEX(数据元说明!A:F,MATCH(I1784,数据元说明!C:C,0),5)</f>
        <v>百分比为单位，即1/100，保留两位小数。如4.5%则填报为4.50。</v>
      </c>
      <c r="L1784" s="136" t="str">
        <f>INDEX(数据元说明!A:F,MATCH(I1784,数据元说明!C:C,0),6)</f>
        <v>D20.2</v>
      </c>
      <c r="M1784" s="274" t="s">
        <v>5239</v>
      </c>
      <c r="N1784" s="139" t="s">
        <v>25</v>
      </c>
      <c r="O1784" s="139" t="s">
        <v>5227</v>
      </c>
      <c r="P1784" s="205"/>
    </row>
    <row r="1785" s="61" customFormat="1" ht="27" customHeight="1" spans="1:16">
      <c r="A1785" s="271"/>
      <c r="B1785" s="27"/>
      <c r="C1785" s="27"/>
      <c r="D1785" s="27"/>
      <c r="E1785" s="272"/>
      <c r="F1785" s="163" t="s">
        <v>5240</v>
      </c>
      <c r="G1785" s="41" t="s">
        <v>5241</v>
      </c>
      <c r="H1785" s="273" t="s">
        <v>5242</v>
      </c>
      <c r="I1785" s="163" t="s">
        <v>287</v>
      </c>
      <c r="J1785" s="31" t="str">
        <f>INDEX(数据元说明!A:F,MATCH(I1785,数据元说明!C:C,0),2)</f>
        <v>001002</v>
      </c>
      <c r="K1785" s="133" t="str">
        <f>INDEX(数据元说明!A:F,MATCH(I1785,数据元说明!C:C,0),5)</f>
        <v>是，否。</v>
      </c>
      <c r="L1785" s="31" t="str">
        <f>INDEX(数据元说明!A:F,MATCH(I1785,数据元说明!C:C,0),6)</f>
        <v>C3</v>
      </c>
      <c r="M1785" s="163" t="s">
        <v>5243</v>
      </c>
      <c r="N1785" s="33"/>
      <c r="O1785" s="99"/>
      <c r="P1785" s="41"/>
    </row>
    <row r="1786" s="81" customFormat="1" ht="53" spans="1:16">
      <c r="A1786" s="270"/>
      <c r="B1786" s="91"/>
      <c r="C1786" s="91"/>
      <c r="D1786" s="91"/>
      <c r="E1786" s="235"/>
      <c r="F1786" s="274" t="s">
        <v>5244</v>
      </c>
      <c r="G1786" s="275" t="s">
        <v>5245</v>
      </c>
      <c r="H1786" s="273" t="s">
        <v>5246</v>
      </c>
      <c r="I1786" s="224" t="s">
        <v>292</v>
      </c>
      <c r="J1786" s="136" t="str">
        <f>INDEX(数据元说明!A:F,MATCH(I1786,数据元说明!C:C,0),2)</f>
        <v>001003</v>
      </c>
      <c r="K1786" s="138" t="str">
        <f>INDEX(数据元说明!A:F,MATCH(I1786,数据元说明!C:C,0),5)</f>
        <v>百分比为单位，即1/100，保留两位小数。如4.5%则填报为4.50。</v>
      </c>
      <c r="L1786" s="136" t="str">
        <f>INDEX(数据元说明!A:F,MATCH(I1786,数据元说明!C:C,0),6)</f>
        <v>D20.2</v>
      </c>
      <c r="M1786" s="274" t="s">
        <v>5247</v>
      </c>
      <c r="N1786" s="139" t="s">
        <v>25</v>
      </c>
      <c r="O1786" s="139" t="s">
        <v>5227</v>
      </c>
      <c r="P1786" s="205"/>
    </row>
    <row r="1787" s="81" customFormat="1" ht="36" spans="1:16">
      <c r="A1787" s="270"/>
      <c r="B1787" s="91"/>
      <c r="C1787" s="91"/>
      <c r="D1787" s="91"/>
      <c r="E1787" s="235"/>
      <c r="F1787" s="274" t="s">
        <v>5248</v>
      </c>
      <c r="G1787" s="275" t="s">
        <v>5249</v>
      </c>
      <c r="H1787" s="273" t="s">
        <v>5250</v>
      </c>
      <c r="I1787" s="224" t="s">
        <v>609</v>
      </c>
      <c r="J1787" s="136" t="str">
        <f>INDEX(数据元说明!A:F,MATCH(I1787,数据元说明!C:C,0),2)</f>
        <v>003010</v>
      </c>
      <c r="K1787" s="138" t="str">
        <f>INDEX(数据元说明!A:F,MATCH(I1787,数据元说明!C:C,0),5)</f>
        <v>与币种相对应金额。</v>
      </c>
      <c r="L1787" s="136" t="str">
        <f>INDEX(数据元说明!A:F,MATCH(I1787,数据元说明!C:C,0),6)</f>
        <v>D20.2</v>
      </c>
      <c r="M1787" s="274" t="s">
        <v>5251</v>
      </c>
      <c r="N1787" s="139" t="s">
        <v>25</v>
      </c>
      <c r="O1787" s="139" t="s">
        <v>5252</v>
      </c>
      <c r="P1787" s="205"/>
    </row>
    <row r="1788" s="61" customFormat="1" spans="1:16">
      <c r="A1788" s="271"/>
      <c r="B1788" s="27"/>
      <c r="C1788" s="27"/>
      <c r="D1788" s="27"/>
      <c r="E1788" s="272"/>
      <c r="F1788" s="163" t="s">
        <v>5253</v>
      </c>
      <c r="G1788" s="41" t="s">
        <v>5254</v>
      </c>
      <c r="H1788" s="273" t="s">
        <v>5255</v>
      </c>
      <c r="I1788" s="163" t="s">
        <v>609</v>
      </c>
      <c r="J1788" s="31" t="str">
        <f>INDEX(数据元说明!A:F,MATCH(I1788,数据元说明!C:C,0),2)</f>
        <v>003010</v>
      </c>
      <c r="K1788" s="133" t="str">
        <f>INDEX(数据元说明!A:F,MATCH(I1788,数据元说明!C:C,0),5)</f>
        <v>与币种相对应金额。</v>
      </c>
      <c r="L1788" s="31" t="str">
        <f>INDEX(数据元说明!A:F,MATCH(I1788,数据元说明!C:C,0),6)</f>
        <v>D20.2</v>
      </c>
      <c r="M1788" s="163" t="s">
        <v>5256</v>
      </c>
      <c r="N1788" s="33"/>
      <c r="O1788" s="99"/>
      <c r="P1788" s="41"/>
    </row>
    <row r="1789" s="61" customFormat="1" ht="36" spans="1:16">
      <c r="A1789" s="271"/>
      <c r="B1789" s="27"/>
      <c r="C1789" s="27"/>
      <c r="D1789" s="27"/>
      <c r="E1789" s="272"/>
      <c r="F1789" s="163" t="s">
        <v>5257</v>
      </c>
      <c r="G1789" s="41" t="s">
        <v>5258</v>
      </c>
      <c r="H1789" s="273" t="s">
        <v>5259</v>
      </c>
      <c r="I1789" s="163" t="s">
        <v>609</v>
      </c>
      <c r="J1789" s="31" t="str">
        <f>INDEX(数据元说明!A:F,MATCH(I1789,数据元说明!C:C,0),2)</f>
        <v>003010</v>
      </c>
      <c r="K1789" s="133" t="str">
        <f>INDEX(数据元说明!A:F,MATCH(I1789,数据元说明!C:C,0),5)</f>
        <v>与币种相对应金额。</v>
      </c>
      <c r="L1789" s="31" t="str">
        <f>INDEX(数据元说明!A:F,MATCH(I1789,数据元说明!C:C,0),6)</f>
        <v>D20.2</v>
      </c>
      <c r="M1789" s="163" t="s">
        <v>5260</v>
      </c>
      <c r="N1789" s="33"/>
      <c r="O1789" s="99"/>
      <c r="P1789" s="41"/>
    </row>
    <row r="1790" s="61" customFormat="1" ht="71" spans="1:16">
      <c r="A1790" s="271"/>
      <c r="B1790" s="27"/>
      <c r="C1790" s="27"/>
      <c r="D1790" s="27"/>
      <c r="E1790" s="272"/>
      <c r="F1790" s="163" t="s">
        <v>5261</v>
      </c>
      <c r="G1790" s="41" t="s">
        <v>5262</v>
      </c>
      <c r="H1790" s="273" t="s">
        <v>5263</v>
      </c>
      <c r="I1790" s="163" t="s">
        <v>609</v>
      </c>
      <c r="J1790" s="31" t="str">
        <f>INDEX(数据元说明!A:F,MATCH(I1790,数据元说明!C:C,0),2)</f>
        <v>003010</v>
      </c>
      <c r="K1790" s="133" t="str">
        <f>INDEX(数据元说明!A:F,MATCH(I1790,数据元说明!C:C,0),5)</f>
        <v>与币种相对应金额。</v>
      </c>
      <c r="L1790" s="31" t="str">
        <f>INDEX(数据元说明!A:F,MATCH(I1790,数据元说明!C:C,0),6)</f>
        <v>D20.2</v>
      </c>
      <c r="M1790" s="163" t="s">
        <v>5264</v>
      </c>
      <c r="N1790" s="33"/>
      <c r="O1790" s="99"/>
      <c r="P1790" s="41"/>
    </row>
    <row r="1791" s="61" customFormat="1" ht="36" spans="1:16">
      <c r="A1791" s="271"/>
      <c r="B1791" s="27"/>
      <c r="C1791" s="27"/>
      <c r="D1791" s="27"/>
      <c r="E1791" s="272"/>
      <c r="F1791" s="163" t="s">
        <v>5265</v>
      </c>
      <c r="G1791" s="41" t="s">
        <v>5266</v>
      </c>
      <c r="H1791" s="273" t="s">
        <v>5267</v>
      </c>
      <c r="I1791" s="163" t="s">
        <v>609</v>
      </c>
      <c r="J1791" s="31" t="str">
        <f>INDEX(数据元说明!A:F,MATCH(I1791,数据元说明!C:C,0),2)</f>
        <v>003010</v>
      </c>
      <c r="K1791" s="133" t="str">
        <f>INDEX(数据元说明!A:F,MATCH(I1791,数据元说明!C:C,0),5)</f>
        <v>与币种相对应金额。</v>
      </c>
      <c r="L1791" s="31" t="str">
        <f>INDEX(数据元说明!A:F,MATCH(I1791,数据元说明!C:C,0),6)</f>
        <v>D20.2</v>
      </c>
      <c r="M1791" s="163" t="s">
        <v>5268</v>
      </c>
      <c r="N1791" s="33"/>
      <c r="O1791" s="99"/>
      <c r="P1791" s="41"/>
    </row>
    <row r="1792" s="81" customFormat="1" ht="53" spans="1:16">
      <c r="A1792" s="270"/>
      <c r="B1792" s="91"/>
      <c r="C1792" s="91"/>
      <c r="D1792" s="91"/>
      <c r="E1792" s="235"/>
      <c r="F1792" s="274" t="s">
        <v>5269</v>
      </c>
      <c r="G1792" s="275" t="s">
        <v>5270</v>
      </c>
      <c r="H1792" s="273" t="s">
        <v>5271</v>
      </c>
      <c r="I1792" s="224" t="s">
        <v>292</v>
      </c>
      <c r="J1792" s="136" t="str">
        <f>INDEX(数据元说明!A:F,MATCH(I1792,数据元说明!C:C,0),2)</f>
        <v>001003</v>
      </c>
      <c r="K1792" s="138" t="str">
        <f>INDEX(数据元说明!A:F,MATCH(I1792,数据元说明!C:C,0),5)</f>
        <v>百分比为单位，即1/100，保留两位小数。如4.5%则填报为4.50。</v>
      </c>
      <c r="L1792" s="136" t="str">
        <f>INDEX(数据元说明!A:F,MATCH(I1792,数据元说明!C:C,0),6)</f>
        <v>D20.2</v>
      </c>
      <c r="M1792" s="274" t="s">
        <v>5272</v>
      </c>
      <c r="N1792" s="139" t="s">
        <v>25</v>
      </c>
      <c r="O1792" s="139" t="s">
        <v>5227</v>
      </c>
      <c r="P1792" s="205"/>
    </row>
    <row r="1793" s="81" customFormat="1" ht="53" spans="1:16">
      <c r="A1793" s="270"/>
      <c r="B1793" s="91"/>
      <c r="C1793" s="91"/>
      <c r="D1793" s="91"/>
      <c r="E1793" s="235"/>
      <c r="F1793" s="274" t="s">
        <v>5273</v>
      </c>
      <c r="G1793" s="275" t="s">
        <v>5274</v>
      </c>
      <c r="H1793" s="273" t="s">
        <v>5275</v>
      </c>
      <c r="I1793" s="224" t="s">
        <v>292</v>
      </c>
      <c r="J1793" s="136" t="str">
        <f>INDEX(数据元说明!A:F,MATCH(I1793,数据元说明!C:C,0),2)</f>
        <v>001003</v>
      </c>
      <c r="K1793" s="138" t="str">
        <f>INDEX(数据元说明!A:F,MATCH(I1793,数据元说明!C:C,0),5)</f>
        <v>百分比为单位，即1/100，保留两位小数。如4.5%则填报为4.50。</v>
      </c>
      <c r="L1793" s="136" t="str">
        <f>INDEX(数据元说明!A:F,MATCH(I1793,数据元说明!C:C,0),6)</f>
        <v>D20.2</v>
      </c>
      <c r="M1793" s="274" t="s">
        <v>5276</v>
      </c>
      <c r="N1793" s="139" t="s">
        <v>25</v>
      </c>
      <c r="O1793" s="139" t="s">
        <v>5227</v>
      </c>
      <c r="P1793" s="205"/>
    </row>
    <row r="1794" s="81" customFormat="1" ht="30" customHeight="1" outlineLevel="1" spans="1:16">
      <c r="A1794" s="134"/>
      <c r="B1794" s="47"/>
      <c r="C1794" s="39"/>
      <c r="D1794" s="39"/>
      <c r="E1794" s="47"/>
      <c r="F1794" s="135" t="s">
        <v>449</v>
      </c>
      <c r="G1794" s="43" t="s">
        <v>1571</v>
      </c>
      <c r="H1794" s="277" t="s">
        <v>5277</v>
      </c>
      <c r="I1794" s="135" t="s">
        <v>449</v>
      </c>
      <c r="J1794" s="136" t="str">
        <f>INDEX(数据元说明!A:F,MATCH(I1794,数据元说明!C:C,0),2)</f>
        <v>001040</v>
      </c>
      <c r="K1794" s="138" t="str">
        <f>INDEX(数据元说明!A:F,MATCH(I1794,数据元说明!C:C,0),5)</f>
        <v>银行自定义。</v>
      </c>
      <c r="L1794" s="136" t="str">
        <f>INDEX(数据元说明!A:F,MATCH(I1794,数据元说明!C:C,0),6)</f>
        <v>C..600</v>
      </c>
      <c r="M1794" s="149" t="s">
        <v>1573</v>
      </c>
      <c r="N1794" s="140" t="s">
        <v>57</v>
      </c>
      <c r="O1794" s="173"/>
      <c r="P1794" s="173"/>
    </row>
    <row r="1795" s="81" customFormat="1" ht="171" customHeight="1" spans="1:16">
      <c r="A1795" s="134"/>
      <c r="B1795" s="47"/>
      <c r="C1795" s="39"/>
      <c r="D1795" s="39"/>
      <c r="E1795" s="47"/>
      <c r="F1795" s="135" t="s">
        <v>1574</v>
      </c>
      <c r="G1795" s="269" t="s">
        <v>1575</v>
      </c>
      <c r="H1795" s="277" t="s">
        <v>5278</v>
      </c>
      <c r="I1795" s="135" t="s">
        <v>302</v>
      </c>
      <c r="J1795" s="136" t="str">
        <f>INDEX(数据元说明!A:F,MATCH(I1795,数据元说明!C:C,0),2)</f>
        <v>001005</v>
      </c>
      <c r="K1795" s="138" t="str">
        <f>INDEX(数据元说明!A:F,MATCH(I1795,数据元说明!C:C,0),5)</f>
        <v>YYYYMMDD，默认值99991231。</v>
      </c>
      <c r="L1795" s="136" t="str">
        <f>INDEX(数据元说明!A:F,MATCH(I1795,数据元说明!C:C,0),6)</f>
        <v>C8</v>
      </c>
      <c r="M1795" s="138" t="s">
        <v>5279</v>
      </c>
      <c r="N1795" s="139" t="s">
        <v>57</v>
      </c>
      <c r="O1795" s="139"/>
      <c r="P1795" s="205"/>
    </row>
    <row r="1796" s="61" customFormat="1" ht="104" customHeight="1" spans="1:16">
      <c r="A1796" s="125"/>
      <c r="B1796" s="19"/>
      <c r="C1796" s="19" t="s">
        <v>253</v>
      </c>
      <c r="D1796" s="24" t="s">
        <v>254</v>
      </c>
      <c r="E1796" s="126">
        <v>1202</v>
      </c>
      <c r="F1796" s="127"/>
      <c r="G1796" s="126"/>
      <c r="H1796" s="126"/>
      <c r="I1796" s="127"/>
      <c r="J1796" s="126"/>
      <c r="K1796" s="127"/>
      <c r="L1796" s="126"/>
      <c r="M1796" s="128" t="str">
        <f>INDEX(表结构总览!E:H,MATCH(D1796,表结构总览!E:E,0),4)</f>
        <v>该表体现统计期末存续的理财产品状态信息。</v>
      </c>
      <c r="N1796" s="198" t="s">
        <v>25</v>
      </c>
      <c r="O1796" s="198" t="s">
        <v>449</v>
      </c>
      <c r="P1796" s="206" t="s">
        <v>5280</v>
      </c>
    </row>
    <row r="1797" s="61" customFormat="1" ht="18.75" customHeight="1" spans="1:16">
      <c r="A1797" s="271"/>
      <c r="B1797" s="27"/>
      <c r="C1797" s="186"/>
      <c r="D1797" s="186"/>
      <c r="E1797" s="185"/>
      <c r="F1797" s="280" t="s">
        <v>4976</v>
      </c>
      <c r="G1797" s="41" t="s">
        <v>4977</v>
      </c>
      <c r="H1797" s="233" t="s">
        <v>5281</v>
      </c>
      <c r="I1797" s="163" t="s">
        <v>1356</v>
      </c>
      <c r="J1797" s="409" t="str">
        <f>INDEX(数据元说明!A:F,MATCH(I1797,数据元说明!C:C,0),2)</f>
        <v>010065</v>
      </c>
      <c r="K1797" s="133" t="str">
        <f>INDEX(数据元说明!A:F,MATCH(I1797,数据元说明!C:C,0),5)</f>
        <v>理财中心赋予产品或资产的序号。</v>
      </c>
      <c r="L1797" s="31" t="str">
        <f>INDEX(数据元说明!A:F,MATCH(I1797,数据元说明!C:C,0),6)</f>
        <v>C..30</v>
      </c>
      <c r="M1797" s="163" t="s">
        <v>4979</v>
      </c>
      <c r="N1797" s="33"/>
      <c r="O1797" s="99"/>
      <c r="P1797" s="41"/>
    </row>
    <row r="1798" s="61" customFormat="1" ht="62" customHeight="1" spans="1:16">
      <c r="A1798" s="271"/>
      <c r="B1798" s="27"/>
      <c r="C1798" s="27"/>
      <c r="D1798" s="27"/>
      <c r="E1798" s="272"/>
      <c r="F1798" s="280" t="s">
        <v>1141</v>
      </c>
      <c r="G1798" s="41" t="s">
        <v>4980</v>
      </c>
      <c r="H1798" s="233" t="s">
        <v>5282</v>
      </c>
      <c r="I1798" s="163" t="s">
        <v>1141</v>
      </c>
      <c r="J1798" s="409" t="str">
        <f>INDEX(数据元说明!A:F,MATCH(I1798,数据元说明!C:C,0),2)</f>
        <v>010012</v>
      </c>
      <c r="K1798" s="133" t="str">
        <f>INDEX(数据元说明!A:F,MATCH(I1798,数据元说明!C:C,0),5)</f>
        <v>登记机构赋予理财产品的标识码，该码具有唯一性。</v>
      </c>
      <c r="L1798" s="31" t="str">
        <f>INDEX(数据元说明!A:F,MATCH(I1798,数据元说明!C:C,0),6)</f>
        <v>C..30</v>
      </c>
      <c r="M1798" s="163" t="s">
        <v>4982</v>
      </c>
      <c r="N1798" s="33"/>
      <c r="O1798" s="99"/>
      <c r="P1798" s="41"/>
    </row>
    <row r="1799" s="81" customFormat="1" ht="32" customHeight="1" spans="1:16">
      <c r="A1799" s="270"/>
      <c r="B1799" s="91"/>
      <c r="C1799" s="91"/>
      <c r="D1799" s="91"/>
      <c r="E1799" s="235"/>
      <c r="F1799" s="281" t="s">
        <v>739</v>
      </c>
      <c r="G1799" s="275" t="s">
        <v>4703</v>
      </c>
      <c r="H1799" s="233" t="s">
        <v>5283</v>
      </c>
      <c r="I1799" s="274" t="s">
        <v>1101</v>
      </c>
      <c r="J1799" s="406" t="str">
        <f>INDEX(数据元说明!A:F,MATCH(I1799,数据元说明!C:C,0),2)</f>
        <v>010002</v>
      </c>
      <c r="K1799" s="138" t="str">
        <f>INDEX(数据元说明!A:F,MATCH(I1799,数据元说明!C:C,0),5)</f>
        <v>金融产品名称，包括但不限于标准化或非标准化金融产品。如果不是标准产品，则由银行自定义。</v>
      </c>
      <c r="L1799" s="136" t="str">
        <f>INDEX(数据元说明!A:F,MATCH(I1799,数据元说明!C:C,0),6)</f>
        <v>C..200</v>
      </c>
      <c r="M1799" s="274" t="s">
        <v>4989</v>
      </c>
      <c r="N1799" s="139" t="s">
        <v>25</v>
      </c>
      <c r="O1799" s="139" t="s">
        <v>280</v>
      </c>
      <c r="P1799" s="205"/>
    </row>
    <row r="1800" s="61" customFormat="1" ht="18.75" customHeight="1" spans="1:16">
      <c r="A1800" s="271"/>
      <c r="B1800" s="27"/>
      <c r="C1800" s="27"/>
      <c r="D1800" s="27"/>
      <c r="E1800" s="272"/>
      <c r="F1800" s="274" t="s">
        <v>1401</v>
      </c>
      <c r="G1800" s="275" t="s">
        <v>4799</v>
      </c>
      <c r="H1800" s="233" t="s">
        <v>5284</v>
      </c>
      <c r="I1800" s="274" t="s">
        <v>1401</v>
      </c>
      <c r="J1800" s="406" t="str">
        <f>INDEX(数据元说明!A:F,MATCH(I1800,数据元说明!C:C,0),2)</f>
        <v>010076</v>
      </c>
      <c r="K1800" s="138" t="str">
        <f>INDEX(数据元说明!A:F,MATCH(I1800,数据元说明!C:C,0),5)</f>
        <v>取自金融机构代码证前6位。</v>
      </c>
      <c r="L1800" s="136" t="str">
        <f>INDEX(数据元说明!A:F,MATCH(I1800,数据元说明!C:C,0),6)</f>
        <v>C..30</v>
      </c>
      <c r="M1800" s="163"/>
      <c r="N1800" s="33"/>
      <c r="O1800" s="99"/>
      <c r="P1800" s="41"/>
    </row>
    <row r="1801" s="61" customFormat="1" ht="31" customHeight="1" spans="1:16">
      <c r="A1801" s="271"/>
      <c r="B1801" s="27"/>
      <c r="C1801" s="27"/>
      <c r="D1801" s="27"/>
      <c r="E1801" s="272"/>
      <c r="F1801" s="281" t="s">
        <v>4658</v>
      </c>
      <c r="G1801" s="275" t="s">
        <v>4659</v>
      </c>
      <c r="H1801" s="233" t="s">
        <v>5285</v>
      </c>
      <c r="I1801" s="274" t="s">
        <v>282</v>
      </c>
      <c r="J1801" s="136" t="str">
        <f>INDEX(数据元说明!A:F,MATCH(I1801,数据元说明!C:C,0),2)</f>
        <v>001001</v>
      </c>
      <c r="K1801" s="138" t="str">
        <f>INDEX(数据元说明!A:F,MATCH(I1801,数据元说明!C:C,0),5)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801" s="136" t="str">
        <f>INDEX(数据元说明!A:F,MATCH(I1801,数据元说明!C:C,0),6)</f>
        <v>C..400</v>
      </c>
      <c r="M1801" s="274" t="s">
        <v>5286</v>
      </c>
      <c r="N1801" s="139" t="s">
        <v>25</v>
      </c>
      <c r="O1801" s="139" t="s">
        <v>280</v>
      </c>
      <c r="P1801" s="205"/>
    </row>
    <row r="1802" s="81" customFormat="1" ht="53" spans="1:16">
      <c r="A1802" s="270"/>
      <c r="B1802" s="91"/>
      <c r="C1802" s="91"/>
      <c r="D1802" s="91"/>
      <c r="E1802" s="235"/>
      <c r="F1802" s="282" t="s">
        <v>624</v>
      </c>
      <c r="G1802" s="205" t="s">
        <v>1989</v>
      </c>
      <c r="H1802" s="232" t="s">
        <v>5287</v>
      </c>
      <c r="I1802" s="224" t="s">
        <v>624</v>
      </c>
      <c r="J1802" s="136" t="str">
        <f>INDEX(数据元说明!A:F,MATCH(I1802,数据元说明!C:C,0),2)</f>
        <v>003014</v>
      </c>
      <c r="K1802" s="138" t="str">
        <f>INDEX(数据元说明!A:F,MATCH(I1802,数据元说明!C:C,0),5)</f>
        <v>遵循《GB/T 12406 表示货币和资金的代码》的字母代码，如CNY。上述文件所列币种无法涵盖的，允许银行自定义填报。多个币种合计折算为人民币（本外币合计）的，填报为BWB。</v>
      </c>
      <c r="L1802" s="136" t="str">
        <f>INDEX(数据元说明!A:F,MATCH(I1802,数据元说明!C:C,0),6)</f>
        <v>C3</v>
      </c>
      <c r="M1802" s="224" t="s">
        <v>5288</v>
      </c>
      <c r="N1802" s="139" t="s">
        <v>57</v>
      </c>
      <c r="O1802" s="140"/>
      <c r="P1802" s="205"/>
    </row>
    <row r="1803" s="81" customFormat="1" ht="138" customHeight="1" spans="1:16">
      <c r="A1803" s="270"/>
      <c r="B1803" s="91"/>
      <c r="C1803" s="91"/>
      <c r="D1803" s="91"/>
      <c r="E1803" s="235"/>
      <c r="F1803" s="281" t="s">
        <v>5289</v>
      </c>
      <c r="G1803" s="275" t="s">
        <v>5290</v>
      </c>
      <c r="H1803" s="233" t="s">
        <v>5291</v>
      </c>
      <c r="I1803" s="224" t="s">
        <v>609</v>
      </c>
      <c r="J1803" s="136" t="str">
        <f>INDEX(数据元说明!A:F,MATCH(I1803,数据元说明!C:C,0),2)</f>
        <v>003010</v>
      </c>
      <c r="K1803" s="138" t="str">
        <f>INDEX(数据元说明!A:F,MATCH(I1803,数据元说明!C:C,0),5)</f>
        <v>与币种相对应金额。</v>
      </c>
      <c r="L1803" s="136" t="str">
        <f>INDEX(数据元说明!A:F,MATCH(I1803,数据元说明!C:C,0),6)</f>
        <v>D20.2</v>
      </c>
      <c r="M1803" s="224" t="s">
        <v>5292</v>
      </c>
      <c r="N1803" s="139" t="s">
        <v>25</v>
      </c>
      <c r="O1803" s="139" t="s">
        <v>5293</v>
      </c>
      <c r="P1803" s="205"/>
    </row>
    <row r="1804" s="81" customFormat="1" ht="106" spans="1:16">
      <c r="A1804" s="270"/>
      <c r="B1804" s="91"/>
      <c r="C1804" s="91"/>
      <c r="D1804" s="91"/>
      <c r="E1804" s="235"/>
      <c r="F1804" s="281" t="s">
        <v>5294</v>
      </c>
      <c r="G1804" s="275" t="s">
        <v>5295</v>
      </c>
      <c r="H1804" s="233" t="s">
        <v>5296</v>
      </c>
      <c r="I1804" s="274" t="s">
        <v>1360</v>
      </c>
      <c r="J1804" s="406" t="str">
        <f>INDEX(数据元说明!A:F,MATCH(I1804,数据元说明!C:C,0),2)</f>
        <v>010066</v>
      </c>
      <c r="K1804" s="138" t="str">
        <f>INDEX(数据元说明!A:F,MATCH(I1804,数据元说明!C:C,0),5)</f>
        <v>产品份额或资产的数量。</v>
      </c>
      <c r="L1804" s="136" t="str">
        <f>INDEX(数据元说明!A:F,MATCH(I1804,数据元说明!C:C,0),6)</f>
        <v>D23.5</v>
      </c>
      <c r="M1804" s="224" t="s">
        <v>5297</v>
      </c>
      <c r="N1804" s="139" t="s">
        <v>25</v>
      </c>
      <c r="O1804" s="139" t="s">
        <v>1673</v>
      </c>
      <c r="P1804" s="205"/>
    </row>
    <row r="1805" s="81" customFormat="1" ht="124" spans="1:16">
      <c r="A1805" s="270"/>
      <c r="B1805" s="91"/>
      <c r="C1805" s="91"/>
      <c r="D1805" s="91"/>
      <c r="E1805" s="235"/>
      <c r="F1805" s="281" t="s">
        <v>5298</v>
      </c>
      <c r="G1805" s="275" t="s">
        <v>5299</v>
      </c>
      <c r="H1805" s="233" t="s">
        <v>5300</v>
      </c>
      <c r="I1805" s="224" t="s">
        <v>609</v>
      </c>
      <c r="J1805" s="136" t="str">
        <f>INDEX(数据元说明!A:F,MATCH(I1805,数据元说明!C:C,0),2)</f>
        <v>003010</v>
      </c>
      <c r="K1805" s="138" t="str">
        <f>INDEX(数据元说明!A:F,MATCH(I1805,数据元说明!C:C,0),5)</f>
        <v>与币种相对应金额。</v>
      </c>
      <c r="L1805" s="136" t="str">
        <f>INDEX(数据元说明!A:F,MATCH(I1805,数据元说明!C:C,0),6)</f>
        <v>D20.2</v>
      </c>
      <c r="M1805" s="224" t="s">
        <v>5301</v>
      </c>
      <c r="N1805" s="139" t="s">
        <v>25</v>
      </c>
      <c r="O1805" s="139" t="s">
        <v>5293</v>
      </c>
      <c r="P1805" s="205"/>
    </row>
    <row r="1806" s="81" customFormat="1" ht="124" spans="1:16">
      <c r="A1806" s="270"/>
      <c r="B1806" s="91"/>
      <c r="C1806" s="91"/>
      <c r="D1806" s="91"/>
      <c r="E1806" s="235"/>
      <c r="F1806" s="281" t="s">
        <v>5302</v>
      </c>
      <c r="G1806" s="275" t="s">
        <v>5303</v>
      </c>
      <c r="H1806" s="233" t="s">
        <v>5304</v>
      </c>
      <c r="I1806" s="224" t="s">
        <v>609</v>
      </c>
      <c r="J1806" s="136" t="str">
        <f>INDEX(数据元说明!A:F,MATCH(I1806,数据元说明!C:C,0),2)</f>
        <v>003010</v>
      </c>
      <c r="K1806" s="138" t="str">
        <f>INDEX(数据元说明!A:F,MATCH(I1806,数据元说明!C:C,0),5)</f>
        <v>与币种相对应金额。</v>
      </c>
      <c r="L1806" s="136" t="str">
        <f>INDEX(数据元说明!A:F,MATCH(I1806,数据元说明!C:C,0),6)</f>
        <v>D20.2</v>
      </c>
      <c r="M1806" s="224" t="s">
        <v>5305</v>
      </c>
      <c r="N1806" s="139" t="s">
        <v>25</v>
      </c>
      <c r="O1806" s="139" t="s">
        <v>5293</v>
      </c>
      <c r="P1806" s="205"/>
    </row>
    <row r="1807" s="81" customFormat="1" ht="106" spans="1:16">
      <c r="A1807" s="270"/>
      <c r="B1807" s="91"/>
      <c r="C1807" s="91"/>
      <c r="D1807" s="91"/>
      <c r="E1807" s="235"/>
      <c r="F1807" s="281" t="s">
        <v>5306</v>
      </c>
      <c r="G1807" s="275" t="s">
        <v>5307</v>
      </c>
      <c r="H1807" s="233" t="s">
        <v>5308</v>
      </c>
      <c r="I1807" s="274" t="s">
        <v>1360</v>
      </c>
      <c r="J1807" s="406" t="str">
        <f>INDEX(数据元说明!A:F,MATCH(I1807,数据元说明!C:C,0),2)</f>
        <v>010066</v>
      </c>
      <c r="K1807" s="138" t="str">
        <f>INDEX(数据元说明!A:F,MATCH(I1807,数据元说明!C:C,0),5)</f>
        <v>产品份额或资产的数量。</v>
      </c>
      <c r="L1807" s="136" t="str">
        <f>INDEX(数据元说明!A:F,MATCH(I1807,数据元说明!C:C,0),6)</f>
        <v>D23.5</v>
      </c>
      <c r="M1807" s="224" t="s">
        <v>5309</v>
      </c>
      <c r="N1807" s="139" t="s">
        <v>25</v>
      </c>
      <c r="O1807" s="139" t="s">
        <v>1673</v>
      </c>
      <c r="P1807" s="205"/>
    </row>
    <row r="1808" s="81" customFormat="1" ht="106" spans="1:16">
      <c r="A1808" s="270"/>
      <c r="B1808" s="91"/>
      <c r="C1808" s="91"/>
      <c r="D1808" s="91"/>
      <c r="E1808" s="235"/>
      <c r="F1808" s="281" t="s">
        <v>5310</v>
      </c>
      <c r="G1808" s="275" t="s">
        <v>5311</v>
      </c>
      <c r="H1808" s="233" t="s">
        <v>5312</v>
      </c>
      <c r="I1808" s="274" t="s">
        <v>1236</v>
      </c>
      <c r="J1808" s="406" t="str">
        <f>INDEX(数据元说明!A:F,MATCH(I1808,数据元说明!C:C,0),2)</f>
        <v>010036</v>
      </c>
      <c r="K1808" s="138" t="str">
        <f>INDEX(数据元说明!A:F,MATCH(I1808,数据元说明!C:C,0),5)</f>
        <v>存续，暂存，待审阅，报告通过，报告未通过，报告通过未发行，已发行登记，发行失败，已募集登记，已终止登记。</v>
      </c>
      <c r="L1808" s="136" t="str">
        <f>INDEX(数据元说明!A:F,MATCH(I1808,数据元说明!C:C,0),6)</f>
        <v>C..30</v>
      </c>
      <c r="M1808" s="224" t="s">
        <v>5313</v>
      </c>
      <c r="N1808" s="139" t="s">
        <v>25</v>
      </c>
      <c r="O1808" s="140" t="s">
        <v>1539</v>
      </c>
      <c r="P1808" s="205"/>
    </row>
    <row r="1809" s="81" customFormat="1" ht="229" spans="1:16">
      <c r="A1809" s="270"/>
      <c r="B1809" s="91"/>
      <c r="C1809" s="91"/>
      <c r="D1809" s="91"/>
      <c r="E1809" s="235"/>
      <c r="F1809" s="281" t="s">
        <v>5314</v>
      </c>
      <c r="G1809" s="275" t="s">
        <v>5315</v>
      </c>
      <c r="H1809" s="233" t="s">
        <v>5316</v>
      </c>
      <c r="I1809" s="274" t="s">
        <v>609</v>
      </c>
      <c r="J1809" s="136" t="str">
        <f>INDEX(数据元说明!A:F,MATCH(I1809,数据元说明!C:C,0),2)</f>
        <v>003010</v>
      </c>
      <c r="K1809" s="138" t="str">
        <f>INDEX(数据元说明!A:F,MATCH(I1809,数据元说明!C:C,0),5)</f>
        <v>与币种相对应金额。</v>
      </c>
      <c r="L1809" s="136" t="str">
        <f>INDEX(数据元说明!A:F,MATCH(I1809,数据元说明!C:C,0),6)</f>
        <v>D20.2</v>
      </c>
      <c r="M1809" s="224" t="s">
        <v>5317</v>
      </c>
      <c r="N1809" s="139" t="s">
        <v>25</v>
      </c>
      <c r="O1809" s="139" t="s">
        <v>449</v>
      </c>
      <c r="P1809" s="205"/>
    </row>
    <row r="1810" s="61" customFormat="1" ht="53" spans="1:16">
      <c r="A1810" s="271"/>
      <c r="B1810" s="27"/>
      <c r="C1810" s="27"/>
      <c r="D1810" s="27"/>
      <c r="E1810" s="272"/>
      <c r="F1810" s="281" t="s">
        <v>5318</v>
      </c>
      <c r="G1810" s="275" t="s">
        <v>5319</v>
      </c>
      <c r="H1810" s="233" t="s">
        <v>5320</v>
      </c>
      <c r="I1810" s="274" t="s">
        <v>624</v>
      </c>
      <c r="J1810" s="136" t="str">
        <f>INDEX(数据元说明!A:F,MATCH(I1810,数据元说明!C:C,0),2)</f>
        <v>003014</v>
      </c>
      <c r="K1810" s="138" t="str">
        <f>INDEX(数据元说明!A:F,MATCH(I1810,数据元说明!C:C,0),5)</f>
        <v>遵循《GB/T 12406 表示货币和资金的代码》的字母代码，如CNY。上述文件所列币种无法涵盖的，允许银行自定义填报。多个币种合计折算为人民币（本外币合计）的，填报为BWB。</v>
      </c>
      <c r="L1810" s="136" t="str">
        <f>INDEX(数据元说明!A:F,MATCH(I1810,数据元说明!C:C,0),6)</f>
        <v>C3</v>
      </c>
      <c r="M1810" s="163" t="s">
        <v>5321</v>
      </c>
      <c r="N1810" s="33" t="s">
        <v>25</v>
      </c>
      <c r="O1810" s="99"/>
      <c r="P1810" s="204" t="s">
        <v>1588</v>
      </c>
    </row>
    <row r="1811" s="81" customFormat="1" spans="1:16">
      <c r="A1811" s="270"/>
      <c r="B1811" s="91"/>
      <c r="C1811" s="91"/>
      <c r="D1811" s="91"/>
      <c r="E1811" s="235"/>
      <c r="F1811" s="281" t="s">
        <v>5322</v>
      </c>
      <c r="G1811" s="275" t="s">
        <v>5323</v>
      </c>
      <c r="H1811" s="233" t="s">
        <v>5324</v>
      </c>
      <c r="I1811" s="274" t="s">
        <v>1240</v>
      </c>
      <c r="J1811" s="406" t="str">
        <f>INDEX(数据元说明!A:F,MATCH(I1811,数据元说明!C:C,0),2)</f>
        <v>010037</v>
      </c>
      <c r="K1811" s="138" t="str">
        <f>INDEX(数据元说明!A:F,MATCH(I1811,数据元说明!C:C,0),5)</f>
        <v>理财产品份额的单位价值。</v>
      </c>
      <c r="L1811" s="136" t="str">
        <f>INDEX(数据元说明!A:F,MATCH(I1811,数据元说明!C:C,0),6)</f>
        <v>D12.7</v>
      </c>
      <c r="M1811" s="274" t="s">
        <v>5325</v>
      </c>
      <c r="N1811" s="139" t="s">
        <v>25</v>
      </c>
      <c r="O1811" s="139" t="s">
        <v>280</v>
      </c>
      <c r="P1811" s="205"/>
    </row>
    <row r="1812" s="81" customFormat="1" spans="1:16">
      <c r="A1812" s="270"/>
      <c r="B1812" s="91"/>
      <c r="C1812" s="91"/>
      <c r="D1812" s="91"/>
      <c r="E1812" s="235"/>
      <c r="F1812" s="281" t="s">
        <v>5326</v>
      </c>
      <c r="G1812" s="275" t="s">
        <v>5327</v>
      </c>
      <c r="H1812" s="233" t="s">
        <v>5328</v>
      </c>
      <c r="I1812" s="274" t="s">
        <v>1240</v>
      </c>
      <c r="J1812" s="406" t="str">
        <f>INDEX(数据元说明!A:F,MATCH(I1812,数据元说明!C:C,0),2)</f>
        <v>010037</v>
      </c>
      <c r="K1812" s="138" t="str">
        <f>INDEX(数据元说明!A:F,MATCH(I1812,数据元说明!C:C,0),5)</f>
        <v>理财产品份额的单位价值。</v>
      </c>
      <c r="L1812" s="136" t="str">
        <f>INDEX(数据元说明!A:F,MATCH(I1812,数据元说明!C:C,0),6)</f>
        <v>D12.7</v>
      </c>
      <c r="M1812" s="274" t="s">
        <v>5329</v>
      </c>
      <c r="N1812" s="139" t="s">
        <v>25</v>
      </c>
      <c r="O1812" s="139" t="s">
        <v>280</v>
      </c>
      <c r="P1812" s="205"/>
    </row>
    <row r="1813" s="81" customFormat="1" ht="36" spans="1:16">
      <c r="A1813" s="270"/>
      <c r="B1813" s="91"/>
      <c r="C1813" s="91"/>
      <c r="D1813" s="91"/>
      <c r="E1813" s="235"/>
      <c r="F1813" s="281" t="s">
        <v>5330</v>
      </c>
      <c r="G1813" s="275" t="s">
        <v>5331</v>
      </c>
      <c r="H1813" s="233" t="s">
        <v>5332</v>
      </c>
      <c r="I1813" s="274" t="s">
        <v>1240</v>
      </c>
      <c r="J1813" s="406" t="str">
        <f>INDEX(数据元说明!A:F,MATCH(I1813,数据元说明!C:C,0),2)</f>
        <v>010037</v>
      </c>
      <c r="K1813" s="138" t="str">
        <f>INDEX(数据元说明!A:F,MATCH(I1813,数据元说明!C:C,0),5)</f>
        <v>理财产品份额的单位价值。</v>
      </c>
      <c r="L1813" s="136" t="str">
        <f>INDEX(数据元说明!A:F,MATCH(I1813,数据元说明!C:C,0),6)</f>
        <v>D12.7</v>
      </c>
      <c r="M1813" s="274" t="s">
        <v>5333</v>
      </c>
      <c r="N1813" s="139" t="s">
        <v>25</v>
      </c>
      <c r="O1813" s="139" t="s">
        <v>280</v>
      </c>
      <c r="P1813" s="205"/>
    </row>
    <row r="1814" s="81" customFormat="1" spans="1:16">
      <c r="A1814" s="270"/>
      <c r="B1814" s="91"/>
      <c r="C1814" s="91"/>
      <c r="D1814" s="91"/>
      <c r="E1814" s="235"/>
      <c r="F1814" s="281" t="s">
        <v>5334</v>
      </c>
      <c r="G1814" s="275" t="s">
        <v>5335</v>
      </c>
      <c r="H1814" s="233" t="s">
        <v>5336</v>
      </c>
      <c r="I1814" s="274" t="s">
        <v>1240</v>
      </c>
      <c r="J1814" s="406" t="str">
        <f>INDEX(数据元说明!A:F,MATCH(I1814,数据元说明!C:C,0),2)</f>
        <v>010037</v>
      </c>
      <c r="K1814" s="138" t="str">
        <f>INDEX(数据元说明!A:F,MATCH(I1814,数据元说明!C:C,0),5)</f>
        <v>理财产品份额的单位价值。</v>
      </c>
      <c r="L1814" s="136" t="str">
        <f>INDEX(数据元说明!A:F,MATCH(I1814,数据元说明!C:C,0),6)</f>
        <v>D12.7</v>
      </c>
      <c r="M1814" s="274" t="s">
        <v>5337</v>
      </c>
      <c r="N1814" s="139" t="s">
        <v>25</v>
      </c>
      <c r="O1814" s="139" t="s">
        <v>280</v>
      </c>
      <c r="P1814" s="205"/>
    </row>
    <row r="1815" s="81" customFormat="1" ht="36" spans="1:16">
      <c r="A1815" s="270"/>
      <c r="B1815" s="91"/>
      <c r="C1815" s="91"/>
      <c r="D1815" s="91"/>
      <c r="E1815" s="235"/>
      <c r="F1815" s="281" t="s">
        <v>5338</v>
      </c>
      <c r="G1815" s="275" t="s">
        <v>5339</v>
      </c>
      <c r="H1815" s="233" t="s">
        <v>5340</v>
      </c>
      <c r="I1815" s="274" t="s">
        <v>1240</v>
      </c>
      <c r="J1815" s="406" t="str">
        <f>INDEX(数据元说明!A:F,MATCH(I1815,数据元说明!C:C,0),2)</f>
        <v>010037</v>
      </c>
      <c r="K1815" s="138" t="str">
        <f>INDEX(数据元说明!A:F,MATCH(I1815,数据元说明!C:C,0),5)</f>
        <v>理财产品份额的单位价值。</v>
      </c>
      <c r="L1815" s="136" t="str">
        <f>INDEX(数据元说明!A:F,MATCH(I1815,数据元说明!C:C,0),6)</f>
        <v>D12.7</v>
      </c>
      <c r="M1815" s="274" t="s">
        <v>5341</v>
      </c>
      <c r="N1815" s="139" t="s">
        <v>25</v>
      </c>
      <c r="O1815" s="139" t="s">
        <v>280</v>
      </c>
      <c r="P1815" s="205"/>
    </row>
    <row r="1816" s="81" customFormat="1" ht="36" spans="1:16">
      <c r="A1816" s="270"/>
      <c r="B1816" s="91"/>
      <c r="C1816" s="91"/>
      <c r="D1816" s="91"/>
      <c r="E1816" s="235"/>
      <c r="F1816" s="281" t="s">
        <v>5342</v>
      </c>
      <c r="G1816" s="275" t="s">
        <v>5343</v>
      </c>
      <c r="H1816" s="233" t="s">
        <v>5344</v>
      </c>
      <c r="I1816" s="274" t="s">
        <v>1240</v>
      </c>
      <c r="J1816" s="406" t="str">
        <f>INDEX(数据元说明!A:F,MATCH(I1816,数据元说明!C:C,0),2)</f>
        <v>010037</v>
      </c>
      <c r="K1816" s="138" t="str">
        <f>INDEX(数据元说明!A:F,MATCH(I1816,数据元说明!C:C,0),5)</f>
        <v>理财产品份额的单位价值。</v>
      </c>
      <c r="L1816" s="136" t="str">
        <f>INDEX(数据元说明!A:F,MATCH(I1816,数据元说明!C:C,0),6)</f>
        <v>D12.7</v>
      </c>
      <c r="M1816" s="274" t="s">
        <v>5345</v>
      </c>
      <c r="N1816" s="139" t="s">
        <v>25</v>
      </c>
      <c r="O1816" s="139" t="s">
        <v>280</v>
      </c>
      <c r="P1816" s="205"/>
    </row>
    <row r="1817" s="81" customFormat="1" ht="53" spans="1:16">
      <c r="A1817" s="270"/>
      <c r="B1817" s="91"/>
      <c r="C1817" s="91"/>
      <c r="D1817" s="91"/>
      <c r="E1817" s="235"/>
      <c r="F1817" s="281" t="s">
        <v>5346</v>
      </c>
      <c r="G1817" s="275" t="s">
        <v>5347</v>
      </c>
      <c r="H1817" s="233" t="s">
        <v>5348</v>
      </c>
      <c r="I1817" s="224" t="s">
        <v>292</v>
      </c>
      <c r="J1817" s="136" t="str">
        <f>INDEX(数据元说明!A:F,MATCH(I1817,数据元说明!C:C,0),2)</f>
        <v>001003</v>
      </c>
      <c r="K1817" s="138" t="str">
        <f>INDEX(数据元说明!A:F,MATCH(I1817,数据元说明!C:C,0),5)</f>
        <v>百分比为单位，即1/100，保留两位小数。如4.5%则填报为4.50。</v>
      </c>
      <c r="L1817" s="136" t="str">
        <f>INDEX(数据元说明!A:F,MATCH(I1817,数据元说明!C:C,0),6)</f>
        <v>D20.2</v>
      </c>
      <c r="M1817" s="274" t="s">
        <v>5349</v>
      </c>
      <c r="N1817" s="139" t="s">
        <v>25</v>
      </c>
      <c r="O1817" s="140" t="s">
        <v>5227</v>
      </c>
      <c r="P1817" s="205"/>
    </row>
    <row r="1818" s="81" customFormat="1" ht="88" spans="1:16">
      <c r="A1818" s="270"/>
      <c r="B1818" s="91"/>
      <c r="C1818" s="91"/>
      <c r="D1818" s="91"/>
      <c r="E1818" s="235"/>
      <c r="F1818" s="281" t="s">
        <v>5350</v>
      </c>
      <c r="G1818" s="275" t="s">
        <v>5351</v>
      </c>
      <c r="H1818" s="233" t="s">
        <v>5352</v>
      </c>
      <c r="I1818" s="274" t="s">
        <v>609</v>
      </c>
      <c r="J1818" s="136" t="str">
        <f>INDEX(数据元说明!A:F,MATCH(I1818,数据元说明!C:C,0),2)</f>
        <v>003010</v>
      </c>
      <c r="K1818" s="138" t="str">
        <f>INDEX(数据元说明!A:F,MATCH(I1818,数据元说明!C:C,0),5)</f>
        <v>与币种相对应金额。</v>
      </c>
      <c r="L1818" s="136" t="str">
        <f>INDEX(数据元说明!A:F,MATCH(I1818,数据元说明!C:C,0),6)</f>
        <v>D20.2</v>
      </c>
      <c r="M1818" s="224" t="s">
        <v>5353</v>
      </c>
      <c r="N1818" s="139" t="s">
        <v>25</v>
      </c>
      <c r="O1818" s="139" t="s">
        <v>449</v>
      </c>
      <c r="P1818" s="205"/>
    </row>
    <row r="1819" s="81" customFormat="1" ht="242" customHeight="1" spans="1:16">
      <c r="A1819" s="270"/>
      <c r="B1819" s="91"/>
      <c r="C1819" s="91"/>
      <c r="D1819" s="91"/>
      <c r="E1819" s="235"/>
      <c r="F1819" s="282" t="s">
        <v>5354</v>
      </c>
      <c r="G1819" s="205" t="s">
        <v>5355</v>
      </c>
      <c r="H1819" s="232" t="s">
        <v>5356</v>
      </c>
      <c r="I1819" s="224" t="s">
        <v>1506</v>
      </c>
      <c r="J1819" s="406" t="str">
        <f>INDEX(数据元说明!A:F,MATCH(I1819,数据元说明!C:C,0),2)</f>
        <v>010103</v>
      </c>
      <c r="K1819" s="138" t="str">
        <f>INDEX(数据元说明!A:F,MATCH(I1819,数据元说明!C:C,0),5)</f>
        <v>所在月末统计时点理财产品的杠杆率。结果保留四位小数。</v>
      </c>
      <c r="L1819" s="136" t="str">
        <f>INDEX(数据元说明!A:F,MATCH(I1819,数据元说明!C:C,0),6)</f>
        <v>D20.4</v>
      </c>
      <c r="M1819" s="178" t="s">
        <v>5357</v>
      </c>
      <c r="N1819" s="140" t="s">
        <v>57</v>
      </c>
      <c r="O1819" s="139"/>
      <c r="P1819" s="205"/>
    </row>
    <row r="1820" s="81" customFormat="1" spans="1:16">
      <c r="A1820" s="270"/>
      <c r="B1820" s="91"/>
      <c r="C1820" s="91"/>
      <c r="D1820" s="91"/>
      <c r="E1820" s="235"/>
      <c r="F1820" s="282" t="s">
        <v>5358</v>
      </c>
      <c r="G1820" s="205" t="s">
        <v>5359</v>
      </c>
      <c r="H1820" s="232" t="s">
        <v>5360</v>
      </c>
      <c r="I1820" s="224" t="s">
        <v>1506</v>
      </c>
      <c r="J1820" s="406" t="str">
        <f>INDEX(数据元说明!A:F,MATCH(I1820,数据元说明!C:C,0),2)</f>
        <v>010103</v>
      </c>
      <c r="K1820" s="138" t="str">
        <f>INDEX(数据元说明!A:F,MATCH(I1820,数据元说明!C:C,0),5)</f>
        <v>所在月末统计时点理财产品的杠杆率。结果保留四位小数。</v>
      </c>
      <c r="L1820" s="136" t="str">
        <f>INDEX(数据元说明!A:F,MATCH(I1820,数据元说明!C:C,0),6)</f>
        <v>D20.4</v>
      </c>
      <c r="M1820" s="178" t="s">
        <v>5361</v>
      </c>
      <c r="N1820" s="140" t="s">
        <v>57</v>
      </c>
      <c r="O1820" s="139"/>
      <c r="P1820" s="205"/>
    </row>
    <row r="1821" s="81" customFormat="1" ht="177" customHeight="1" spans="1:16">
      <c r="A1821" s="270"/>
      <c r="B1821" s="91"/>
      <c r="C1821" s="91"/>
      <c r="D1821" s="91"/>
      <c r="E1821" s="235"/>
      <c r="F1821" s="178" t="s">
        <v>5362</v>
      </c>
      <c r="G1821" s="91" t="s">
        <v>5363</v>
      </c>
      <c r="H1821" s="232" t="s">
        <v>5364</v>
      </c>
      <c r="I1821" s="178" t="s">
        <v>609</v>
      </c>
      <c r="J1821" s="136" t="str">
        <f>INDEX(数据元说明!A:F,MATCH(I1821,数据元说明!C:C,0),2)</f>
        <v>003010</v>
      </c>
      <c r="K1821" s="138" t="str">
        <f>INDEX(数据元说明!A:F,MATCH(I1821,数据元说明!C:C,0),5)</f>
        <v>与币种相对应金额。</v>
      </c>
      <c r="L1821" s="136" t="str">
        <f>INDEX(数据元说明!A:F,MATCH(I1821,数据元说明!C:C,0),6)</f>
        <v>D20.2</v>
      </c>
      <c r="M1821" s="178" t="s">
        <v>5365</v>
      </c>
      <c r="N1821" s="140" t="s">
        <v>57</v>
      </c>
      <c r="O1821" s="139"/>
      <c r="P1821" s="205"/>
    </row>
    <row r="1822" s="81" customFormat="1" ht="36" spans="1:16">
      <c r="A1822" s="270"/>
      <c r="B1822" s="91"/>
      <c r="C1822" s="91"/>
      <c r="D1822" s="91"/>
      <c r="E1822" s="235"/>
      <c r="F1822" s="178" t="s">
        <v>5366</v>
      </c>
      <c r="G1822" s="91" t="s">
        <v>5367</v>
      </c>
      <c r="H1822" s="232" t="s">
        <v>5368</v>
      </c>
      <c r="I1822" s="178" t="s">
        <v>609</v>
      </c>
      <c r="J1822" s="136" t="str">
        <f>INDEX(数据元说明!A:F,MATCH(I1822,数据元说明!C:C,0),2)</f>
        <v>003010</v>
      </c>
      <c r="K1822" s="138" t="str">
        <f>INDEX(数据元说明!A:F,MATCH(I1822,数据元说明!C:C,0),5)</f>
        <v>与币种相对应金额。</v>
      </c>
      <c r="L1822" s="136" t="str">
        <f>INDEX(数据元说明!A:F,MATCH(I1822,数据元说明!C:C,0),6)</f>
        <v>D20.2</v>
      </c>
      <c r="M1822" s="178" t="s">
        <v>5369</v>
      </c>
      <c r="N1822" s="140" t="s">
        <v>57</v>
      </c>
      <c r="O1822" s="139"/>
      <c r="P1822" s="205"/>
    </row>
    <row r="1823" s="81" customFormat="1" ht="63" customHeight="1" outlineLevel="1" spans="1:16">
      <c r="A1823" s="134"/>
      <c r="B1823" s="47"/>
      <c r="C1823" s="39"/>
      <c r="D1823" s="39"/>
      <c r="E1823" s="47"/>
      <c r="F1823" s="135" t="s">
        <v>449</v>
      </c>
      <c r="G1823" s="136" t="s">
        <v>1571</v>
      </c>
      <c r="H1823" s="232" t="s">
        <v>5370</v>
      </c>
      <c r="I1823" s="135" t="s">
        <v>449</v>
      </c>
      <c r="J1823" s="136" t="str">
        <f>INDEX(数据元说明!A:F,MATCH(I1823,数据元说明!C:C,0),2)</f>
        <v>001040</v>
      </c>
      <c r="K1823" s="138" t="str">
        <f>INDEX(数据元说明!A:F,MATCH(I1823,数据元说明!C:C,0),5)</f>
        <v>银行自定义。</v>
      </c>
      <c r="L1823" s="136" t="str">
        <f>INDEX(数据元说明!A:F,MATCH(I1823,数据元说明!C:C,0),6)</f>
        <v>C..600</v>
      </c>
      <c r="M1823" s="149" t="s">
        <v>1573</v>
      </c>
      <c r="N1823" s="139" t="s">
        <v>57</v>
      </c>
      <c r="O1823" s="173"/>
      <c r="P1823" s="173"/>
    </row>
    <row r="1824" s="81" customFormat="1" ht="110" customHeight="1" spans="1:16">
      <c r="A1824" s="134"/>
      <c r="B1824" s="47"/>
      <c r="C1824" s="39"/>
      <c r="D1824" s="39"/>
      <c r="E1824" s="47"/>
      <c r="F1824" s="135" t="s">
        <v>1574</v>
      </c>
      <c r="G1824" s="269" t="s">
        <v>1575</v>
      </c>
      <c r="H1824" s="232" t="s">
        <v>5371</v>
      </c>
      <c r="I1824" s="135" t="s">
        <v>302</v>
      </c>
      <c r="J1824" s="136" t="str">
        <f>INDEX(数据元说明!A:F,MATCH(I1824,数据元说明!C:C,0),2)</f>
        <v>001005</v>
      </c>
      <c r="K1824" s="138" t="str">
        <f>INDEX(数据元说明!A:F,MATCH(I1824,数据元说明!C:C,0),5)</f>
        <v>YYYYMMDD，默认值99991231。</v>
      </c>
      <c r="L1824" s="136" t="str">
        <f>INDEX(数据元说明!A:F,MATCH(I1824,数据元说明!C:C,0),6)</f>
        <v>C8</v>
      </c>
      <c r="M1824" s="138" t="s">
        <v>5372</v>
      </c>
      <c r="N1824" s="139" t="s">
        <v>57</v>
      </c>
      <c r="O1824" s="139"/>
      <c r="P1824" s="205"/>
    </row>
    <row r="1825" s="61" customFormat="1" ht="36" spans="1:16">
      <c r="A1825" s="125"/>
      <c r="B1825" s="19"/>
      <c r="C1825" s="19" t="s">
        <v>256</v>
      </c>
      <c r="D1825" s="24" t="s">
        <v>257</v>
      </c>
      <c r="E1825" s="126">
        <v>1203</v>
      </c>
      <c r="F1825" s="127"/>
      <c r="G1825" s="126" t="s">
        <v>4974</v>
      </c>
      <c r="H1825" s="126"/>
      <c r="I1825" s="127"/>
      <c r="J1825" s="126"/>
      <c r="K1825" s="127"/>
      <c r="L1825" s="126"/>
      <c r="M1825" s="128" t="str">
        <f>INDEX(表结构总览!E:H,MATCH(D1825,表结构总览!E:E,0),4)</f>
        <v>该表体现统计期末理财产品持有所有类别资产的相关信息。</v>
      </c>
      <c r="N1825" s="198" t="s">
        <v>25</v>
      </c>
      <c r="O1825" s="198" t="s">
        <v>449</v>
      </c>
      <c r="P1825" s="206" t="s">
        <v>5373</v>
      </c>
    </row>
    <row r="1826" s="61" customFormat="1" ht="36" spans="1:16">
      <c r="A1826" s="271"/>
      <c r="B1826" s="27"/>
      <c r="C1826" s="27"/>
      <c r="D1826" s="27"/>
      <c r="E1826" s="272"/>
      <c r="F1826" s="163" t="s">
        <v>4976</v>
      </c>
      <c r="G1826" s="41" t="s">
        <v>4977</v>
      </c>
      <c r="H1826" s="273" t="s">
        <v>5374</v>
      </c>
      <c r="I1826" s="163" t="s">
        <v>1356</v>
      </c>
      <c r="J1826" s="409" t="str">
        <f>INDEX(数据元说明!A:F,MATCH(I1826,数据元说明!C:C,0),2)</f>
        <v>010065</v>
      </c>
      <c r="K1826" s="133" t="str">
        <f>INDEX(数据元说明!A:F,MATCH(I1826,数据元说明!C:C,0),5)</f>
        <v>理财中心赋予产品或资产的序号。</v>
      </c>
      <c r="L1826" s="31" t="str">
        <f>INDEX(数据元说明!A:F,MATCH(I1826,数据元说明!C:C,0),6)</f>
        <v>C..30</v>
      </c>
      <c r="M1826" s="163" t="s">
        <v>4979</v>
      </c>
      <c r="N1826" s="33"/>
      <c r="O1826" s="99"/>
      <c r="P1826" s="41"/>
    </row>
    <row r="1827" s="61" customFormat="1" ht="300" spans="1:16">
      <c r="A1827" s="271"/>
      <c r="B1827" s="27"/>
      <c r="C1827" s="27"/>
      <c r="D1827" s="27"/>
      <c r="E1827" s="272"/>
      <c r="F1827" s="163" t="s">
        <v>1141</v>
      </c>
      <c r="G1827" s="41" t="s">
        <v>4980</v>
      </c>
      <c r="H1827" s="273" t="s">
        <v>5375</v>
      </c>
      <c r="I1827" s="163" t="s">
        <v>1141</v>
      </c>
      <c r="J1827" s="409" t="str">
        <f>INDEX(数据元说明!A:F,MATCH(I1827,数据元说明!C:C,0),2)</f>
        <v>010012</v>
      </c>
      <c r="K1827" s="133" t="str">
        <f>INDEX(数据元说明!A:F,MATCH(I1827,数据元说明!C:C,0),5)</f>
        <v>登记机构赋予理财产品的标识码，该码具有唯一性。</v>
      </c>
      <c r="L1827" s="31" t="str">
        <f>INDEX(数据元说明!A:F,MATCH(I1827,数据元说明!C:C,0),6)</f>
        <v>C..30</v>
      </c>
      <c r="M1827" s="163" t="s">
        <v>4982</v>
      </c>
      <c r="N1827" s="33"/>
      <c r="O1827" s="99"/>
      <c r="P1827" s="41"/>
    </row>
    <row r="1828" s="81" customFormat="1" ht="36" spans="1:16">
      <c r="A1828" s="270"/>
      <c r="B1828" s="91"/>
      <c r="C1828" s="91"/>
      <c r="D1828" s="91"/>
      <c r="E1828" s="235"/>
      <c r="F1828" s="274" t="s">
        <v>739</v>
      </c>
      <c r="G1828" s="275" t="s">
        <v>4703</v>
      </c>
      <c r="H1828" s="273" t="s">
        <v>5376</v>
      </c>
      <c r="I1828" s="274" t="s">
        <v>1101</v>
      </c>
      <c r="J1828" s="406" t="str">
        <f>INDEX(数据元说明!A:F,MATCH(I1828,数据元说明!C:C,0),2)</f>
        <v>010002</v>
      </c>
      <c r="K1828" s="138" t="str">
        <f>INDEX(数据元说明!A:F,MATCH(I1828,数据元说明!C:C,0),5)</f>
        <v>金融产品名称，包括但不限于标准化或非标准化金融产品。如果不是标准产品，则由银行自定义。</v>
      </c>
      <c r="L1828" s="136" t="str">
        <f>INDEX(数据元说明!A:F,MATCH(I1828,数据元说明!C:C,0),6)</f>
        <v>C..200</v>
      </c>
      <c r="M1828" s="274" t="s">
        <v>4989</v>
      </c>
      <c r="N1828" s="139" t="s">
        <v>25</v>
      </c>
      <c r="O1828" s="139" t="s">
        <v>280</v>
      </c>
      <c r="P1828" s="205"/>
    </row>
    <row r="1829" s="61" customFormat="1" spans="1:16">
      <c r="A1829" s="271"/>
      <c r="B1829" s="27"/>
      <c r="C1829" s="27"/>
      <c r="D1829" s="27"/>
      <c r="E1829" s="272"/>
      <c r="F1829" s="163" t="s">
        <v>1401</v>
      </c>
      <c r="G1829" s="41" t="s">
        <v>4799</v>
      </c>
      <c r="H1829" s="273" t="s">
        <v>5377</v>
      </c>
      <c r="I1829" s="163" t="s">
        <v>1401</v>
      </c>
      <c r="J1829" s="409" t="str">
        <f>INDEX(数据元说明!A:F,MATCH(I1829,数据元说明!C:C,0),2)</f>
        <v>010076</v>
      </c>
      <c r="K1829" s="133" t="str">
        <f>INDEX(数据元说明!A:F,MATCH(I1829,数据元说明!C:C,0),5)</f>
        <v>取自金融机构代码证前6位。</v>
      </c>
      <c r="L1829" s="31" t="str">
        <f>INDEX(数据元说明!A:F,MATCH(I1829,数据元说明!C:C,0),6)</f>
        <v>C..30</v>
      </c>
      <c r="M1829" s="163"/>
      <c r="N1829" s="33"/>
      <c r="O1829" s="99"/>
      <c r="P1829" s="41"/>
    </row>
    <row r="1830" s="61" customFormat="1" ht="30" customHeight="1" spans="1:16">
      <c r="A1830" s="271"/>
      <c r="B1830" s="27"/>
      <c r="C1830" s="27"/>
      <c r="D1830" s="27"/>
      <c r="E1830" s="272"/>
      <c r="F1830" s="274" t="s">
        <v>4658</v>
      </c>
      <c r="G1830" s="275" t="s">
        <v>4659</v>
      </c>
      <c r="H1830" s="273" t="s">
        <v>5378</v>
      </c>
      <c r="I1830" s="274" t="s">
        <v>282</v>
      </c>
      <c r="J1830" s="136" t="str">
        <f>INDEX(数据元说明!A:F,MATCH(I1830,数据元说明!C:C,0),2)</f>
        <v>001001</v>
      </c>
      <c r="K1830" s="138" t="str">
        <f>INDEX(数据元说明!A:F,MATCH(I1830,数据元说明!C:C,0),5)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830" s="136" t="str">
        <f>INDEX(数据元说明!A:F,MATCH(I1830,数据元说明!C:C,0),6)</f>
        <v>C..400</v>
      </c>
      <c r="M1830" s="274" t="s">
        <v>4994</v>
      </c>
      <c r="N1830" s="139" t="s">
        <v>25</v>
      </c>
      <c r="O1830" s="139" t="s">
        <v>280</v>
      </c>
      <c r="P1830" s="205"/>
    </row>
    <row r="1831" s="61" customFormat="1" ht="36" spans="1:16">
      <c r="A1831" s="271"/>
      <c r="B1831" s="27"/>
      <c r="C1831" s="27"/>
      <c r="D1831" s="27"/>
      <c r="E1831" s="272"/>
      <c r="F1831" s="163" t="s">
        <v>4995</v>
      </c>
      <c r="G1831" s="41" t="s">
        <v>4996</v>
      </c>
      <c r="H1831" s="273" t="s">
        <v>5379</v>
      </c>
      <c r="I1831" s="163" t="s">
        <v>1365</v>
      </c>
      <c r="J1831" s="409" t="str">
        <f>INDEX(数据元说明!A:F,MATCH(I1831,数据元说明!C:C,0),2)</f>
        <v>010067</v>
      </c>
      <c r="K1831" s="133" t="str">
        <f>INDEX(数据元说明!A:F,MATCH(I1831,数据元说明!C:C,0),5)</f>
        <v>国有银行，股份制银行，城商行，外资银行，农村合作金融机构，政策性银行，国家开发银行，理财公司，其他。</v>
      </c>
      <c r="L1831" s="31" t="str">
        <f>INDEX(数据元说明!A:F,MATCH(I1831,数据元说明!C:C,0),6)</f>
        <v>C..30</v>
      </c>
      <c r="M1831" s="163" t="s">
        <v>4979</v>
      </c>
      <c r="N1831" s="33"/>
      <c r="O1831" s="99"/>
      <c r="P1831" s="41"/>
    </row>
    <row r="1832" s="61" customFormat="1" ht="36" spans="1:16">
      <c r="A1832" s="271"/>
      <c r="B1832" s="27"/>
      <c r="C1832" s="27"/>
      <c r="D1832" s="27"/>
      <c r="E1832" s="272"/>
      <c r="F1832" s="163" t="s">
        <v>5380</v>
      </c>
      <c r="G1832" s="41" t="s">
        <v>5381</v>
      </c>
      <c r="H1832" s="273" t="s">
        <v>5382</v>
      </c>
      <c r="I1832" s="163" t="s">
        <v>1356</v>
      </c>
      <c r="J1832" s="409" t="str">
        <f>INDEX(数据元说明!A:F,MATCH(I1832,数据元说明!C:C,0),2)</f>
        <v>010065</v>
      </c>
      <c r="K1832" s="133" t="str">
        <f>INDEX(数据元说明!A:F,MATCH(I1832,数据元说明!C:C,0),5)</f>
        <v>理财中心赋予产品或资产的序号。</v>
      </c>
      <c r="L1832" s="31" t="str">
        <f>INDEX(数据元说明!A:F,MATCH(I1832,数据元说明!C:C,0),6)</f>
        <v>C..30</v>
      </c>
      <c r="M1832" s="163" t="s">
        <v>4979</v>
      </c>
      <c r="N1832" s="33"/>
      <c r="O1832" s="99"/>
      <c r="P1832" s="41"/>
    </row>
    <row r="1833" s="81" customFormat="1" ht="88" spans="1:16">
      <c r="A1833" s="270"/>
      <c r="B1833" s="91"/>
      <c r="C1833" s="91"/>
      <c r="D1833" s="91"/>
      <c r="E1833" s="235"/>
      <c r="F1833" s="274" t="s">
        <v>5383</v>
      </c>
      <c r="G1833" s="275" t="s">
        <v>5384</v>
      </c>
      <c r="H1833" s="273" t="s">
        <v>5385</v>
      </c>
      <c r="I1833" s="274" t="s">
        <v>1279</v>
      </c>
      <c r="J1833" s="406" t="str">
        <f>INDEX(数据元说明!A:F,MATCH(I1833,数据元说明!C:C,0),2)</f>
        <v>010046</v>
      </c>
      <c r="K1833" s="138" t="str">
        <f>INDEX(数据元说明!A:F,MATCH(I1833,数据元说明!C:C,0),5)</f>
        <v>直接，间接。</v>
      </c>
      <c r="L1833" s="136" t="str">
        <f>INDEX(数据元说明!A:F,MATCH(I1833,数据元说明!C:C,0),6)</f>
        <v>C..30</v>
      </c>
      <c r="M1833" s="224" t="s">
        <v>5386</v>
      </c>
      <c r="N1833" s="139" t="s">
        <v>25</v>
      </c>
      <c r="O1833" s="139" t="s">
        <v>449</v>
      </c>
      <c r="P1833" s="205"/>
    </row>
    <row r="1834" s="81" customFormat="1" ht="71" spans="1:16">
      <c r="A1834" s="270"/>
      <c r="B1834" s="91"/>
      <c r="C1834" s="91"/>
      <c r="D1834" s="91"/>
      <c r="E1834" s="235"/>
      <c r="F1834" s="274" t="s">
        <v>5387</v>
      </c>
      <c r="G1834" s="275" t="s">
        <v>5388</v>
      </c>
      <c r="H1834" s="273" t="s">
        <v>5389</v>
      </c>
      <c r="I1834" s="274" t="s">
        <v>1421</v>
      </c>
      <c r="J1834" s="406" t="str">
        <f>INDEX(数据元说明!A:F,MATCH(I1834,数据元说明!C:C,0),2)</f>
        <v>010081</v>
      </c>
      <c r="K1834" s="138" t="str">
        <f>INDEX(数据元说明!A:F,MATCH(I1834,数据元说明!C:C,0),5)</f>
        <v>持有的资管及委外资产的名称。</v>
      </c>
      <c r="L1834" s="136" t="str">
        <f>INDEX(数据元说明!A:F,MATCH(I1834,数据元说明!C:C,0),6)</f>
        <v>C..800</v>
      </c>
      <c r="M1834" s="224" t="s">
        <v>5390</v>
      </c>
      <c r="N1834" s="139" t="s">
        <v>25</v>
      </c>
      <c r="O1834" s="139" t="s">
        <v>449</v>
      </c>
      <c r="P1834" s="205"/>
    </row>
    <row r="1835" s="81" customFormat="1" ht="106" spans="1:16">
      <c r="A1835" s="270"/>
      <c r="B1835" s="91"/>
      <c r="C1835" s="91"/>
      <c r="D1835" s="91"/>
      <c r="E1835" s="235"/>
      <c r="F1835" s="274" t="s">
        <v>5391</v>
      </c>
      <c r="G1835" s="275" t="s">
        <v>5392</v>
      </c>
      <c r="H1835" s="273" t="s">
        <v>5393</v>
      </c>
      <c r="I1835" s="274" t="s">
        <v>1352</v>
      </c>
      <c r="J1835" s="406" t="str">
        <f>INDEX(数据元说明!A:F,MATCH(I1835,数据元说明!C:C,0),2)</f>
        <v>010064</v>
      </c>
      <c r="K1835" s="138" t="str">
        <f>INDEX(数据元说明!A:F,MATCH(I1835,数据元说明!C:C,0),5)</f>
        <v>私募证券投资基金，私募股权投资基金，创业投资基金，其他私募投资基金，私募证券类FOF基金，私募股权投资类FOF基金，创业投资类FOF基金，其他私募投资类FOF基金，信托产品，券商资产管理产品，基金资产管理产品，期货资产管理产品，保险资产管理产品，其他资产管理产品，协议委外-银行，协议委外-信托公司，协议委外-证券公司，协议委外-基金公司，协议委外-期货公司，协议委外-保险公司，协议委外-其他。</v>
      </c>
      <c r="L1835" s="136" t="str">
        <f>INDEX(数据元说明!A:F,MATCH(I1835,数据元说明!C:C,0),6)</f>
        <v>C..300</v>
      </c>
      <c r="M1835" s="224" t="s">
        <v>5394</v>
      </c>
      <c r="N1835" s="139" t="s">
        <v>25</v>
      </c>
      <c r="O1835" s="139" t="s">
        <v>449</v>
      </c>
      <c r="P1835" s="205"/>
    </row>
    <row r="1836" s="61" customFormat="1" ht="53" spans="1:16">
      <c r="A1836" s="271"/>
      <c r="B1836" s="27"/>
      <c r="C1836" s="27"/>
      <c r="D1836" s="27"/>
      <c r="E1836" s="272"/>
      <c r="F1836" s="163" t="s">
        <v>5395</v>
      </c>
      <c r="G1836" s="41" t="s">
        <v>5396</v>
      </c>
      <c r="H1836" s="273" t="s">
        <v>5397</v>
      </c>
      <c r="I1836" s="163" t="s">
        <v>1283</v>
      </c>
      <c r="J1836" s="409" t="str">
        <f>INDEX(数据元说明!A:F,MATCH(I1836,数据元说明!C:C,0),2)</f>
        <v>010047</v>
      </c>
      <c r="K1836" s="133" t="str">
        <f>INDEX(数据元说明!A:F,MATCH(I1836,数据元说明!C:C,0),5)</f>
        <v>银行自定义的代码。</v>
      </c>
      <c r="L1836" s="31" t="str">
        <f>INDEX(数据元说明!A:F,MATCH(I1836,数据元说明!C:C,0),6)</f>
        <v>C..40</v>
      </c>
      <c r="M1836" s="163" t="s">
        <v>5398</v>
      </c>
      <c r="N1836" s="33"/>
      <c r="O1836" s="99"/>
      <c r="P1836" s="41"/>
    </row>
    <row r="1837" s="61" customFormat="1" ht="36" spans="1:16">
      <c r="A1837" s="271"/>
      <c r="B1837" s="27"/>
      <c r="C1837" s="27"/>
      <c r="D1837" s="27"/>
      <c r="E1837" s="272"/>
      <c r="F1837" s="163" t="s">
        <v>5399</v>
      </c>
      <c r="G1837" s="41" t="s">
        <v>5400</v>
      </c>
      <c r="H1837" s="273" t="s">
        <v>5401</v>
      </c>
      <c r="I1837" s="163" t="s">
        <v>1348</v>
      </c>
      <c r="J1837" s="409" t="str">
        <f>INDEX(数据元说明!A:F,MATCH(I1837,数据元说明!C:C,0),2)</f>
        <v>010063</v>
      </c>
      <c r="K1837" s="133" t="str">
        <f>INDEX(数据元说明!A:F,MATCH(I1837,数据元说明!C:C,0),5)</f>
        <v>登记机构赋予资产或交易的标识码。</v>
      </c>
      <c r="L1837" s="31" t="str">
        <f>INDEX(数据元说明!A:F,MATCH(I1837,数据元说明!C:C,0),6)</f>
        <v>C..30</v>
      </c>
      <c r="M1837" s="163" t="s">
        <v>5402</v>
      </c>
      <c r="N1837" s="33"/>
      <c r="O1837" s="99"/>
      <c r="P1837" s="41"/>
    </row>
    <row r="1838" s="61" customFormat="1" ht="53" spans="1:16">
      <c r="A1838" s="271"/>
      <c r="B1838" s="27"/>
      <c r="C1838" s="27"/>
      <c r="D1838" s="27"/>
      <c r="E1838" s="272"/>
      <c r="F1838" s="163" t="s">
        <v>624</v>
      </c>
      <c r="G1838" s="41" t="s">
        <v>1989</v>
      </c>
      <c r="H1838" s="273" t="s">
        <v>5403</v>
      </c>
      <c r="I1838" s="163" t="s">
        <v>624</v>
      </c>
      <c r="J1838" s="31" t="str">
        <f>INDEX(数据元说明!A:F,MATCH(I1838,数据元说明!C:C,0),2)</f>
        <v>003014</v>
      </c>
      <c r="K1838" s="133" t="str">
        <f>INDEX(数据元说明!A:F,MATCH(I1838,数据元说明!C:C,0),5)</f>
        <v>遵循《GB/T 12406 表示货币和资金的代码》的字母代码，如CNY。上述文件所列币种无法涵盖的，允许银行自定义填报。多个币种合计折算为人民币（本外币合计）的，填报为BWB。</v>
      </c>
      <c r="L1838" s="31" t="str">
        <f>INDEX(数据元说明!A:F,MATCH(I1838,数据元说明!C:C,0),6)</f>
        <v>C3</v>
      </c>
      <c r="M1838" s="163" t="s">
        <v>5404</v>
      </c>
      <c r="N1838" s="33"/>
      <c r="O1838" s="99"/>
      <c r="P1838" s="41"/>
    </row>
    <row r="1839" s="87" customFormat="1" ht="36" spans="1:16">
      <c r="A1839" s="270"/>
      <c r="B1839" s="91"/>
      <c r="C1839" s="91"/>
      <c r="D1839" s="91"/>
      <c r="E1839" s="235"/>
      <c r="F1839" s="224" t="s">
        <v>5405</v>
      </c>
      <c r="G1839" s="205" t="s">
        <v>5406</v>
      </c>
      <c r="H1839" s="277" t="s">
        <v>5407</v>
      </c>
      <c r="I1839" s="224" t="s">
        <v>609</v>
      </c>
      <c r="J1839" s="136" t="str">
        <f>INDEX(数据元说明!A:F,MATCH(I1839,数据元说明!C:C,0),2)</f>
        <v>003010</v>
      </c>
      <c r="K1839" s="138" t="str">
        <f>INDEX(数据元说明!A:F,MATCH(I1839,数据元说明!C:C,0),5)</f>
        <v>与币种相对应金额。</v>
      </c>
      <c r="L1839" s="136" t="str">
        <f>INDEX(数据元说明!A:F,MATCH(I1839,数据元说明!C:C,0),6)</f>
        <v>D20.2</v>
      </c>
      <c r="M1839" s="224" t="s">
        <v>5408</v>
      </c>
      <c r="N1839" s="139" t="s">
        <v>57</v>
      </c>
      <c r="O1839" s="139"/>
      <c r="P1839" s="205"/>
    </row>
    <row r="1840" s="81" customFormat="1" ht="71" spans="1:16">
      <c r="A1840" s="270"/>
      <c r="B1840" s="91"/>
      <c r="C1840" s="91"/>
      <c r="D1840" s="91"/>
      <c r="E1840" s="235"/>
      <c r="F1840" s="274" t="s">
        <v>5409</v>
      </c>
      <c r="G1840" s="275" t="s">
        <v>5410</v>
      </c>
      <c r="H1840" s="273" t="s">
        <v>5411</v>
      </c>
      <c r="I1840" s="274" t="s">
        <v>1287</v>
      </c>
      <c r="J1840" s="406" t="str">
        <f>INDEX(数据元说明!A:F,MATCH(I1840,数据元说明!C:C,0),2)</f>
        <v>010048</v>
      </c>
      <c r="K1840" s="138" t="str">
        <f>INDEX(数据元说明!A:F,MATCH(I1840,数据元说明!C:C,0),5)</f>
        <v>所属资产类别。</v>
      </c>
      <c r="L1840" s="136" t="str">
        <f>INDEX(数据元说明!A:F,MATCH(I1840,数据元说明!C:C,0),6)</f>
        <v>C..100</v>
      </c>
      <c r="M1840" s="224" t="s">
        <v>5412</v>
      </c>
      <c r="N1840" s="139" t="s">
        <v>25</v>
      </c>
      <c r="O1840" s="139" t="s">
        <v>1673</v>
      </c>
      <c r="P1840" s="205"/>
    </row>
    <row r="1841" s="81" customFormat="1" ht="69" customHeight="1" spans="1:16">
      <c r="A1841" s="270"/>
      <c r="B1841" s="91"/>
      <c r="C1841" s="91"/>
      <c r="D1841" s="91"/>
      <c r="E1841" s="235"/>
      <c r="F1841" s="274" t="s">
        <v>5413</v>
      </c>
      <c r="G1841" s="275" t="s">
        <v>5414</v>
      </c>
      <c r="H1841" s="273" t="s">
        <v>5415</v>
      </c>
      <c r="I1841" s="274" t="s">
        <v>1291</v>
      </c>
      <c r="J1841" s="406" t="str">
        <f>INDEX(数据元说明!A:F,MATCH(I1841,数据元说明!C:C,0),2)</f>
        <v>010049</v>
      </c>
      <c r="K1841" s="138" t="str">
        <f>INDEX(数据元说明!A:F,MATCH(I1841,数据元说明!C:C,0),5)</f>
        <v>所属资产类别。</v>
      </c>
      <c r="L1841" s="136" t="str">
        <f>INDEX(数据元说明!A:F,MATCH(I1841,数据元说明!C:C,0),6)</f>
        <v>C..100</v>
      </c>
      <c r="M1841" s="224" t="s">
        <v>5412</v>
      </c>
      <c r="N1841" s="139" t="s">
        <v>25</v>
      </c>
      <c r="O1841" s="139" t="s">
        <v>1673</v>
      </c>
      <c r="P1841" s="205"/>
    </row>
    <row r="1842" s="81" customFormat="1" ht="36" spans="1:16">
      <c r="A1842" s="270"/>
      <c r="B1842" s="91"/>
      <c r="C1842" s="91"/>
      <c r="D1842" s="91"/>
      <c r="E1842" s="235"/>
      <c r="F1842" s="274" t="s">
        <v>5416</v>
      </c>
      <c r="G1842" s="275" t="s">
        <v>5417</v>
      </c>
      <c r="H1842" s="273" t="s">
        <v>5418</v>
      </c>
      <c r="I1842" s="274" t="s">
        <v>1101</v>
      </c>
      <c r="J1842" s="406" t="str">
        <f>INDEX(数据元说明!A:F,MATCH(I1842,数据元说明!C:C,0),2)</f>
        <v>010002</v>
      </c>
      <c r="K1842" s="138" t="str">
        <f>INDEX(数据元说明!A:F,MATCH(I1842,数据元说明!C:C,0),5)</f>
        <v>金融产品名称，包括但不限于标准化或非标准化金融产品。如果不是标准产品，则由银行自定义。</v>
      </c>
      <c r="L1842" s="136" t="str">
        <f>INDEX(数据元说明!A:F,MATCH(I1842,数据元说明!C:C,0),6)</f>
        <v>C..200</v>
      </c>
      <c r="M1842" s="274" t="s">
        <v>5419</v>
      </c>
      <c r="N1842" s="139" t="s">
        <v>25</v>
      </c>
      <c r="O1842" s="139" t="s">
        <v>280</v>
      </c>
      <c r="P1842" s="205"/>
    </row>
    <row r="1843" s="61" customFormat="1" ht="36" spans="1:16">
      <c r="A1843" s="271"/>
      <c r="B1843" s="27"/>
      <c r="C1843" s="27"/>
      <c r="D1843" s="27"/>
      <c r="E1843" s="272"/>
      <c r="F1843" s="163" t="s">
        <v>5420</v>
      </c>
      <c r="G1843" s="41" t="s">
        <v>5421</v>
      </c>
      <c r="H1843" s="273" t="s">
        <v>5422</v>
      </c>
      <c r="I1843" s="163" t="s">
        <v>1344</v>
      </c>
      <c r="J1843" s="409" t="str">
        <f>INDEX(数据元说明!A:F,MATCH(I1843,数据元说明!C:C,0),2)</f>
        <v>010062</v>
      </c>
      <c r="K1843" s="133" t="str">
        <f>INDEX(数据元说明!A:F,MATCH(I1843,数据元说明!C:C,0),5)</f>
        <v>按照一定规则编制的，具有公开性、唯一性的资产编码</v>
      </c>
      <c r="L1843" s="31" t="str">
        <f>INDEX(数据元说明!A:F,MATCH(I1843,数据元说明!C:C,0),6)</f>
        <v>C..30</v>
      </c>
      <c r="M1843" s="163" t="s">
        <v>5423</v>
      </c>
      <c r="N1843" s="33"/>
      <c r="O1843" s="99"/>
      <c r="P1843" s="41"/>
    </row>
    <row r="1844" s="61" customFormat="1" ht="71" spans="1:16">
      <c r="A1844" s="271"/>
      <c r="B1844" s="27"/>
      <c r="C1844" s="27"/>
      <c r="D1844" s="27"/>
      <c r="E1844" s="272"/>
      <c r="F1844" s="163" t="s">
        <v>5424</v>
      </c>
      <c r="G1844" s="41" t="s">
        <v>5425</v>
      </c>
      <c r="H1844" s="273" t="s">
        <v>5426</v>
      </c>
      <c r="I1844" s="163" t="s">
        <v>515</v>
      </c>
      <c r="J1844" s="31" t="str">
        <f>INDEX(数据元说明!A:F,MATCH(I1844,数据元说明!C:C,0),2)</f>
        <v>002016</v>
      </c>
      <c r="K1844" s="133" t="str">
        <f>INDEX(数据元说明!A:F,MATCH(I1844,数据元说明!C:C,0),5)</f>
        <v>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v>
      </c>
      <c r="L1844" s="31" t="str">
        <f>INDEX(数据元说明!A:F,MATCH(I1844,数据元说明!C:C,0),6)</f>
        <v>C..100</v>
      </c>
      <c r="M1844" s="163" t="s">
        <v>5427</v>
      </c>
      <c r="N1844" s="33"/>
      <c r="O1844" s="99"/>
      <c r="P1844" s="41"/>
    </row>
    <row r="1845" s="61" customFormat="1" ht="88" spans="1:16">
      <c r="A1845" s="271"/>
      <c r="B1845" s="27"/>
      <c r="C1845" s="27"/>
      <c r="D1845" s="27"/>
      <c r="E1845" s="272"/>
      <c r="F1845" s="163" t="s">
        <v>5428</v>
      </c>
      <c r="G1845" s="41" t="s">
        <v>5429</v>
      </c>
      <c r="H1845" s="273" t="s">
        <v>5430</v>
      </c>
      <c r="I1845" s="163" t="s">
        <v>1298</v>
      </c>
      <c r="J1845" s="409" t="str">
        <f>INDEX(数据元说明!A:F,MATCH(I1845,数据元说明!C:C,0),2)</f>
        <v>010051</v>
      </c>
      <c r="K1845" s="133" t="str">
        <f>INDEX(数据元说明!A:F,MATCH(I1845,数据元说明!C:C,0),5)</f>
        <v>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v>
      </c>
      <c r="L1845" s="31" t="str">
        <f>INDEX(数据元说明!A:F,MATCH(I1845,数据元说明!C:C,0),6)</f>
        <v>C..100</v>
      </c>
      <c r="M1845" s="163" t="s">
        <v>5431</v>
      </c>
      <c r="N1845" s="33"/>
      <c r="O1845" s="99"/>
      <c r="P1845" s="41"/>
    </row>
    <row r="1846" s="81" customFormat="1" ht="53" spans="1:16">
      <c r="A1846" s="270"/>
      <c r="B1846" s="91"/>
      <c r="C1846" s="91"/>
      <c r="D1846" s="91"/>
      <c r="E1846" s="235"/>
      <c r="F1846" s="274" t="s">
        <v>5432</v>
      </c>
      <c r="G1846" s="275" t="s">
        <v>5433</v>
      </c>
      <c r="H1846" s="273" t="s">
        <v>5434</v>
      </c>
      <c r="I1846" s="224" t="s">
        <v>292</v>
      </c>
      <c r="J1846" s="136" t="str">
        <f>INDEX(数据元说明!A:F,MATCH(I1846,数据元说明!C:C,0),2)</f>
        <v>001003</v>
      </c>
      <c r="K1846" s="138" t="str">
        <f>INDEX(数据元说明!A:F,MATCH(I1846,数据元说明!C:C,0),5)</f>
        <v>百分比为单位，即1/100，保留两位小数。如4.5%则填报为4.50。</v>
      </c>
      <c r="L1846" s="136" t="str">
        <f>INDEX(数据元说明!A:F,MATCH(I1846,数据元说明!C:C,0),6)</f>
        <v>D20.2</v>
      </c>
      <c r="M1846" s="274" t="s">
        <v>5435</v>
      </c>
      <c r="N1846" s="139" t="s">
        <v>25</v>
      </c>
      <c r="O1846" s="140" t="s">
        <v>5227</v>
      </c>
      <c r="P1846" s="205"/>
    </row>
    <row r="1847" s="81" customFormat="1" ht="71" spans="1:16">
      <c r="A1847" s="270"/>
      <c r="B1847" s="91"/>
      <c r="C1847" s="91"/>
      <c r="D1847" s="91"/>
      <c r="E1847" s="235"/>
      <c r="F1847" s="274" t="s">
        <v>5436</v>
      </c>
      <c r="G1847" s="275" t="s">
        <v>5437</v>
      </c>
      <c r="H1847" s="273" t="s">
        <v>5438</v>
      </c>
      <c r="I1847" s="274" t="s">
        <v>1253</v>
      </c>
      <c r="J1847" s="406" t="str">
        <f>INDEX(数据元说明!A:F,MATCH(I1847,数据元说明!C:C,0),2)</f>
        <v>010040</v>
      </c>
      <c r="K1847" s="138" t="str">
        <f>INDEX(数据元说明!A:F,MATCH(I1847,数据元说明!C:C,0),5)</f>
        <v>以天为单位计的时间长度。</v>
      </c>
      <c r="L1847" s="136" t="str">
        <f>INDEX(数据元说明!A:F,MATCH(I1847,数据元说明!C:C,0),6)</f>
        <v>I..8</v>
      </c>
      <c r="M1847" s="224" t="s">
        <v>5439</v>
      </c>
      <c r="N1847" s="139" t="s">
        <v>25</v>
      </c>
      <c r="O1847" s="139" t="s">
        <v>1673</v>
      </c>
      <c r="P1847" s="205"/>
    </row>
    <row r="1848" s="81" customFormat="1" ht="106" customHeight="1" spans="1:16">
      <c r="A1848" s="270"/>
      <c r="B1848" s="91"/>
      <c r="C1848" s="91"/>
      <c r="D1848" s="91"/>
      <c r="E1848" s="235"/>
      <c r="F1848" s="274" t="s">
        <v>5440</v>
      </c>
      <c r="G1848" s="275" t="s">
        <v>5441</v>
      </c>
      <c r="H1848" s="273" t="s">
        <v>5442</v>
      </c>
      <c r="I1848" s="274" t="s">
        <v>1389</v>
      </c>
      <c r="J1848" s="406" t="str">
        <f>INDEX(数据元说明!A:F,MATCH(I1848,数据元说明!C:C,0),2)</f>
        <v>010073</v>
      </c>
      <c r="K1848" s="138" t="str">
        <f>INDEX(数据元说明!A:F,MATCH(I1848,数据元说明!C:C,0),5)</f>
        <v>与底层资产对应的资产评级。</v>
      </c>
      <c r="L1848" s="136" t="str">
        <f>INDEX(数据元说明!A:F,MATCH(I1848,数据元说明!C:C,0),6)</f>
        <v>C..30</v>
      </c>
      <c r="M1848" s="224" t="s">
        <v>5443</v>
      </c>
      <c r="N1848" s="139" t="s">
        <v>25</v>
      </c>
      <c r="O1848" s="140" t="s">
        <v>1539</v>
      </c>
      <c r="P1848" s="205"/>
    </row>
    <row r="1849" s="81" customFormat="1" ht="53" spans="1:16">
      <c r="A1849" s="270"/>
      <c r="B1849" s="91"/>
      <c r="C1849" s="91"/>
      <c r="D1849" s="91"/>
      <c r="E1849" s="235"/>
      <c r="F1849" s="274" t="s">
        <v>5444</v>
      </c>
      <c r="G1849" s="275" t="s">
        <v>5445</v>
      </c>
      <c r="H1849" s="273" t="s">
        <v>5446</v>
      </c>
      <c r="I1849" s="274" t="s">
        <v>1294</v>
      </c>
      <c r="J1849" s="406" t="str">
        <f>INDEX(数据元说明!A:F,MATCH(I1849,数据元说明!C:C,0),2)</f>
        <v>010050</v>
      </c>
      <c r="K1849" s="138" t="str">
        <f>INDEX(数据元说明!A:F,MATCH(I1849,数据元说明!C:C,0),5)</f>
        <v>与底层资产对应。</v>
      </c>
      <c r="L1849" s="136" t="str">
        <f>INDEX(数据元说明!A:F,MATCH(I1849,数据元说明!C:C,0),6)</f>
        <v>C..100</v>
      </c>
      <c r="M1849" s="224" t="s">
        <v>5447</v>
      </c>
      <c r="N1849" s="139" t="s">
        <v>25</v>
      </c>
      <c r="O1849" s="139" t="s">
        <v>449</v>
      </c>
      <c r="P1849" s="205"/>
    </row>
    <row r="1850" s="81" customFormat="1" ht="264" spans="1:16">
      <c r="A1850" s="270"/>
      <c r="B1850" s="91"/>
      <c r="C1850" s="91"/>
      <c r="D1850" s="91"/>
      <c r="E1850" s="235"/>
      <c r="F1850" s="274" t="s">
        <v>5448</v>
      </c>
      <c r="G1850" s="275" t="s">
        <v>5449</v>
      </c>
      <c r="H1850" s="273" t="s">
        <v>5450</v>
      </c>
      <c r="I1850" s="274" t="s">
        <v>609</v>
      </c>
      <c r="J1850" s="136" t="str">
        <f>INDEX(数据元说明!A:F,MATCH(I1850,数据元说明!C:C,0),2)</f>
        <v>003010</v>
      </c>
      <c r="K1850" s="138" t="str">
        <f>INDEX(数据元说明!A:F,MATCH(I1850,数据元说明!C:C,0),5)</f>
        <v>与币种相对应金额。</v>
      </c>
      <c r="L1850" s="136" t="str">
        <f>INDEX(数据元说明!A:F,MATCH(I1850,数据元说明!C:C,0),6)</f>
        <v>D20.2</v>
      </c>
      <c r="M1850" s="224" t="s">
        <v>5451</v>
      </c>
      <c r="N1850" s="139" t="s">
        <v>25</v>
      </c>
      <c r="O1850" s="140" t="s">
        <v>1539</v>
      </c>
      <c r="P1850" s="205"/>
    </row>
    <row r="1851" s="81" customFormat="1" ht="36" spans="1:16">
      <c r="A1851" s="270"/>
      <c r="B1851" s="91"/>
      <c r="C1851" s="91"/>
      <c r="D1851" s="91"/>
      <c r="E1851" s="235"/>
      <c r="F1851" s="224" t="s">
        <v>5452</v>
      </c>
      <c r="G1851" s="205" t="s">
        <v>5453</v>
      </c>
      <c r="H1851" s="277" t="s">
        <v>5454</v>
      </c>
      <c r="I1851" s="224" t="s">
        <v>609</v>
      </c>
      <c r="J1851" s="136" t="str">
        <f>INDEX(数据元说明!A:F,MATCH(I1851,数据元说明!C:C,0),2)</f>
        <v>003010</v>
      </c>
      <c r="K1851" s="138" t="str">
        <f>INDEX(数据元说明!A:F,MATCH(I1851,数据元说明!C:C,0),5)</f>
        <v>与币种相对应金额。</v>
      </c>
      <c r="L1851" s="136" t="str">
        <f>INDEX(数据元说明!A:F,MATCH(I1851,数据元说明!C:C,0),6)</f>
        <v>D20.2</v>
      </c>
      <c r="M1851" s="224" t="s">
        <v>5455</v>
      </c>
      <c r="N1851" s="139" t="s">
        <v>57</v>
      </c>
      <c r="O1851" s="140"/>
      <c r="P1851" s="205"/>
    </row>
    <row r="1852" s="81" customFormat="1" ht="30" customHeight="1" outlineLevel="1" spans="1:16">
      <c r="A1852" s="134"/>
      <c r="B1852" s="47"/>
      <c r="C1852" s="39"/>
      <c r="D1852" s="39"/>
      <c r="E1852" s="47"/>
      <c r="F1852" s="135" t="s">
        <v>449</v>
      </c>
      <c r="G1852" s="136" t="s">
        <v>1571</v>
      </c>
      <c r="H1852" s="277" t="s">
        <v>5456</v>
      </c>
      <c r="I1852" s="135" t="s">
        <v>449</v>
      </c>
      <c r="J1852" s="136" t="str">
        <f>INDEX(数据元说明!A:F,MATCH(I1852,数据元说明!C:C,0),2)</f>
        <v>001040</v>
      </c>
      <c r="K1852" s="138" t="str">
        <f>INDEX(数据元说明!A:F,MATCH(I1852,数据元说明!C:C,0),5)</f>
        <v>银行自定义。</v>
      </c>
      <c r="L1852" s="136" t="str">
        <f>INDEX(数据元说明!A:F,MATCH(I1852,数据元说明!C:C,0),6)</f>
        <v>C..600</v>
      </c>
      <c r="M1852" s="149" t="s">
        <v>1573</v>
      </c>
      <c r="N1852" s="139" t="s">
        <v>25</v>
      </c>
      <c r="O1852" s="139" t="s">
        <v>5457</v>
      </c>
      <c r="P1852" s="173"/>
    </row>
    <row r="1853" s="81" customFormat="1" ht="94" customHeight="1" spans="1:16">
      <c r="A1853" s="134"/>
      <c r="B1853" s="47"/>
      <c r="C1853" s="39"/>
      <c r="D1853" s="39"/>
      <c r="E1853" s="47"/>
      <c r="F1853" s="135" t="s">
        <v>1574</v>
      </c>
      <c r="G1853" s="269" t="s">
        <v>1575</v>
      </c>
      <c r="H1853" s="277" t="s">
        <v>5458</v>
      </c>
      <c r="I1853" s="135" t="s">
        <v>302</v>
      </c>
      <c r="J1853" s="136" t="str">
        <f>INDEX(数据元说明!A:F,MATCH(I1853,数据元说明!C:C,0),2)</f>
        <v>001005</v>
      </c>
      <c r="K1853" s="138" t="str">
        <f>INDEX(数据元说明!A:F,MATCH(I1853,数据元说明!C:C,0),5)</f>
        <v>YYYYMMDD，默认值99991231。</v>
      </c>
      <c r="L1853" s="136" t="str">
        <f>INDEX(数据元说明!A:F,MATCH(I1853,数据元说明!C:C,0),6)</f>
        <v>C8</v>
      </c>
      <c r="M1853" s="138" t="s">
        <v>5372</v>
      </c>
      <c r="N1853" s="139" t="s">
        <v>57</v>
      </c>
      <c r="O1853" s="139"/>
      <c r="P1853" s="205"/>
    </row>
    <row r="1854" s="61" customFormat="1" ht="106" spans="1:16">
      <c r="A1854" s="125"/>
      <c r="B1854" s="19"/>
      <c r="C1854" s="19" t="s">
        <v>259</v>
      </c>
      <c r="D1854" s="24" t="s">
        <v>260</v>
      </c>
      <c r="E1854" s="126">
        <v>1204</v>
      </c>
      <c r="F1854" s="127"/>
      <c r="G1854" s="126" t="s">
        <v>4974</v>
      </c>
      <c r="H1854" s="126"/>
      <c r="I1854" s="127"/>
      <c r="J1854" s="126"/>
      <c r="K1854" s="283"/>
      <c r="L1854" s="126"/>
      <c r="M1854" s="128" t="str">
        <f>INDEX(表结构总览!E:H,MATCH(D1854,表结构总览!E:E,0),4)</f>
        <v>该表体现统计期末理财产品持有的非标准化债权类资产（目前包含信托贷款、委托贷款、信贷资产转让、收/受益权、委托债权、应收账款、带回购条款的股权性融资、债券融资类产品）明细信息。</v>
      </c>
      <c r="N1854" s="198" t="s">
        <v>25</v>
      </c>
      <c r="O1854" s="198" t="s">
        <v>449</v>
      </c>
      <c r="P1854" s="206" t="s">
        <v>5459</v>
      </c>
    </row>
    <row r="1855" s="61" customFormat="1" ht="36" spans="1:16">
      <c r="A1855" s="271"/>
      <c r="B1855" s="27"/>
      <c r="C1855" s="27"/>
      <c r="D1855" s="27"/>
      <c r="E1855" s="272"/>
      <c r="F1855" s="163" t="s">
        <v>5380</v>
      </c>
      <c r="G1855" s="41" t="s">
        <v>5381</v>
      </c>
      <c r="H1855" s="273" t="s">
        <v>5460</v>
      </c>
      <c r="I1855" s="163" t="s">
        <v>1356</v>
      </c>
      <c r="J1855" s="409" t="str">
        <f>INDEX(数据元说明!A:F,MATCH(I1855,数据元说明!C:C,0),2)</f>
        <v>010065</v>
      </c>
      <c r="K1855" s="133" t="str">
        <f>INDEX(数据元说明!A:F,MATCH(I1855,数据元说明!C:C,0),5)</f>
        <v>理财中心赋予产品或资产的序号。</v>
      </c>
      <c r="L1855" s="31" t="str">
        <f>INDEX(数据元说明!A:F,MATCH(I1855,数据元说明!C:C,0),6)</f>
        <v>C..30</v>
      </c>
      <c r="M1855" s="163" t="s">
        <v>4979</v>
      </c>
      <c r="N1855" s="33"/>
      <c r="O1855" s="99"/>
      <c r="P1855" s="41"/>
    </row>
    <row r="1856" s="61" customFormat="1" spans="1:16">
      <c r="A1856" s="271"/>
      <c r="B1856" s="27"/>
      <c r="C1856" s="27"/>
      <c r="D1856" s="27"/>
      <c r="E1856" s="272"/>
      <c r="F1856" s="163" t="s">
        <v>1401</v>
      </c>
      <c r="G1856" s="41" t="s">
        <v>4799</v>
      </c>
      <c r="H1856" s="273" t="s">
        <v>5461</v>
      </c>
      <c r="I1856" s="163" t="s">
        <v>1401</v>
      </c>
      <c r="J1856" s="409" t="str">
        <f>INDEX(数据元说明!A:F,MATCH(I1856,数据元说明!C:C,0),2)</f>
        <v>010076</v>
      </c>
      <c r="K1856" s="133" t="str">
        <f>INDEX(数据元说明!A:F,MATCH(I1856,数据元说明!C:C,0),5)</f>
        <v>取自金融机构代码证前6位。</v>
      </c>
      <c r="L1856" s="31" t="str">
        <f>INDEX(数据元说明!A:F,MATCH(I1856,数据元说明!C:C,0),6)</f>
        <v>C..30</v>
      </c>
      <c r="M1856" s="163" t="s">
        <v>1587</v>
      </c>
      <c r="N1856" s="33"/>
      <c r="O1856" s="99"/>
      <c r="P1856" s="41"/>
    </row>
    <row r="1857" s="61" customFormat="1" ht="30" customHeight="1" spans="1:16">
      <c r="A1857" s="271"/>
      <c r="B1857" s="27"/>
      <c r="C1857" s="27"/>
      <c r="D1857" s="27"/>
      <c r="E1857" s="272"/>
      <c r="F1857" s="224" t="s">
        <v>4658</v>
      </c>
      <c r="G1857" s="205" t="s">
        <v>4659</v>
      </c>
      <c r="H1857" s="277" t="s">
        <v>5462</v>
      </c>
      <c r="I1857" s="224" t="s">
        <v>282</v>
      </c>
      <c r="J1857" s="136" t="str">
        <f>INDEX(数据元说明!A:F,MATCH(I1857,数据元说明!C:C,0),2)</f>
        <v>001001</v>
      </c>
      <c r="K1857" s="138" t="str">
        <f>INDEX(数据元说明!A:F,MATCH(I1857,数据元说明!C:C,0),5)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857" s="136" t="str">
        <f>INDEX(数据元说明!A:F,MATCH(I1857,数据元说明!C:C,0),6)</f>
        <v>C..400</v>
      </c>
      <c r="M1857" s="224" t="s">
        <v>4994</v>
      </c>
      <c r="N1857" s="139" t="s">
        <v>25</v>
      </c>
      <c r="O1857" s="139" t="s">
        <v>280</v>
      </c>
      <c r="P1857" s="205"/>
    </row>
    <row r="1858" s="61" customFormat="1" ht="36" spans="1:16">
      <c r="A1858" s="271"/>
      <c r="B1858" s="27"/>
      <c r="C1858" s="27"/>
      <c r="D1858" s="27"/>
      <c r="E1858" s="272"/>
      <c r="F1858" s="163" t="s">
        <v>4995</v>
      </c>
      <c r="G1858" s="41" t="s">
        <v>4996</v>
      </c>
      <c r="H1858" s="273" t="s">
        <v>5463</v>
      </c>
      <c r="I1858" s="163" t="s">
        <v>1365</v>
      </c>
      <c r="J1858" s="409" t="str">
        <f>INDEX(数据元说明!A:F,MATCH(I1858,数据元说明!C:C,0),2)</f>
        <v>010067</v>
      </c>
      <c r="K1858" s="133" t="str">
        <f>INDEX(数据元说明!A:F,MATCH(I1858,数据元说明!C:C,0),5)</f>
        <v>国有银行，股份制银行，城商行，外资银行，农村合作金融机构，政策性银行，国家开发银行，理财公司，其他。</v>
      </c>
      <c r="L1858" s="31" t="str">
        <f>INDEX(数据元说明!A:F,MATCH(I1858,数据元说明!C:C,0),6)</f>
        <v>C..30</v>
      </c>
      <c r="M1858" s="163" t="s">
        <v>4979</v>
      </c>
      <c r="N1858" s="33"/>
      <c r="O1858" s="99"/>
      <c r="P1858" s="41"/>
    </row>
    <row r="1859" s="61" customFormat="1" ht="53" spans="1:16">
      <c r="A1859" s="271"/>
      <c r="B1859" s="27"/>
      <c r="C1859" s="27"/>
      <c r="D1859" s="27"/>
      <c r="E1859" s="272"/>
      <c r="F1859" s="163" t="s">
        <v>5395</v>
      </c>
      <c r="G1859" s="41" t="s">
        <v>5396</v>
      </c>
      <c r="H1859" s="273" t="s">
        <v>5464</v>
      </c>
      <c r="I1859" s="163" t="s">
        <v>1283</v>
      </c>
      <c r="J1859" s="409" t="str">
        <f>INDEX(数据元说明!A:F,MATCH(I1859,数据元说明!C:C,0),2)</f>
        <v>010047</v>
      </c>
      <c r="K1859" s="133" t="str">
        <f>INDEX(数据元说明!A:F,MATCH(I1859,数据元说明!C:C,0),5)</f>
        <v>银行自定义的代码。</v>
      </c>
      <c r="L1859" s="31" t="str">
        <f>INDEX(数据元说明!A:F,MATCH(I1859,数据元说明!C:C,0),6)</f>
        <v>C..40</v>
      </c>
      <c r="M1859" s="163" t="s">
        <v>5398</v>
      </c>
      <c r="N1859" s="33"/>
      <c r="O1859" s="99"/>
      <c r="P1859" s="41"/>
    </row>
    <row r="1860" s="61" customFormat="1" ht="36" spans="1:16">
      <c r="A1860" s="271"/>
      <c r="B1860" s="27"/>
      <c r="C1860" s="27"/>
      <c r="D1860" s="27"/>
      <c r="E1860" s="272"/>
      <c r="F1860" s="163" t="s">
        <v>5399</v>
      </c>
      <c r="G1860" s="41" t="s">
        <v>5400</v>
      </c>
      <c r="H1860" s="273" t="s">
        <v>5465</v>
      </c>
      <c r="I1860" s="163" t="s">
        <v>1348</v>
      </c>
      <c r="J1860" s="409" t="str">
        <f>INDEX(数据元说明!A:F,MATCH(I1860,数据元说明!C:C,0),2)</f>
        <v>010063</v>
      </c>
      <c r="K1860" s="133" t="str">
        <f>INDEX(数据元说明!A:F,MATCH(I1860,数据元说明!C:C,0),5)</f>
        <v>登记机构赋予资产或交易的标识码。</v>
      </c>
      <c r="L1860" s="31" t="str">
        <f>INDEX(数据元说明!A:F,MATCH(I1860,数据元说明!C:C,0),6)</f>
        <v>C..30</v>
      </c>
      <c r="M1860" s="163" t="s">
        <v>4979</v>
      </c>
      <c r="N1860" s="33"/>
      <c r="O1860" s="99"/>
      <c r="P1860" s="41"/>
    </row>
    <row r="1861" s="61" customFormat="1" ht="53" spans="1:16">
      <c r="A1861" s="271"/>
      <c r="B1861" s="27"/>
      <c r="C1861" s="27"/>
      <c r="D1861" s="27"/>
      <c r="E1861" s="272"/>
      <c r="F1861" s="163" t="s">
        <v>624</v>
      </c>
      <c r="G1861" s="41" t="s">
        <v>1989</v>
      </c>
      <c r="H1861" s="273" t="s">
        <v>5466</v>
      </c>
      <c r="I1861" s="163" t="s">
        <v>624</v>
      </c>
      <c r="J1861" s="31" t="str">
        <f>INDEX(数据元说明!A:F,MATCH(I1861,数据元说明!C:C,0),2)</f>
        <v>003014</v>
      </c>
      <c r="K1861" s="133" t="str">
        <f>INDEX(数据元说明!A:F,MATCH(I1861,数据元说明!C:C,0),5)</f>
        <v>遵循《GB/T 12406 表示货币和资金的代码》的字母代码，如CNY。上述文件所列币种无法涵盖的，允许银行自定义填报。多个币种合计折算为人民币（本外币合计）的，填报为BWB。</v>
      </c>
      <c r="L1861" s="31" t="str">
        <f>INDEX(数据元说明!A:F,MATCH(I1861,数据元说明!C:C,0),6)</f>
        <v>C3</v>
      </c>
      <c r="M1861" s="163" t="s">
        <v>5467</v>
      </c>
      <c r="N1861" s="33"/>
      <c r="O1861" s="99"/>
      <c r="P1861" s="41"/>
    </row>
    <row r="1862" s="81" customFormat="1" ht="134" customHeight="1" spans="1:16">
      <c r="A1862" s="270"/>
      <c r="B1862" s="91"/>
      <c r="C1862" s="91"/>
      <c r="D1862" s="91"/>
      <c r="E1862" s="235"/>
      <c r="F1862" s="274" t="s">
        <v>5413</v>
      </c>
      <c r="G1862" s="275" t="s">
        <v>5414</v>
      </c>
      <c r="H1862" s="273" t="s">
        <v>5468</v>
      </c>
      <c r="I1862" s="274" t="s">
        <v>1291</v>
      </c>
      <c r="J1862" s="406" t="str">
        <f>INDEX(数据元说明!A:F,MATCH(I1862,数据元说明!C:C,0),2)</f>
        <v>010049</v>
      </c>
      <c r="K1862" s="138" t="str">
        <f>INDEX(数据元说明!A:F,MATCH(I1862,数据元说明!C:C,0),5)</f>
        <v>所属资产类别。</v>
      </c>
      <c r="L1862" s="136" t="str">
        <f>INDEX(数据元说明!A:F,MATCH(I1862,数据元说明!C:C,0),6)</f>
        <v>C..100</v>
      </c>
      <c r="M1862" s="224" t="s">
        <v>5412</v>
      </c>
      <c r="N1862" s="139" t="s">
        <v>25</v>
      </c>
      <c r="O1862" s="139" t="s">
        <v>1673</v>
      </c>
      <c r="P1862" s="205"/>
    </row>
    <row r="1863" s="61" customFormat="1" ht="36" spans="1:16">
      <c r="A1863" s="271"/>
      <c r="B1863" s="27"/>
      <c r="C1863" s="27"/>
      <c r="D1863" s="27"/>
      <c r="E1863" s="272"/>
      <c r="F1863" s="163" t="s">
        <v>1302</v>
      </c>
      <c r="G1863" s="41" t="s">
        <v>5469</v>
      </c>
      <c r="H1863" s="273" t="s">
        <v>5470</v>
      </c>
      <c r="I1863" s="163" t="s">
        <v>1302</v>
      </c>
      <c r="J1863" s="409" t="str">
        <f>INDEX(数据元说明!A:F,MATCH(I1863,数据元说明!C:C,0),2)</f>
        <v>010052</v>
      </c>
      <c r="K1863" s="133" t="str">
        <f>INDEX(数据元说明!A:F,MATCH(I1863,数据元说明!C:C,0),5)</f>
        <v>信托贷款，信贷资产转让，委托债权，应收账款，带回购条款的股权性融资，私募债权，融资融券，证券公司受益凭证，委托贷款，其他。</v>
      </c>
      <c r="L1863" s="31" t="str">
        <f>INDEX(数据元说明!A:F,MATCH(I1863,数据元说明!C:C,0),6)</f>
        <v>C..30</v>
      </c>
      <c r="M1863" s="163" t="s">
        <v>5471</v>
      </c>
      <c r="N1863" s="33"/>
      <c r="O1863" s="99"/>
      <c r="P1863" s="41"/>
    </row>
    <row r="1864" s="61" customFormat="1" spans="1:16">
      <c r="A1864" s="271"/>
      <c r="B1864" s="27"/>
      <c r="C1864" s="27"/>
      <c r="D1864" s="27"/>
      <c r="E1864" s="272"/>
      <c r="F1864" s="163" t="s">
        <v>5472</v>
      </c>
      <c r="G1864" s="41" t="s">
        <v>5473</v>
      </c>
      <c r="H1864" s="273" t="s">
        <v>5474</v>
      </c>
      <c r="I1864" s="163" t="s">
        <v>287</v>
      </c>
      <c r="J1864" s="31" t="str">
        <f>INDEX(数据元说明!A:F,MATCH(I1864,数据元说明!C:C,0),2)</f>
        <v>001002</v>
      </c>
      <c r="K1864" s="133" t="str">
        <f>INDEX(数据元说明!A:F,MATCH(I1864,数据元说明!C:C,0),5)</f>
        <v>是，否。</v>
      </c>
      <c r="L1864" s="31" t="str">
        <f>INDEX(数据元说明!A:F,MATCH(I1864,数据元说明!C:C,0),6)</f>
        <v>C3</v>
      </c>
      <c r="M1864" s="163"/>
      <c r="N1864" s="33"/>
      <c r="O1864" s="99"/>
      <c r="P1864" s="41"/>
    </row>
    <row r="1865" s="81" customFormat="1" ht="36" spans="1:16">
      <c r="A1865" s="270"/>
      <c r="B1865" s="91"/>
      <c r="C1865" s="91"/>
      <c r="D1865" s="91"/>
      <c r="E1865" s="235"/>
      <c r="F1865" s="274" t="s">
        <v>282</v>
      </c>
      <c r="G1865" s="275" t="s">
        <v>5475</v>
      </c>
      <c r="H1865" s="273" t="s">
        <v>5476</v>
      </c>
      <c r="I1865" s="274" t="s">
        <v>1101</v>
      </c>
      <c r="J1865" s="406" t="str">
        <f>INDEX(数据元说明!A:F,MATCH(I1865,数据元说明!C:C,0),2)</f>
        <v>010002</v>
      </c>
      <c r="K1865" s="138" t="str">
        <f>INDEX(数据元说明!A:F,MATCH(I1865,数据元说明!C:C,0),5)</f>
        <v>金融产品名称，包括但不限于标准化或非标准化金融产品。如果不是标准产品，则由银行自定义。</v>
      </c>
      <c r="L1865" s="136" t="str">
        <f>INDEX(数据元说明!A:F,MATCH(I1865,数据元说明!C:C,0),6)</f>
        <v>C..200</v>
      </c>
      <c r="M1865" s="274" t="s">
        <v>5477</v>
      </c>
      <c r="N1865" s="139" t="s">
        <v>25</v>
      </c>
      <c r="O1865" s="139" t="s">
        <v>280</v>
      </c>
      <c r="P1865" s="205"/>
    </row>
    <row r="1866" s="81" customFormat="1" ht="53" spans="1:16">
      <c r="A1866" s="270"/>
      <c r="B1866" s="91"/>
      <c r="C1866" s="91"/>
      <c r="D1866" s="91"/>
      <c r="E1866" s="235"/>
      <c r="F1866" s="224" t="s">
        <v>4967</v>
      </c>
      <c r="G1866" s="205" t="s">
        <v>2232</v>
      </c>
      <c r="H1866" s="277" t="s">
        <v>5478</v>
      </c>
      <c r="I1866" s="274" t="s">
        <v>302</v>
      </c>
      <c r="J1866" s="136" t="str">
        <f>INDEX(数据元说明!A:F,MATCH(I1866,数据元说明!C:C,0),2)</f>
        <v>001005</v>
      </c>
      <c r="K1866" s="138" t="str">
        <f>INDEX(数据元说明!A:F,MATCH(I1866,数据元说明!C:C,0),5)</f>
        <v>YYYYMMDD，默认值99991231。</v>
      </c>
      <c r="L1866" s="136" t="str">
        <f>INDEX(数据元说明!A:F,MATCH(I1866,数据元说明!C:C,0),6)</f>
        <v>C8</v>
      </c>
      <c r="M1866" s="274" t="s">
        <v>5479</v>
      </c>
      <c r="N1866" s="139" t="s">
        <v>25</v>
      </c>
      <c r="O1866" s="139" t="s">
        <v>1550</v>
      </c>
      <c r="P1866" s="205"/>
    </row>
    <row r="1867" s="81" customFormat="1" ht="53" spans="1:16">
      <c r="A1867" s="270"/>
      <c r="B1867" s="91"/>
      <c r="C1867" s="91"/>
      <c r="D1867" s="91"/>
      <c r="E1867" s="235"/>
      <c r="F1867" s="224" t="s">
        <v>2490</v>
      </c>
      <c r="G1867" s="205" t="s">
        <v>2491</v>
      </c>
      <c r="H1867" s="277" t="s">
        <v>5480</v>
      </c>
      <c r="I1867" s="274" t="s">
        <v>302</v>
      </c>
      <c r="J1867" s="136" t="str">
        <f>INDEX(数据元说明!A:F,MATCH(I1867,数据元说明!C:C,0),2)</f>
        <v>001005</v>
      </c>
      <c r="K1867" s="138" t="str">
        <f>INDEX(数据元说明!A:F,MATCH(I1867,数据元说明!C:C,0),5)</f>
        <v>YYYYMMDD，默认值99991231。</v>
      </c>
      <c r="L1867" s="136" t="str">
        <f>INDEX(数据元说明!A:F,MATCH(I1867,数据元说明!C:C,0),6)</f>
        <v>C8</v>
      </c>
      <c r="M1867" s="274" t="s">
        <v>5481</v>
      </c>
      <c r="N1867" s="139" t="s">
        <v>25</v>
      </c>
      <c r="O1867" s="139" t="s">
        <v>1550</v>
      </c>
      <c r="P1867" s="205"/>
    </row>
    <row r="1868" s="81" customFormat="1" ht="53" spans="1:16">
      <c r="A1868" s="270"/>
      <c r="B1868" s="91"/>
      <c r="C1868" s="91"/>
      <c r="D1868" s="91"/>
      <c r="E1868" s="235"/>
      <c r="F1868" s="224" t="s">
        <v>5482</v>
      </c>
      <c r="G1868" s="205" t="s">
        <v>5483</v>
      </c>
      <c r="H1868" s="277" t="s">
        <v>5484</v>
      </c>
      <c r="I1868" s="274" t="s">
        <v>302</v>
      </c>
      <c r="J1868" s="136" t="str">
        <f>INDEX(数据元说明!A:F,MATCH(I1868,数据元说明!C:C,0),2)</f>
        <v>001005</v>
      </c>
      <c r="K1868" s="138" t="str">
        <f>INDEX(数据元说明!A:F,MATCH(I1868,数据元说明!C:C,0),5)</f>
        <v>YYYYMMDD，默认值99991231。</v>
      </c>
      <c r="L1868" s="136" t="str">
        <f>INDEX(数据元说明!A:F,MATCH(I1868,数据元说明!C:C,0),6)</f>
        <v>C8</v>
      </c>
      <c r="M1868" s="279" t="s">
        <v>5485</v>
      </c>
      <c r="N1868" s="139" t="s">
        <v>25</v>
      </c>
      <c r="O1868" s="139" t="s">
        <v>1550</v>
      </c>
      <c r="P1868" s="205"/>
    </row>
    <row r="1869" s="61" customFormat="1" ht="36" spans="1:16">
      <c r="A1869" s="271"/>
      <c r="B1869" s="27"/>
      <c r="C1869" s="27"/>
      <c r="D1869" s="27"/>
      <c r="E1869" s="272"/>
      <c r="F1869" s="163" t="s">
        <v>5486</v>
      </c>
      <c r="G1869" s="41" t="s">
        <v>5487</v>
      </c>
      <c r="H1869" s="273" t="s">
        <v>5488</v>
      </c>
      <c r="I1869" s="163" t="s">
        <v>1335</v>
      </c>
      <c r="J1869" s="409" t="str">
        <f>INDEX(数据元说明!A:F,MATCH(I1869,数据元说明!C:C,0),2)</f>
        <v>010060</v>
      </c>
      <c r="K1869" s="133" t="str">
        <f>INDEX(数据元说明!A:F,MATCH(I1869,数据元说明!C:C,0),5)</f>
        <v>单位价格。</v>
      </c>
      <c r="L1869" s="31" t="str">
        <f>INDEX(数据元说明!A:F,MATCH(I1869,数据元说明!C:C,0),6)</f>
        <v>D17.4</v>
      </c>
      <c r="M1869" s="276" t="s">
        <v>5489</v>
      </c>
      <c r="N1869" s="33"/>
      <c r="O1869" s="99"/>
      <c r="P1869" s="41"/>
    </row>
    <row r="1870" s="61" customFormat="1" ht="36" spans="1:16">
      <c r="A1870" s="271"/>
      <c r="B1870" s="27"/>
      <c r="C1870" s="27"/>
      <c r="D1870" s="27"/>
      <c r="E1870" s="272"/>
      <c r="F1870" s="163" t="s">
        <v>1426</v>
      </c>
      <c r="G1870" s="41" t="s">
        <v>5490</v>
      </c>
      <c r="H1870" s="273" t="s">
        <v>5491</v>
      </c>
      <c r="I1870" s="163" t="s">
        <v>1426</v>
      </c>
      <c r="J1870" s="409" t="str">
        <f>INDEX(数据元说明!A:F,MATCH(I1870,数据元说明!C:C,0),2)</f>
        <v>010082</v>
      </c>
      <c r="K1870" s="133" t="str">
        <f>INDEX(数据元说明!A:F,MATCH(I1870,数据元说明!C:C,0),5)</f>
        <v>贴现式，利随本清固定利率，利随本清浮动利率，附息式固定利率，附息式浮动利率，零息式。</v>
      </c>
      <c r="L1870" s="31" t="str">
        <f>INDEX(数据元说明!A:F,MATCH(I1870,数据元说明!C:C,0),6)</f>
        <v>C..30</v>
      </c>
      <c r="M1870" s="276" t="s">
        <v>5492</v>
      </c>
      <c r="N1870" s="33"/>
      <c r="O1870" s="99"/>
      <c r="P1870" s="41"/>
    </row>
    <row r="1871" s="61" customFormat="1" spans="1:16">
      <c r="A1871" s="271"/>
      <c r="B1871" s="27"/>
      <c r="C1871" s="27"/>
      <c r="D1871" s="27"/>
      <c r="E1871" s="272"/>
      <c r="F1871" s="163" t="s">
        <v>5493</v>
      </c>
      <c r="G1871" s="41" t="s">
        <v>5494</v>
      </c>
      <c r="H1871" s="273" t="s">
        <v>5495</v>
      </c>
      <c r="I1871" s="163" t="s">
        <v>1306</v>
      </c>
      <c r="J1871" s="409" t="str">
        <f>INDEX(数据元说明!A:F,MATCH(I1871,数据元说明!C:C,0),2)</f>
        <v>010053</v>
      </c>
      <c r="K1871" s="133" t="str">
        <f>INDEX(数据元说明!A:F,MATCH(I1871,数据元说明!C:C,0),5)</f>
        <v>以月为单位计的时间长度。</v>
      </c>
      <c r="L1871" s="31" t="str">
        <f>INDEX(数据元说明!A:F,MATCH(I1871,数据元说明!C:C,0),6)</f>
        <v>I..4</v>
      </c>
      <c r="M1871" s="163" t="s">
        <v>5496</v>
      </c>
      <c r="N1871" s="33"/>
      <c r="O1871" s="99"/>
      <c r="P1871" s="41"/>
    </row>
    <row r="1872" s="81" customFormat="1" ht="53" spans="1:16">
      <c r="A1872" s="270"/>
      <c r="B1872" s="91"/>
      <c r="C1872" s="91"/>
      <c r="D1872" s="91"/>
      <c r="E1872" s="235"/>
      <c r="F1872" s="274" t="s">
        <v>5497</v>
      </c>
      <c r="G1872" s="275" t="s">
        <v>5498</v>
      </c>
      <c r="H1872" s="273" t="s">
        <v>5499</v>
      </c>
      <c r="I1872" s="274" t="s">
        <v>1504</v>
      </c>
      <c r="J1872" s="406" t="str">
        <f>INDEX(数据元说明!A:F,MATCH(I1872,数据元说明!C:C,0),2)</f>
        <v>010102</v>
      </c>
      <c r="K1872" s="138" t="str">
        <f>INDEX(数据元说明!A:F,MATCH(I1872,数据元说明!C:C,0),5)</f>
        <v>发行机构自定义。</v>
      </c>
      <c r="L1872" s="136" t="str">
        <f>INDEX(数据元说明!A:F,MATCH(I1872,数据元说明!C:C,0),6)</f>
        <v>C..400</v>
      </c>
      <c r="M1872" s="274" t="s">
        <v>5500</v>
      </c>
      <c r="N1872" s="139" t="s">
        <v>25</v>
      </c>
      <c r="O1872" s="140" t="s">
        <v>280</v>
      </c>
      <c r="P1872" s="205"/>
    </row>
    <row r="1873" s="61" customFormat="1" spans="1:16">
      <c r="A1873" s="271"/>
      <c r="B1873" s="27"/>
      <c r="C1873" s="27"/>
      <c r="D1873" s="27"/>
      <c r="E1873" s="272"/>
      <c r="F1873" s="163" t="s">
        <v>1310</v>
      </c>
      <c r="G1873" s="41" t="s">
        <v>5501</v>
      </c>
      <c r="H1873" s="273" t="s">
        <v>5502</v>
      </c>
      <c r="I1873" s="163" t="s">
        <v>1310</v>
      </c>
      <c r="J1873" s="409" t="str">
        <f>INDEX(数据元说明!A:F,MATCH(I1873,数据元说明!C:C,0),2)</f>
        <v>010054</v>
      </c>
      <c r="K1873" s="133" t="str">
        <f>INDEX(数据元说明!A:F,MATCH(I1873,数据元说明!C:C,0),5)</f>
        <v>ACT/366，ACT/360，ACT/365，ACT/ACT，30/360</v>
      </c>
      <c r="L1873" s="31" t="str">
        <f>INDEX(数据元说明!A:F,MATCH(I1873,数据元说明!C:C,0),6)</f>
        <v>C..30 </v>
      </c>
      <c r="M1873" s="163" t="s">
        <v>5503</v>
      </c>
      <c r="N1873" s="33"/>
      <c r="O1873" s="99"/>
      <c r="P1873" s="41"/>
    </row>
    <row r="1874" s="61" customFormat="1" ht="36" spans="1:16">
      <c r="A1874" s="271"/>
      <c r="B1874" s="27"/>
      <c r="C1874" s="27"/>
      <c r="D1874" s="27"/>
      <c r="E1874" s="272"/>
      <c r="F1874" s="163" t="s">
        <v>5504</v>
      </c>
      <c r="G1874" s="41" t="s">
        <v>5505</v>
      </c>
      <c r="H1874" s="273" t="s">
        <v>5506</v>
      </c>
      <c r="I1874" s="163" t="s">
        <v>287</v>
      </c>
      <c r="J1874" s="31" t="str">
        <f>INDEX(数据元说明!A:F,MATCH(I1874,数据元说明!C:C,0),2)</f>
        <v>001002</v>
      </c>
      <c r="K1874" s="133" t="str">
        <f>INDEX(数据元说明!A:F,MATCH(I1874,数据元说明!C:C,0),5)</f>
        <v>是，否。</v>
      </c>
      <c r="L1874" s="31" t="str">
        <f>INDEX(数据元说明!A:F,MATCH(I1874,数据元说明!C:C,0),6)</f>
        <v>C3</v>
      </c>
      <c r="M1874" s="276" t="s">
        <v>5507</v>
      </c>
      <c r="N1874" s="33"/>
      <c r="O1874" s="99"/>
      <c r="P1874" s="41"/>
    </row>
    <row r="1875" s="61" customFormat="1" ht="106" spans="1:16">
      <c r="A1875" s="271"/>
      <c r="B1875" s="27"/>
      <c r="C1875" s="27"/>
      <c r="D1875" s="27"/>
      <c r="E1875" s="272"/>
      <c r="F1875" s="163" t="s">
        <v>1430</v>
      </c>
      <c r="G1875" s="41" t="s">
        <v>5508</v>
      </c>
      <c r="H1875" s="273" t="s">
        <v>5509</v>
      </c>
      <c r="I1875" s="163" t="s">
        <v>1430</v>
      </c>
      <c r="J1875" s="409" t="str">
        <f>INDEX(数据元说明!A:F,MATCH(I1875,数据元说明!C:C,0),2)</f>
        <v>010083</v>
      </c>
      <c r="K1875" s="133" t="str">
        <f>INDEX(数据元说明!A:F,MATCH(I1875,数据元说明!C:C,0),5)</f>
        <v>平均分配，实际天数分配。</v>
      </c>
      <c r="L1875" s="31" t="str">
        <f>INDEX(数据元说明!A:F,MATCH(I1875,数据元说明!C:C,0),6)</f>
        <v>C..30</v>
      </c>
      <c r="M1875" s="276" t="s">
        <v>5510</v>
      </c>
      <c r="N1875" s="33"/>
      <c r="O1875" s="99"/>
      <c r="P1875" s="41"/>
    </row>
    <row r="1876" s="61" customFormat="1" ht="159" spans="1:16">
      <c r="A1876" s="271"/>
      <c r="B1876" s="27"/>
      <c r="C1876" s="27"/>
      <c r="D1876" s="27"/>
      <c r="E1876" s="272"/>
      <c r="F1876" s="163" t="s">
        <v>1315</v>
      </c>
      <c r="G1876" s="41" t="s">
        <v>5511</v>
      </c>
      <c r="H1876" s="273" t="s">
        <v>5512</v>
      </c>
      <c r="I1876" s="163" t="s">
        <v>1315</v>
      </c>
      <c r="J1876" s="409" t="str">
        <f>INDEX(数据元说明!A:F,MATCH(I1876,数据元说明!C:C,0),2)</f>
        <v>010055</v>
      </c>
      <c r="K1876" s="133" t="str">
        <f>INDEX(数据元说明!A:F,MATCH(I1876,数据元说明!C:C,0),5)</f>
        <v>一年期定期存款利率，七天回购利率（2W），七天回购利率(1M)，6M-USD-LIBOR-BBA，7天回购定盘利率FR007，SHIBOR-3M-10，SHIBOR-3M-5，SHIBOR-1W-120，SHIBOR-1Y-10，SHIBOR-3M-120，SHIBOR-1Y-20，SHIBOR-6M-5，SHIBOR-6M-20，半年定期存款利率，SHIBOR-1Y-30，SHIBOR-6M-7，SHIBOR-1Y-5，三个月定存，SHIBOR-1Y-15，3M-USD-LIBOR-BBA，六个月以内（含六个月）贷款利率，六个月至一年(含一年)贷款利率，一年以内（含一年）贷款利率，一至三年(含三年)贷款利率，三至五年(含五年)贷款利率，一至五年（含五年）贷款利率，五年以上贷款利率，其他。</v>
      </c>
      <c r="L1876" s="31" t="str">
        <f>INDEX(数据元说明!A:F,MATCH(I1876,数据元说明!C:C,0),6)</f>
        <v>C..40</v>
      </c>
      <c r="M1876" s="163" t="s">
        <v>5513</v>
      </c>
      <c r="N1876" s="33"/>
      <c r="O1876" s="99"/>
      <c r="P1876" s="41"/>
    </row>
    <row r="1877" s="61" customFormat="1" spans="1:16">
      <c r="A1877" s="271"/>
      <c r="B1877" s="27"/>
      <c r="C1877" s="27"/>
      <c r="D1877" s="27"/>
      <c r="E1877" s="272"/>
      <c r="F1877" s="163" t="s">
        <v>5514</v>
      </c>
      <c r="G1877" s="41" t="s">
        <v>5515</v>
      </c>
      <c r="H1877" s="273" t="s">
        <v>5516</v>
      </c>
      <c r="I1877" s="163" t="s">
        <v>287</v>
      </c>
      <c r="J1877" s="31" t="str">
        <f>INDEX(数据元说明!A:F,MATCH(I1877,数据元说明!C:C,0),2)</f>
        <v>001002</v>
      </c>
      <c r="K1877" s="133" t="str">
        <f>INDEX(数据元说明!A:F,MATCH(I1877,数据元说明!C:C,0),5)</f>
        <v>是，否。</v>
      </c>
      <c r="L1877" s="31" t="str">
        <f>INDEX(数据元说明!A:F,MATCH(I1877,数据元说明!C:C,0),6)</f>
        <v>C3</v>
      </c>
      <c r="M1877" s="276" t="s">
        <v>5192</v>
      </c>
      <c r="N1877" s="33"/>
      <c r="O1877" s="99"/>
      <c r="P1877" s="41"/>
    </row>
    <row r="1878" s="81" customFormat="1" ht="53" spans="1:16">
      <c r="A1878" s="270"/>
      <c r="B1878" s="91"/>
      <c r="C1878" s="91"/>
      <c r="D1878" s="91"/>
      <c r="E1878" s="235"/>
      <c r="F1878" s="274" t="s">
        <v>5517</v>
      </c>
      <c r="G1878" s="275" t="s">
        <v>5518</v>
      </c>
      <c r="H1878" s="273" t="s">
        <v>5519</v>
      </c>
      <c r="I1878" s="224" t="s">
        <v>292</v>
      </c>
      <c r="J1878" s="136" t="str">
        <f>INDEX(数据元说明!A:F,MATCH(I1878,数据元说明!C:C,0),2)</f>
        <v>001003</v>
      </c>
      <c r="K1878" s="138" t="str">
        <f>INDEX(数据元说明!A:F,MATCH(I1878,数据元说明!C:C,0),5)</f>
        <v>百分比为单位，即1/100，保留两位小数。如4.5%则填报为4.50。</v>
      </c>
      <c r="L1878" s="136" t="str">
        <f>INDEX(数据元说明!A:F,MATCH(I1878,数据元说明!C:C,0),6)</f>
        <v>D20.2</v>
      </c>
      <c r="M1878" s="274" t="s">
        <v>5520</v>
      </c>
      <c r="N1878" s="139" t="s">
        <v>25</v>
      </c>
      <c r="O1878" s="140" t="s">
        <v>5227</v>
      </c>
      <c r="P1878" s="205"/>
    </row>
    <row r="1879" s="61" customFormat="1" ht="71" spans="1:16">
      <c r="A1879" s="271"/>
      <c r="B1879" s="27"/>
      <c r="C1879" s="27"/>
      <c r="D1879" s="27"/>
      <c r="E1879" s="272"/>
      <c r="F1879" s="163" t="s">
        <v>1434</v>
      </c>
      <c r="G1879" s="41" t="s">
        <v>5521</v>
      </c>
      <c r="H1879" s="273" t="s">
        <v>5522</v>
      </c>
      <c r="I1879" s="163" t="s">
        <v>1434</v>
      </c>
      <c r="J1879" s="409" t="str">
        <f>INDEX(数据元说明!A:F,MATCH(I1879,数据元说明!C:C,0),2)</f>
        <v>010084</v>
      </c>
      <c r="K1879" s="133" t="str">
        <f>INDEX(数据元说明!A:F,MATCH(I1879,数据元说明!C:C,0),5)</f>
        <v>优先，优先A，优先B，优先C，优先D，中间，次优先，次级。</v>
      </c>
      <c r="L1879" s="31" t="str">
        <f>INDEX(数据元说明!A:F,MATCH(I1879,数据元说明!C:C,0),6)</f>
        <v>C..30</v>
      </c>
      <c r="M1879" s="276" t="s">
        <v>5523</v>
      </c>
      <c r="N1879" s="33"/>
      <c r="O1879" s="99"/>
      <c r="P1879" s="41"/>
    </row>
    <row r="1880" s="61" customFormat="1" ht="71" spans="1:16">
      <c r="A1880" s="271"/>
      <c r="B1880" s="27"/>
      <c r="C1880" s="27"/>
      <c r="D1880" s="27"/>
      <c r="E1880" s="272"/>
      <c r="F1880" s="163" t="s">
        <v>1438</v>
      </c>
      <c r="G1880" s="41" t="s">
        <v>5524</v>
      </c>
      <c r="H1880" s="273" t="s">
        <v>5525</v>
      </c>
      <c r="I1880" s="163" t="s">
        <v>1438</v>
      </c>
      <c r="J1880" s="409" t="str">
        <f>INDEX(数据元说明!A:F,MATCH(I1880,数据元说明!C:C,0),2)</f>
        <v>010085</v>
      </c>
      <c r="K1880" s="133" t="str">
        <f>INDEX(数据元说明!A:F,MATCH(I1880,数据元说明!C:C,0),5)</f>
        <v>过手摊还，固定摊还。</v>
      </c>
      <c r="L1880" s="31" t="str">
        <f>INDEX(数据元说明!A:F,MATCH(I1880,数据元说明!C:C,0),6)</f>
        <v>C..30</v>
      </c>
      <c r="M1880" s="276" t="s">
        <v>5526</v>
      </c>
      <c r="N1880" s="33"/>
      <c r="O1880" s="99"/>
      <c r="P1880" s="41"/>
    </row>
    <row r="1881" s="61" customFormat="1" ht="36" spans="1:16">
      <c r="A1881" s="271"/>
      <c r="B1881" s="27"/>
      <c r="C1881" s="27"/>
      <c r="D1881" s="27"/>
      <c r="E1881" s="272"/>
      <c r="F1881" s="163" t="s">
        <v>1458</v>
      </c>
      <c r="G1881" s="41" t="s">
        <v>5527</v>
      </c>
      <c r="H1881" s="273" t="s">
        <v>5528</v>
      </c>
      <c r="I1881" s="163" t="s">
        <v>1458</v>
      </c>
      <c r="J1881" s="409" t="str">
        <f>INDEX(数据元说明!A:F,MATCH(I1881,数据元说明!C:C,0),2)</f>
        <v>010090</v>
      </c>
      <c r="K1881" s="133" t="str">
        <f>INDEX(数据元说明!A:F,MATCH(I1881,数据元说明!C:C,0),5)</f>
        <v>分期还本，到期一次还本，其他。</v>
      </c>
      <c r="L1881" s="31" t="str">
        <f>INDEX(数据元说明!A:F,MATCH(I1881,数据元说明!C:C,0),6)</f>
        <v>C..30</v>
      </c>
      <c r="M1881" s="276" t="s">
        <v>5529</v>
      </c>
      <c r="N1881" s="33"/>
      <c r="O1881" s="99"/>
      <c r="P1881" s="41"/>
    </row>
    <row r="1882" s="81" customFormat="1" ht="36" spans="1:16">
      <c r="A1882" s="270"/>
      <c r="B1882" s="91"/>
      <c r="C1882" s="91"/>
      <c r="D1882" s="91"/>
      <c r="E1882" s="235"/>
      <c r="F1882" s="274" t="s">
        <v>1501</v>
      </c>
      <c r="G1882" s="275" t="s">
        <v>5530</v>
      </c>
      <c r="H1882" s="273" t="s">
        <v>5531</v>
      </c>
      <c r="I1882" s="274" t="s">
        <v>1501</v>
      </c>
      <c r="J1882" s="406" t="str">
        <f>INDEX(数据元说明!A:F,MATCH(I1882,数据元说明!C:C,0),2)</f>
        <v>010101</v>
      </c>
      <c r="K1882" s="138" t="str">
        <f>INDEX(数据元说明!A:F,MATCH(I1882,数据元说明!C:C,0),5)</f>
        <v>发行机构自定义。</v>
      </c>
      <c r="L1882" s="136" t="str">
        <f>INDEX(数据元说明!A:F,MATCH(I1882,数据元说明!C:C,0),6)</f>
        <v>C..400</v>
      </c>
      <c r="M1882" s="279" t="s">
        <v>5532</v>
      </c>
      <c r="N1882" s="139" t="s">
        <v>25</v>
      </c>
      <c r="O1882" s="140" t="s">
        <v>280</v>
      </c>
      <c r="P1882" s="205"/>
    </row>
    <row r="1883" s="81" customFormat="1" ht="71" spans="1:16">
      <c r="A1883" s="270"/>
      <c r="B1883" s="91"/>
      <c r="C1883" s="91"/>
      <c r="D1883" s="91"/>
      <c r="E1883" s="235"/>
      <c r="F1883" s="274" t="s">
        <v>5533</v>
      </c>
      <c r="G1883" s="275" t="s">
        <v>5534</v>
      </c>
      <c r="H1883" s="273" t="s">
        <v>5535</v>
      </c>
      <c r="I1883" s="224" t="s">
        <v>292</v>
      </c>
      <c r="J1883" s="136" t="str">
        <f>INDEX(数据元说明!A:F,MATCH(I1883,数据元说明!C:C,0),2)</f>
        <v>001003</v>
      </c>
      <c r="K1883" s="138" t="str">
        <f>INDEX(数据元说明!A:F,MATCH(I1883,数据元说明!C:C,0),5)</f>
        <v>百分比为单位，即1/100，保留两位小数。如4.5%则填报为4.50。</v>
      </c>
      <c r="L1883" s="136" t="str">
        <f>INDEX(数据元说明!A:F,MATCH(I1883,数据元说明!C:C,0),6)</f>
        <v>D20.2</v>
      </c>
      <c r="M1883" s="279" t="s">
        <v>5536</v>
      </c>
      <c r="N1883" s="139" t="s">
        <v>25</v>
      </c>
      <c r="O1883" s="140" t="s">
        <v>5227</v>
      </c>
      <c r="P1883" s="205"/>
    </row>
    <row r="1884" s="81" customFormat="1" ht="71" spans="1:16">
      <c r="A1884" s="270"/>
      <c r="B1884" s="91"/>
      <c r="C1884" s="91"/>
      <c r="D1884" s="91"/>
      <c r="E1884" s="235"/>
      <c r="F1884" s="274" t="s">
        <v>5537</v>
      </c>
      <c r="G1884" s="275" t="s">
        <v>5538</v>
      </c>
      <c r="H1884" s="273" t="s">
        <v>5539</v>
      </c>
      <c r="I1884" s="274" t="s">
        <v>751</v>
      </c>
      <c r="J1884" s="136" t="str">
        <f>INDEX(数据元说明!A:F,MATCH(I1884,数据元说明!C:C,0),2)</f>
        <v>005004</v>
      </c>
      <c r="K1884" s="138" t="str">
        <f>INDEX(数据元说明!A:F,MATCH(I1884,数据元说明!C:C,0),5)</f>
        <v>基准点为单位。浮动比例与上浮比例均折算点数填报。如上浮1%是填100.00，下浮1%是填-100.00，精确到小数点后2位。如果利率类型是固定利率，则利率浮动填写0.00。如利率类型是浮动利率，则与利率基准结合进行计算。</v>
      </c>
      <c r="L1884" s="136" t="str">
        <f>INDEX(数据元说明!A:F,MATCH(I1884,数据元说明!C:C,0),6)</f>
        <v>D8.5</v>
      </c>
      <c r="M1884" s="274" t="s">
        <v>5540</v>
      </c>
      <c r="N1884" s="139" t="s">
        <v>25</v>
      </c>
      <c r="O1884" s="140" t="s">
        <v>1962</v>
      </c>
      <c r="P1884" s="205"/>
    </row>
    <row r="1885" s="61" customFormat="1" ht="30" customHeight="1" spans="1:16">
      <c r="A1885" s="271"/>
      <c r="B1885" s="27"/>
      <c r="C1885" s="27"/>
      <c r="D1885" s="27"/>
      <c r="E1885" s="272"/>
      <c r="F1885" s="274" t="s">
        <v>5541</v>
      </c>
      <c r="G1885" s="275" t="s">
        <v>5542</v>
      </c>
      <c r="H1885" s="273" t="s">
        <v>5543</v>
      </c>
      <c r="I1885" s="274" t="s">
        <v>282</v>
      </c>
      <c r="J1885" s="136" t="str">
        <f>INDEX(数据元说明!A:F,MATCH(I1885,数据元说明!C:C,0),2)</f>
        <v>001001</v>
      </c>
      <c r="K1885" s="138" t="str">
        <f>INDEX(数据元说明!A:F,MATCH(I1885,数据元说明!C:C,0),5)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885" s="136" t="str">
        <f>INDEX(数据元说明!A:F,MATCH(I1885,数据元说明!C:C,0),6)</f>
        <v>C..400</v>
      </c>
      <c r="M1885" s="274" t="s">
        <v>5544</v>
      </c>
      <c r="N1885" s="139" t="s">
        <v>25</v>
      </c>
      <c r="O1885" s="139" t="s">
        <v>280</v>
      </c>
      <c r="P1885" s="205"/>
    </row>
    <row r="1886" s="81" customFormat="1" ht="71" spans="1:16">
      <c r="A1886" s="270"/>
      <c r="B1886" s="91"/>
      <c r="C1886" s="91"/>
      <c r="D1886" s="91"/>
      <c r="E1886" s="235"/>
      <c r="F1886" s="224" t="s">
        <v>5545</v>
      </c>
      <c r="G1886" s="205" t="s">
        <v>5546</v>
      </c>
      <c r="H1886" s="277" t="s">
        <v>5547</v>
      </c>
      <c r="I1886" s="274" t="s">
        <v>1381</v>
      </c>
      <c r="J1886" s="406" t="str">
        <f>INDEX(数据元说明!A:F,MATCH(I1886,数据元说明!C:C,0),2)</f>
        <v>010071</v>
      </c>
      <c r="K1886" s="138" t="str">
        <f>INDEX(数据元说明!A:F,MATCH(I1886,数据元说明!C:C,0),5)</f>
        <v>填报机构内部对融资人主体或资产的信用评级结果，银行自定义。</v>
      </c>
      <c r="L1886" s="136" t="str">
        <f>INDEX(数据元说明!A:F,MATCH(I1886,数据元说明!C:C,0),6)</f>
        <v>C..30</v>
      </c>
      <c r="M1886" s="274" t="s">
        <v>5548</v>
      </c>
      <c r="N1886" s="139" t="s">
        <v>25</v>
      </c>
      <c r="O1886" s="139" t="s">
        <v>5549</v>
      </c>
      <c r="P1886" s="205"/>
    </row>
    <row r="1887" s="61" customFormat="1" ht="36" spans="1:16">
      <c r="A1887" s="271"/>
      <c r="B1887" s="27"/>
      <c r="C1887" s="27"/>
      <c r="D1887" s="27"/>
      <c r="E1887" s="272"/>
      <c r="F1887" s="163" t="s">
        <v>5550</v>
      </c>
      <c r="G1887" s="41" t="s">
        <v>5551</v>
      </c>
      <c r="H1887" s="273" t="s">
        <v>5552</v>
      </c>
      <c r="I1887" s="163" t="s">
        <v>1319</v>
      </c>
      <c r="J1887" s="409" t="str">
        <f>INDEX(数据元说明!A:F,MATCH(I1887,数据元说明!C:C,0),2)</f>
        <v>010056</v>
      </c>
      <c r="K1887" s="133" t="str">
        <f>INDEX(数据元说明!A:F,MATCH(I1887,数据元说明!C:C,0),5)</f>
        <v>中小微企业，大型企业，其他。</v>
      </c>
      <c r="L1887" s="31" t="str">
        <f>INDEX(数据元说明!A:F,MATCH(I1887,数据元说明!C:C,0),6)</f>
        <v>C..30 </v>
      </c>
      <c r="M1887" s="163" t="s">
        <v>5553</v>
      </c>
      <c r="N1887" s="33"/>
      <c r="O1887" s="99"/>
      <c r="P1887" s="41"/>
    </row>
    <row r="1888" s="61" customFormat="1" ht="36" spans="1:16">
      <c r="A1888" s="271"/>
      <c r="B1888" s="27"/>
      <c r="C1888" s="27"/>
      <c r="D1888" s="27"/>
      <c r="E1888" s="272"/>
      <c r="F1888" s="163" t="s">
        <v>5554</v>
      </c>
      <c r="G1888" s="41" t="s">
        <v>5555</v>
      </c>
      <c r="H1888" s="273" t="s">
        <v>5556</v>
      </c>
      <c r="I1888" s="163" t="s">
        <v>1323</v>
      </c>
      <c r="J1888" s="409" t="str">
        <f>INDEX(数据元说明!A:F,MATCH(I1888,数据元说明!C:C,0),2)</f>
        <v>010057</v>
      </c>
      <c r="K1888" s="133" t="str">
        <f>INDEX(数据元说明!A:F,MATCH(I1888,数据元说明!C:C,0),5)</f>
        <v>高新技术企业，其他。</v>
      </c>
      <c r="L1888" s="31" t="str">
        <f>INDEX(数据元说明!A:F,MATCH(I1888,数据元说明!C:C,0),6)</f>
        <v>C..30 </v>
      </c>
      <c r="M1888" s="163" t="s">
        <v>5557</v>
      </c>
      <c r="N1888" s="33"/>
      <c r="O1888" s="99"/>
      <c r="P1888" s="41"/>
    </row>
    <row r="1889" s="61" customFormat="1" ht="36" spans="1:16">
      <c r="A1889" s="271"/>
      <c r="B1889" s="27"/>
      <c r="C1889" s="27"/>
      <c r="D1889" s="27"/>
      <c r="E1889" s="272"/>
      <c r="F1889" s="163" t="s">
        <v>5558</v>
      </c>
      <c r="G1889" s="41" t="s">
        <v>5559</v>
      </c>
      <c r="H1889" s="273" t="s">
        <v>5560</v>
      </c>
      <c r="I1889" s="163" t="s">
        <v>1327</v>
      </c>
      <c r="J1889" s="409" t="str">
        <f>INDEX(数据元说明!A:F,MATCH(I1889,数据元说明!C:C,0),2)</f>
        <v>010058</v>
      </c>
      <c r="K1889" s="133" t="str">
        <f>INDEX(数据元说明!A:F,MATCH(I1889,数据元说明!C:C,0),5)</f>
        <v>国有企业，集体企业，私营企业，其他。</v>
      </c>
      <c r="L1889" s="31" t="str">
        <f>INDEX(数据元说明!A:F,MATCH(I1889,数据元说明!C:C,0),6)</f>
        <v>C..30 </v>
      </c>
      <c r="M1889" s="163" t="s">
        <v>5561</v>
      </c>
      <c r="N1889" s="33"/>
      <c r="O1889" s="99"/>
      <c r="P1889" s="41"/>
    </row>
    <row r="1890" s="61" customFormat="1" spans="1:16">
      <c r="A1890" s="271"/>
      <c r="B1890" s="27"/>
      <c r="C1890" s="27"/>
      <c r="D1890" s="27"/>
      <c r="E1890" s="272"/>
      <c r="F1890" s="163" t="s">
        <v>5562</v>
      </c>
      <c r="G1890" s="41" t="s">
        <v>5563</v>
      </c>
      <c r="H1890" s="273" t="s">
        <v>5564</v>
      </c>
      <c r="I1890" s="163" t="s">
        <v>772</v>
      </c>
      <c r="J1890" s="31" t="str">
        <f>INDEX(数据元说明!A:F,MATCH(I1890,数据元说明!C:C,0),2)</f>
        <v>005009</v>
      </c>
      <c r="K1890" s="133" t="str">
        <f>INDEX(数据元说明!A:F,MATCH(I1890,数据元说明!C:C,0),5)</f>
        <v>项目贷款名称。</v>
      </c>
      <c r="L1890" s="31" t="str">
        <f>INDEX(数据元说明!A:F,MATCH(I1890,数据元说明!C:C,0),6)</f>
        <v>C..100 </v>
      </c>
      <c r="M1890" s="163" t="s">
        <v>5565</v>
      </c>
      <c r="N1890" s="33"/>
      <c r="O1890" s="99"/>
      <c r="P1890" s="41"/>
    </row>
    <row r="1891" s="81" customFormat="1" ht="71" spans="1:16">
      <c r="A1891" s="270"/>
      <c r="B1891" s="91"/>
      <c r="C1891" s="91"/>
      <c r="D1891" s="91"/>
      <c r="E1891" s="235"/>
      <c r="F1891" s="274" t="s">
        <v>5566</v>
      </c>
      <c r="G1891" s="275" t="s">
        <v>5567</v>
      </c>
      <c r="H1891" s="273" t="s">
        <v>5568</v>
      </c>
      <c r="I1891" s="224" t="s">
        <v>515</v>
      </c>
      <c r="J1891" s="136" t="str">
        <f>INDEX(数据元说明!A:F,MATCH(I1891,数据元说明!C:C,0),2)</f>
        <v>002016</v>
      </c>
      <c r="K1891" s="138" t="str">
        <f>INDEX(数据元说明!A:F,MATCH(I1891,数据元说明!C:C,0),5)</f>
        <v>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v>
      </c>
      <c r="L1891" s="136" t="str">
        <f>INDEX(数据元说明!A:F,MATCH(I1891,数据元说明!C:C,0),6)</f>
        <v>C..100</v>
      </c>
      <c r="M1891" s="224"/>
      <c r="N1891" s="139" t="s">
        <v>25</v>
      </c>
      <c r="O1891" s="139" t="s">
        <v>5252</v>
      </c>
      <c r="P1891" s="205"/>
    </row>
    <row r="1892" s="81" customFormat="1" ht="176" spans="1:16">
      <c r="A1892" s="270"/>
      <c r="B1892" s="91"/>
      <c r="C1892" s="91"/>
      <c r="D1892" s="91"/>
      <c r="E1892" s="235"/>
      <c r="F1892" s="274" t="s">
        <v>5569</v>
      </c>
      <c r="G1892" s="275" t="s">
        <v>5570</v>
      </c>
      <c r="H1892" s="273" t="s">
        <v>5571</v>
      </c>
      <c r="I1892" s="274" t="s">
        <v>768</v>
      </c>
      <c r="J1892" s="136" t="str">
        <f>INDEX(数据元说明!A:F,MATCH(I1892,数据元说明!C:C,0),2)</f>
        <v>005008</v>
      </c>
      <c r="K1892" s="138" t="str">
        <f>INDEX(数据元说明!A:F,MATCH(I1892,数据元说明!C:C,0),5)</f>
        <v>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v>
      </c>
      <c r="L1892" s="136" t="str">
        <f>INDEX(数据元说明!A:F,MATCH(I1892,数据元说明!C:C,0),6)</f>
        <v>C..100</v>
      </c>
      <c r="M1892" s="224"/>
      <c r="N1892" s="139" t="s">
        <v>25</v>
      </c>
      <c r="O1892" s="139" t="s">
        <v>275</v>
      </c>
      <c r="P1892" s="205"/>
    </row>
    <row r="1893" s="61" customFormat="1" ht="36" spans="1:16">
      <c r="A1893" s="271"/>
      <c r="B1893" s="27"/>
      <c r="C1893" s="27"/>
      <c r="D1893" s="27"/>
      <c r="E1893" s="272"/>
      <c r="F1893" s="163" t="s">
        <v>5572</v>
      </c>
      <c r="G1893" s="41" t="s">
        <v>5573</v>
      </c>
      <c r="H1893" s="273" t="s">
        <v>5574</v>
      </c>
      <c r="I1893" s="163" t="s">
        <v>287</v>
      </c>
      <c r="J1893" s="31" t="str">
        <f>INDEX(数据元说明!A:F,MATCH(I1893,数据元说明!C:C,0),2)</f>
        <v>001002</v>
      </c>
      <c r="K1893" s="133" t="str">
        <f>INDEX(数据元说明!A:F,MATCH(I1893,数据元说明!C:C,0),5)</f>
        <v>是，否。</v>
      </c>
      <c r="L1893" s="31" t="str">
        <f>INDEX(数据元说明!A:F,MATCH(I1893,数据元说明!C:C,0),6)</f>
        <v>C3</v>
      </c>
      <c r="M1893" s="163"/>
      <c r="N1893" s="33"/>
      <c r="O1893" s="99"/>
      <c r="P1893" s="41"/>
    </row>
    <row r="1894" s="61" customFormat="1" ht="36" spans="1:16">
      <c r="A1894" s="271"/>
      <c r="B1894" s="27"/>
      <c r="C1894" s="27"/>
      <c r="D1894" s="27"/>
      <c r="E1894" s="272"/>
      <c r="F1894" s="163" t="s">
        <v>5575</v>
      </c>
      <c r="G1894" s="41" t="s">
        <v>5576</v>
      </c>
      <c r="H1894" s="273" t="s">
        <v>5577</v>
      </c>
      <c r="I1894" s="163" t="s">
        <v>1331</v>
      </c>
      <c r="J1894" s="409" t="str">
        <f>INDEX(数据元说明!A:F,MATCH(I1894,数据元说明!C:C,0),2)</f>
        <v>010059</v>
      </c>
      <c r="K1894" s="133" t="str">
        <f>INDEX(数据元说明!A:F,MATCH(I1894,数据元说明!C:C,0),5)</f>
        <v>房地产（保障房除外），地方政府融资平台，“铁公基”行业，“两高一剩”行业，其他。</v>
      </c>
      <c r="L1894" s="31" t="str">
        <f>INDEX(数据元说明!A:F,MATCH(I1894,数据元说明!C:C,0),6)</f>
        <v>C..30 </v>
      </c>
      <c r="M1894" s="163"/>
      <c r="N1894" s="33"/>
      <c r="O1894" s="99"/>
      <c r="P1894" s="41"/>
    </row>
    <row r="1895" s="81" customFormat="1" ht="36" spans="1:16">
      <c r="A1895" s="270"/>
      <c r="B1895" s="91"/>
      <c r="C1895" s="91"/>
      <c r="D1895" s="91"/>
      <c r="E1895" s="235"/>
      <c r="F1895" s="224" t="s">
        <v>5578</v>
      </c>
      <c r="G1895" s="205" t="s">
        <v>5579</v>
      </c>
      <c r="H1895" s="277" t="s">
        <v>5580</v>
      </c>
      <c r="I1895" s="224" t="s">
        <v>1504</v>
      </c>
      <c r="J1895" s="406" t="str">
        <f>INDEX(数据元说明!A:F,MATCH(I1895,数据元说明!C:C,0),2)</f>
        <v>010102</v>
      </c>
      <c r="K1895" s="138" t="str">
        <f>INDEX(数据元说明!A:F,MATCH(I1895,数据元说明!C:C,0),5)</f>
        <v>发行机构自定义。</v>
      </c>
      <c r="L1895" s="136" t="str">
        <f>INDEX(数据元说明!A:F,MATCH(I1895,数据元说明!C:C,0),6)</f>
        <v>C..400</v>
      </c>
      <c r="M1895" s="224"/>
      <c r="N1895" s="139" t="s">
        <v>25</v>
      </c>
      <c r="O1895" s="139" t="s">
        <v>1516</v>
      </c>
      <c r="P1895" s="205"/>
    </row>
    <row r="1896" s="61" customFormat="1" ht="36" spans="1:16">
      <c r="A1896" s="271"/>
      <c r="B1896" s="27"/>
      <c r="C1896" s="27"/>
      <c r="D1896" s="27"/>
      <c r="E1896" s="272"/>
      <c r="F1896" s="163" t="s">
        <v>1417</v>
      </c>
      <c r="G1896" s="41" t="s">
        <v>5581</v>
      </c>
      <c r="H1896" s="273" t="s">
        <v>5582</v>
      </c>
      <c r="I1896" s="163" t="s">
        <v>1417</v>
      </c>
      <c r="J1896" s="409" t="str">
        <f>INDEX(数据元说明!A:F,MATCH(I1896,数据元说明!C:C,0),2)</f>
        <v>010080</v>
      </c>
      <c r="K1896" s="133" t="str">
        <f>INDEX(数据元说明!A:F,MATCH(I1896,数据元说明!C:C,0),5)</f>
        <v>信用担保，第三方保证，抵押，质押，信用增级，其他。</v>
      </c>
      <c r="L1896" s="31" t="str">
        <f>INDEX(数据元说明!A:F,MATCH(I1896,数据元说明!C:C,0),6)</f>
        <v>C..60</v>
      </c>
      <c r="M1896" s="163" t="s">
        <v>5583</v>
      </c>
      <c r="N1896" s="33"/>
      <c r="O1896" s="99"/>
      <c r="P1896" s="41"/>
    </row>
    <row r="1897" s="81" customFormat="1" spans="1:16">
      <c r="A1897" s="270"/>
      <c r="B1897" s="91"/>
      <c r="C1897" s="91"/>
      <c r="D1897" s="91"/>
      <c r="E1897" s="235"/>
      <c r="F1897" s="274" t="s">
        <v>5584</v>
      </c>
      <c r="G1897" s="275" t="s">
        <v>5585</v>
      </c>
      <c r="H1897" s="273" t="s">
        <v>5586</v>
      </c>
      <c r="I1897" s="274" t="s">
        <v>1504</v>
      </c>
      <c r="J1897" s="406" t="str">
        <f>INDEX(数据元说明!A:F,MATCH(I1897,数据元说明!C:C,0),2)</f>
        <v>010102</v>
      </c>
      <c r="K1897" s="138" t="str">
        <f>INDEX(数据元说明!A:F,MATCH(I1897,数据元说明!C:C,0),5)</f>
        <v>发行机构自定义。</v>
      </c>
      <c r="L1897" s="136" t="str">
        <f>INDEX(数据元说明!A:F,MATCH(I1897,数据元说明!C:C,0),6)</f>
        <v>C..400</v>
      </c>
      <c r="M1897" s="274" t="s">
        <v>5587</v>
      </c>
      <c r="N1897" s="139" t="s">
        <v>25</v>
      </c>
      <c r="O1897" s="140" t="s">
        <v>280</v>
      </c>
      <c r="P1897" s="205"/>
    </row>
    <row r="1898" s="61" customFormat="1" ht="176" spans="1:16">
      <c r="A1898" s="271"/>
      <c r="B1898" s="27"/>
      <c r="C1898" s="27"/>
      <c r="D1898" s="27"/>
      <c r="E1898" s="272"/>
      <c r="F1898" s="163" t="s">
        <v>874</v>
      </c>
      <c r="G1898" s="41" t="s">
        <v>5588</v>
      </c>
      <c r="H1898" s="273" t="s">
        <v>5589</v>
      </c>
      <c r="I1898" s="163" t="s">
        <v>874</v>
      </c>
      <c r="J1898" s="409" t="str">
        <f>INDEX(数据元说明!A:F,MATCH(I1898,数据元说明!C:C,0),2)</f>
        <v>005035</v>
      </c>
      <c r="K1898" s="133" t="str">
        <f>INDEX(数据元说明!A:F,MATCH(I1898,数据元说明!C:C,0),5)</f>
        <v>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v>
      </c>
      <c r="L1898" s="31" t="str">
        <f>INDEX(数据元说明!A:F,MATCH(I1898,数据元说明!C:C,0),6)</f>
        <v>C..60</v>
      </c>
      <c r="M1898" s="276" t="s">
        <v>5192</v>
      </c>
      <c r="N1898" s="33"/>
      <c r="O1898" s="99"/>
      <c r="P1898" s="41"/>
    </row>
    <row r="1899" s="81" customFormat="1" spans="1:16">
      <c r="A1899" s="270"/>
      <c r="B1899" s="91"/>
      <c r="C1899" s="91"/>
      <c r="D1899" s="91"/>
      <c r="E1899" s="235"/>
      <c r="F1899" s="224" t="s">
        <v>5590</v>
      </c>
      <c r="G1899" s="275" t="s">
        <v>5591</v>
      </c>
      <c r="H1899" s="273" t="s">
        <v>5592</v>
      </c>
      <c r="I1899" s="274" t="s">
        <v>609</v>
      </c>
      <c r="J1899" s="136" t="str">
        <f>INDEX(数据元说明!A:F,MATCH(I1899,数据元说明!C:C,0),2)</f>
        <v>003010</v>
      </c>
      <c r="K1899" s="138" t="str">
        <f>INDEX(数据元说明!A:F,MATCH(I1899,数据元说明!C:C,0),5)</f>
        <v>与币种相对应金额。</v>
      </c>
      <c r="L1899" s="136" t="str">
        <f>INDEX(数据元说明!A:F,MATCH(I1899,数据元说明!C:C,0),6)</f>
        <v>D20.2</v>
      </c>
      <c r="M1899" s="279" t="s">
        <v>5192</v>
      </c>
      <c r="N1899" s="139" t="s">
        <v>25</v>
      </c>
      <c r="O1899" s="140" t="s">
        <v>1513</v>
      </c>
      <c r="P1899" s="205"/>
    </row>
    <row r="1900" s="61" customFormat="1" spans="1:16">
      <c r="A1900" s="271"/>
      <c r="B1900" s="27"/>
      <c r="C1900" s="27"/>
      <c r="D1900" s="27"/>
      <c r="E1900" s="272"/>
      <c r="F1900" s="163" t="s">
        <v>1465</v>
      </c>
      <c r="G1900" s="41" t="s">
        <v>5593</v>
      </c>
      <c r="H1900" s="273" t="s">
        <v>5594</v>
      </c>
      <c r="I1900" s="163" t="s">
        <v>1465</v>
      </c>
      <c r="J1900" s="409" t="str">
        <f>INDEX(数据元说明!A:F,MATCH(I1900,数据元说明!C:C,0),2)</f>
        <v>010092</v>
      </c>
      <c r="K1900" s="133" t="str">
        <f>INDEX(数据元说明!A:F,MATCH(I1900,数据元说明!C:C,0),5)</f>
        <v>有限责任，无限责任。</v>
      </c>
      <c r="L1900" s="31" t="str">
        <f>INDEX(数据元说明!A:F,MATCH(I1900,数据元说明!C:C,0),6)</f>
        <v>C..30</v>
      </c>
      <c r="M1900" s="276" t="s">
        <v>5192</v>
      </c>
      <c r="N1900" s="33"/>
      <c r="O1900" s="99"/>
      <c r="P1900" s="41"/>
    </row>
    <row r="1901" s="61" customFormat="1" ht="36" spans="1:16">
      <c r="A1901" s="271"/>
      <c r="B1901" s="27"/>
      <c r="C1901" s="27"/>
      <c r="D1901" s="27"/>
      <c r="E1901" s="272"/>
      <c r="F1901" s="163" t="s">
        <v>1469</v>
      </c>
      <c r="G1901" s="41" t="s">
        <v>5595</v>
      </c>
      <c r="H1901" s="273" t="s">
        <v>5596</v>
      </c>
      <c r="I1901" s="163" t="s">
        <v>1469</v>
      </c>
      <c r="J1901" s="409" t="str">
        <f>INDEX(数据元说明!A:F,MATCH(I1901,数据元说明!C:C,0),2)</f>
        <v>010093</v>
      </c>
      <c r="K1901" s="133" t="str">
        <f>INDEX(数据元说明!A:F,MATCH(I1901,数据元说明!C:C,0),5)</f>
        <v>主要股东，控股股东，实际控制人，一致行动人，最终受益人，其他。</v>
      </c>
      <c r="L1901" s="31" t="str">
        <f>INDEX(数据元说明!A:F,MATCH(I1901,数据元说明!C:C,0),6)</f>
        <v>C..30</v>
      </c>
      <c r="M1901" s="276" t="s">
        <v>5192</v>
      </c>
      <c r="N1901" s="33"/>
      <c r="O1901" s="99"/>
      <c r="P1901" s="41"/>
    </row>
    <row r="1902" s="61" customFormat="1" ht="36" spans="1:16">
      <c r="A1902" s="271"/>
      <c r="B1902" s="27"/>
      <c r="C1902" s="27"/>
      <c r="D1902" s="27"/>
      <c r="E1902" s="272"/>
      <c r="F1902" s="163" t="s">
        <v>5597</v>
      </c>
      <c r="G1902" s="41" t="s">
        <v>5598</v>
      </c>
      <c r="H1902" s="273" t="s">
        <v>5599</v>
      </c>
      <c r="I1902" s="163" t="s">
        <v>529</v>
      </c>
      <c r="J1902" s="31" t="str">
        <f>INDEX(数据元说明!A:F,MATCH(I1902,数据元说明!C:C,0),2)</f>
        <v>002019</v>
      </c>
      <c r="K1902" s="133" t="str">
        <f>INDEX(数据元说明!A:F,MATCH(I1902,数据元说明!C:C,0),5)</f>
        <v>已登记统一社会信用代码的，填18位统一社会信用代码；未登记统一社会信用代码的，填组织机构代码。境外机构、临时验资户类客户填写默认值0</v>
      </c>
      <c r="L1902" s="31" t="str">
        <f>INDEX(数据元说明!A:F,MATCH(I1902,数据元说明!C:C,0),6)</f>
        <v>C..40</v>
      </c>
      <c r="M1902" s="276" t="s">
        <v>5600</v>
      </c>
      <c r="N1902" s="33"/>
      <c r="O1902" s="99"/>
      <c r="P1902" s="41"/>
    </row>
    <row r="1903" s="61" customFormat="1" ht="30" customHeight="1" spans="1:16">
      <c r="A1903" s="271"/>
      <c r="B1903" s="27"/>
      <c r="C1903" s="27"/>
      <c r="D1903" s="27"/>
      <c r="E1903" s="272"/>
      <c r="F1903" s="274" t="s">
        <v>5601</v>
      </c>
      <c r="G1903" s="275" t="s">
        <v>5602</v>
      </c>
      <c r="H1903" s="273" t="s">
        <v>5603</v>
      </c>
      <c r="I1903" s="274" t="s">
        <v>282</v>
      </c>
      <c r="J1903" s="136" t="str">
        <f>INDEX(数据元说明!A:F,MATCH(I1903,数据元说明!C:C,0),2)</f>
        <v>001001</v>
      </c>
      <c r="K1903" s="138" t="str">
        <f>INDEX(数据元说明!A:F,MATCH(I1903,数据元说明!C:C,0),5)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903" s="136" t="str">
        <f>INDEX(数据元说明!A:F,MATCH(I1903,数据元说明!C:C,0),6)</f>
        <v>C..400</v>
      </c>
      <c r="M1903" s="279" t="s">
        <v>5604</v>
      </c>
      <c r="N1903" s="139" t="s">
        <v>25</v>
      </c>
      <c r="O1903" s="139" t="s">
        <v>280</v>
      </c>
      <c r="P1903" s="205"/>
    </row>
    <row r="1904" s="81" customFormat="1" ht="71" spans="1:16">
      <c r="A1904" s="270"/>
      <c r="B1904" s="91"/>
      <c r="C1904" s="91"/>
      <c r="D1904" s="91"/>
      <c r="E1904" s="235"/>
      <c r="F1904" s="224" t="s">
        <v>5605</v>
      </c>
      <c r="G1904" s="205" t="s">
        <v>5606</v>
      </c>
      <c r="H1904" s="277" t="s">
        <v>5607</v>
      </c>
      <c r="I1904" s="274" t="s">
        <v>1377</v>
      </c>
      <c r="J1904" s="406" t="str">
        <f>INDEX(数据元说明!A:F,MATCH(I1904,数据元说明!C:C,0),2)</f>
        <v>010070</v>
      </c>
      <c r="K1904" s="138" t="str">
        <f>INDEX(数据元说明!A:F,MATCH(I1904,数据元说明!C:C,0),5)</f>
        <v>外部专业性的评级公司对融资人主体或资产的信用评级结果，以如下枚举值填报：AAA+，AAA，AAA-，AA+，AA，AA-，A+，A，A-，A-1，A-2，A-3，BBB+，BBB，BBB-，BB+，BB，BB-，B+，B，B-，CCC+，CCC，CCC-，CC+，CC，CC-，C+，C，C-，D。</v>
      </c>
      <c r="L1904" s="136" t="str">
        <f>INDEX(数据元说明!A:F,MATCH(I1904,数据元说明!C:C,0),6)</f>
        <v>C..30</v>
      </c>
      <c r="M1904" s="274" t="s">
        <v>5608</v>
      </c>
      <c r="N1904" s="139" t="s">
        <v>25</v>
      </c>
      <c r="O1904" s="139" t="s">
        <v>5609</v>
      </c>
      <c r="P1904" s="205"/>
    </row>
    <row r="1905" s="61" customFormat="1" ht="36" spans="1:16">
      <c r="A1905" s="271"/>
      <c r="B1905" s="27"/>
      <c r="C1905" s="27"/>
      <c r="D1905" s="27"/>
      <c r="E1905" s="272"/>
      <c r="F1905" s="163" t="s">
        <v>5610</v>
      </c>
      <c r="G1905" s="41" t="s">
        <v>5611</v>
      </c>
      <c r="H1905" s="273" t="s">
        <v>5612</v>
      </c>
      <c r="I1905" s="163" t="s">
        <v>1381</v>
      </c>
      <c r="J1905" s="409" t="str">
        <f>INDEX(数据元说明!A:F,MATCH(I1905,数据元说明!C:C,0),2)</f>
        <v>010071</v>
      </c>
      <c r="K1905" s="133" t="str">
        <f>INDEX(数据元说明!A:F,MATCH(I1905,数据元说明!C:C,0),5)</f>
        <v>填报机构内部对融资人主体或资产的信用评级结果，银行自定义。</v>
      </c>
      <c r="L1905" s="31" t="str">
        <f>INDEX(数据元说明!A:F,MATCH(I1905,数据元说明!C:C,0),6)</f>
        <v>C..30</v>
      </c>
      <c r="M1905" s="163" t="s">
        <v>5613</v>
      </c>
      <c r="N1905" s="33"/>
      <c r="O1905" s="99"/>
      <c r="P1905" s="41"/>
    </row>
    <row r="1906" s="61" customFormat="1" ht="71" spans="1:16">
      <c r="A1906" s="271"/>
      <c r="B1906" s="27"/>
      <c r="C1906" s="27"/>
      <c r="D1906" s="27"/>
      <c r="E1906" s="272"/>
      <c r="F1906" s="163" t="s">
        <v>5614</v>
      </c>
      <c r="G1906" s="41" t="s">
        <v>5615</v>
      </c>
      <c r="H1906" s="273" t="s">
        <v>5616</v>
      </c>
      <c r="I1906" s="163" t="s">
        <v>1377</v>
      </c>
      <c r="J1906" s="409" t="str">
        <f>INDEX(数据元说明!A:F,MATCH(I1906,数据元说明!C:C,0),2)</f>
        <v>010070</v>
      </c>
      <c r="K1906" s="133" t="str">
        <f>INDEX(数据元说明!A:F,MATCH(I1906,数据元说明!C:C,0),5)</f>
        <v>外部专业性的评级公司对融资人主体或资产的信用评级结果，以如下枚举值填报：AAA+，AAA，AAA-，AA+，AA，AA-，A+，A，A-，A-1，A-2，A-3，BBB+，BBB，BBB-，BB+，BB，BB-，B+，B，B-，CCC+，CCC，CCC-，CC+，CC，CC-，C+，C，C-，D。</v>
      </c>
      <c r="L1906" s="31" t="str">
        <f>INDEX(数据元说明!A:F,MATCH(I1906,数据元说明!C:C,0),6)</f>
        <v>C..30</v>
      </c>
      <c r="M1906" s="163" t="s">
        <v>5617</v>
      </c>
      <c r="N1906" s="139" t="s">
        <v>25</v>
      </c>
      <c r="O1906" s="139" t="s">
        <v>275</v>
      </c>
      <c r="P1906" s="41"/>
    </row>
    <row r="1907" s="61" customFormat="1" ht="71" spans="1:16">
      <c r="A1907" s="271"/>
      <c r="B1907" s="27"/>
      <c r="C1907" s="27"/>
      <c r="D1907" s="27"/>
      <c r="E1907" s="272"/>
      <c r="F1907" s="163" t="s">
        <v>1442</v>
      </c>
      <c r="G1907" s="41" t="s">
        <v>5618</v>
      </c>
      <c r="H1907" s="273" t="s">
        <v>5619</v>
      </c>
      <c r="I1907" s="163" t="s">
        <v>1442</v>
      </c>
      <c r="J1907" s="409" t="str">
        <f>INDEX(数据元说明!A:F,MATCH(I1907,数据元说明!C:C,0),2)</f>
        <v>010086</v>
      </c>
      <c r="K1907" s="133" t="str">
        <f>INDEX(数据元说明!A:F,MATCH(I1907,数据元说明!C:C,0),5)</f>
        <v>发行人赎回选择权，发行人利息递延支付选择权，发行人续期选择权，投资人回售选择权，票面利率调整选择权，协商续期选择权，提前到期选择权。</v>
      </c>
      <c r="L1907" s="31" t="str">
        <f>INDEX(数据元说明!A:F,MATCH(I1907,数据元说明!C:C,0),6)</f>
        <v>C..300</v>
      </c>
      <c r="M1907" s="276" t="s">
        <v>5620</v>
      </c>
      <c r="N1907" s="33"/>
      <c r="O1907" s="99"/>
      <c r="P1907" s="41"/>
    </row>
    <row r="1908" s="81" customFormat="1" ht="36" spans="1:16">
      <c r="A1908" s="270"/>
      <c r="B1908" s="91"/>
      <c r="C1908" s="91"/>
      <c r="D1908" s="91"/>
      <c r="E1908" s="235"/>
      <c r="F1908" s="274" t="s">
        <v>5621</v>
      </c>
      <c r="G1908" s="275" t="s">
        <v>5622</v>
      </c>
      <c r="H1908" s="273" t="s">
        <v>5623</v>
      </c>
      <c r="I1908" s="224" t="s">
        <v>1504</v>
      </c>
      <c r="J1908" s="406" t="str">
        <f>INDEX(数据元说明!A:F,MATCH(I1908,数据元说明!C:C,0),2)</f>
        <v>010102</v>
      </c>
      <c r="K1908" s="138" t="str">
        <f>INDEX(数据元说明!A:F,MATCH(I1908,数据元说明!C:C,0),5)</f>
        <v>发行机构自定义。</v>
      </c>
      <c r="L1908" s="136" t="str">
        <f>INDEX(数据元说明!A:F,MATCH(I1908,数据元说明!C:C,0),6)</f>
        <v>C..400</v>
      </c>
      <c r="M1908" s="274" t="s">
        <v>5624</v>
      </c>
      <c r="N1908" s="139" t="s">
        <v>25</v>
      </c>
      <c r="O1908" s="140" t="s">
        <v>280</v>
      </c>
      <c r="P1908" s="205"/>
    </row>
    <row r="1909" s="81" customFormat="1" spans="1:16">
      <c r="A1909" s="270"/>
      <c r="B1909" s="91"/>
      <c r="C1909" s="91"/>
      <c r="D1909" s="91"/>
      <c r="E1909" s="235"/>
      <c r="F1909" s="274" t="s">
        <v>5625</v>
      </c>
      <c r="G1909" s="275" t="s">
        <v>5626</v>
      </c>
      <c r="H1909" s="273" t="s">
        <v>5627</v>
      </c>
      <c r="I1909" s="224" t="s">
        <v>1504</v>
      </c>
      <c r="J1909" s="406" t="str">
        <f>INDEX(数据元说明!A:F,MATCH(I1909,数据元说明!C:C,0),2)</f>
        <v>010102</v>
      </c>
      <c r="K1909" s="138" t="str">
        <f>INDEX(数据元说明!A:F,MATCH(I1909,数据元说明!C:C,0),5)</f>
        <v>发行机构自定义。</v>
      </c>
      <c r="L1909" s="136" t="str">
        <f>INDEX(数据元说明!A:F,MATCH(I1909,数据元说明!C:C,0),6)</f>
        <v>C..400</v>
      </c>
      <c r="M1909" s="274" t="s">
        <v>5628</v>
      </c>
      <c r="N1909" s="139" t="s">
        <v>25</v>
      </c>
      <c r="O1909" s="140" t="s">
        <v>280</v>
      </c>
      <c r="P1909" s="205"/>
    </row>
    <row r="1910" s="61" customFormat="1" ht="36" spans="1:16">
      <c r="A1910" s="271"/>
      <c r="B1910" s="27"/>
      <c r="C1910" s="27"/>
      <c r="D1910" s="27"/>
      <c r="E1910" s="272"/>
      <c r="F1910" s="163" t="s">
        <v>1446</v>
      </c>
      <c r="G1910" s="41" t="s">
        <v>5629</v>
      </c>
      <c r="H1910" s="273" t="s">
        <v>5630</v>
      </c>
      <c r="I1910" s="163" t="s">
        <v>1446</v>
      </c>
      <c r="J1910" s="409" t="str">
        <f>INDEX(数据元说明!A:F,MATCH(I1910,数据元说明!C:C,0),2)</f>
        <v>010087</v>
      </c>
      <c r="K1910" s="133" t="str">
        <f>INDEX(数据元说明!A:F,MATCH(I1910,数据元说明!C:C,0),5)</f>
        <v>美式期权，欧式期权，百慕大期权。</v>
      </c>
      <c r="L1910" s="31" t="str">
        <f>INDEX(数据元说明!A:F,MATCH(I1910,数据元说明!C:C,0),6)</f>
        <v>C..30</v>
      </c>
      <c r="M1910" s="276" t="s">
        <v>5631</v>
      </c>
      <c r="N1910" s="33"/>
      <c r="O1910" s="99"/>
      <c r="P1910" s="41"/>
    </row>
    <row r="1911" s="81" customFormat="1" ht="53" spans="1:16">
      <c r="A1911" s="270"/>
      <c r="B1911" s="91"/>
      <c r="C1911" s="91"/>
      <c r="D1911" s="91"/>
      <c r="E1911" s="235"/>
      <c r="F1911" s="224" t="s">
        <v>5632</v>
      </c>
      <c r="G1911" s="205" t="s">
        <v>5633</v>
      </c>
      <c r="H1911" s="277" t="s">
        <v>5634</v>
      </c>
      <c r="I1911" s="274" t="s">
        <v>302</v>
      </c>
      <c r="J1911" s="136" t="str">
        <f>INDEX(数据元说明!A:F,MATCH(I1911,数据元说明!C:C,0),2)</f>
        <v>001005</v>
      </c>
      <c r="K1911" s="138" t="str">
        <f>INDEX(数据元说明!A:F,MATCH(I1911,数据元说明!C:C,0),5)</f>
        <v>YYYYMMDD，默认值99991231。</v>
      </c>
      <c r="L1911" s="136" t="str">
        <f>INDEX(数据元说明!A:F,MATCH(I1911,数据元说明!C:C,0),6)</f>
        <v>C8</v>
      </c>
      <c r="M1911" s="279" t="s">
        <v>5635</v>
      </c>
      <c r="N1911" s="139" t="s">
        <v>25</v>
      </c>
      <c r="O1911" s="139" t="s">
        <v>1550</v>
      </c>
      <c r="P1911" s="205"/>
    </row>
    <row r="1912" s="61" customFormat="1" ht="36" spans="1:16">
      <c r="A1912" s="271"/>
      <c r="B1912" s="27"/>
      <c r="C1912" s="27"/>
      <c r="D1912" s="27"/>
      <c r="E1912" s="272"/>
      <c r="F1912" s="163" t="s">
        <v>5636</v>
      </c>
      <c r="G1912" s="41" t="s">
        <v>5637</v>
      </c>
      <c r="H1912" s="273" t="s">
        <v>5638</v>
      </c>
      <c r="I1912" s="163" t="s">
        <v>302</v>
      </c>
      <c r="J1912" s="31" t="str">
        <f>INDEX(数据元说明!A:F,MATCH(I1912,数据元说明!C:C,0),2)</f>
        <v>001005</v>
      </c>
      <c r="K1912" s="133" t="str">
        <f>INDEX(数据元说明!A:F,MATCH(I1912,数据元说明!C:C,0),5)</f>
        <v>YYYYMMDD，默认值99991231。</v>
      </c>
      <c r="L1912" s="31" t="str">
        <f>INDEX(数据元说明!A:F,MATCH(I1912,数据元说明!C:C,0),6)</f>
        <v>C8</v>
      </c>
      <c r="M1912" s="276" t="s">
        <v>5639</v>
      </c>
      <c r="N1912" s="33"/>
      <c r="O1912" s="99"/>
      <c r="P1912" s="41"/>
    </row>
    <row r="1913" s="61" customFormat="1" ht="53" spans="1:16">
      <c r="A1913" s="271"/>
      <c r="B1913" s="27"/>
      <c r="C1913" s="27"/>
      <c r="D1913" s="27"/>
      <c r="E1913" s="272"/>
      <c r="F1913" s="163" t="s">
        <v>5640</v>
      </c>
      <c r="G1913" s="41" t="s">
        <v>5641</v>
      </c>
      <c r="H1913" s="273" t="s">
        <v>5642</v>
      </c>
      <c r="I1913" s="163" t="s">
        <v>1253</v>
      </c>
      <c r="J1913" s="409" t="str">
        <f>INDEX(数据元说明!A:F,MATCH(I1913,数据元说明!C:C,0),2)</f>
        <v>010040</v>
      </c>
      <c r="K1913" s="133" t="str">
        <f>INDEX(数据元说明!A:F,MATCH(I1913,数据元说明!C:C,0),5)</f>
        <v>以天为单位计的时间长度。</v>
      </c>
      <c r="L1913" s="31" t="str">
        <f>INDEX(数据元说明!A:F,MATCH(I1913,数据元说明!C:C,0),6)</f>
        <v>I..8</v>
      </c>
      <c r="M1913" s="276" t="s">
        <v>5643</v>
      </c>
      <c r="N1913" s="139" t="s">
        <v>25</v>
      </c>
      <c r="O1913" s="140" t="s">
        <v>280</v>
      </c>
      <c r="P1913" s="205"/>
    </row>
    <row r="1914" s="61" customFormat="1" ht="53" spans="1:16">
      <c r="A1914" s="271"/>
      <c r="B1914" s="27"/>
      <c r="C1914" s="27"/>
      <c r="D1914" s="27"/>
      <c r="E1914" s="272"/>
      <c r="F1914" s="163" t="s">
        <v>5644</v>
      </c>
      <c r="G1914" s="41" t="s">
        <v>5645</v>
      </c>
      <c r="H1914" s="273" t="s">
        <v>5646</v>
      </c>
      <c r="I1914" s="163" t="s">
        <v>1335</v>
      </c>
      <c r="J1914" s="409" t="str">
        <f>INDEX(数据元说明!A:F,MATCH(I1914,数据元说明!C:C,0),2)</f>
        <v>010060</v>
      </c>
      <c r="K1914" s="133" t="str">
        <f>INDEX(数据元说明!A:F,MATCH(I1914,数据元说明!C:C,0),5)</f>
        <v>单位价格。</v>
      </c>
      <c r="L1914" s="31" t="str">
        <f>INDEX(数据元说明!A:F,MATCH(I1914,数据元说明!C:C,0),6)</f>
        <v>D17.4</v>
      </c>
      <c r="M1914" s="276" t="s">
        <v>5647</v>
      </c>
      <c r="N1914" s="33"/>
      <c r="O1914" s="99"/>
      <c r="P1914" s="41"/>
    </row>
    <row r="1915" s="61" customFormat="1" ht="36" spans="1:16">
      <c r="A1915" s="271"/>
      <c r="B1915" s="27"/>
      <c r="C1915" s="27"/>
      <c r="D1915" s="27"/>
      <c r="E1915" s="272"/>
      <c r="F1915" s="163" t="s">
        <v>1450</v>
      </c>
      <c r="G1915" s="41" t="s">
        <v>5648</v>
      </c>
      <c r="H1915" s="273" t="s">
        <v>5649</v>
      </c>
      <c r="I1915" s="163" t="s">
        <v>1450</v>
      </c>
      <c r="J1915" s="409" t="str">
        <f>INDEX(数据元说明!A:F,MATCH(I1915,数据元说明!C:C,0),2)</f>
        <v>010088</v>
      </c>
      <c r="K1915" s="133" t="str">
        <f>INDEX(数据元说明!A:F,MATCH(I1915,数据元说明!C:C,0),5)</f>
        <v>无，可续期条款，永续条款。</v>
      </c>
      <c r="L1915" s="31" t="str">
        <f>INDEX(数据元说明!A:F,MATCH(I1915,数据元说明!C:C,0),6)</f>
        <v>C..30</v>
      </c>
      <c r="M1915" s="276" t="s">
        <v>5650</v>
      </c>
      <c r="N1915" s="33"/>
      <c r="O1915" s="99"/>
      <c r="P1915" s="41"/>
    </row>
    <row r="1916" s="61" customFormat="1" ht="53" spans="1:16">
      <c r="A1916" s="271"/>
      <c r="B1916" s="27"/>
      <c r="C1916" s="27"/>
      <c r="D1916" s="27"/>
      <c r="E1916" s="272"/>
      <c r="F1916" s="163" t="s">
        <v>1454</v>
      </c>
      <c r="G1916" s="41" t="s">
        <v>5651</v>
      </c>
      <c r="H1916" s="273" t="s">
        <v>5652</v>
      </c>
      <c r="I1916" s="163" t="s">
        <v>1454</v>
      </c>
      <c r="J1916" s="409" t="str">
        <f>INDEX(数据元说明!A:F,MATCH(I1916,数据元说明!C:C,0),2)</f>
        <v>010089</v>
      </c>
      <c r="K1916" s="133" t="str">
        <f>INDEX(数据元说明!A:F,MATCH(I1916,数据元说明!C:C,0),5)</f>
        <v>无利息递延条款，有利息递延条款，非利息递延条款引起的递延。</v>
      </c>
      <c r="L1916" s="31" t="str">
        <f>INDEX(数据元说明!A:F,MATCH(I1916,数据元说明!C:C,0),6)</f>
        <v>C..60</v>
      </c>
      <c r="M1916" s="276" t="s">
        <v>5653</v>
      </c>
      <c r="N1916" s="33"/>
      <c r="O1916" s="99"/>
      <c r="P1916" s="41"/>
    </row>
    <row r="1917" s="61" customFormat="1" ht="36" spans="1:16">
      <c r="A1917" s="271"/>
      <c r="B1917" s="27"/>
      <c r="C1917" s="27"/>
      <c r="D1917" s="27"/>
      <c r="E1917" s="272"/>
      <c r="F1917" s="163" t="s">
        <v>5654</v>
      </c>
      <c r="G1917" s="41" t="s">
        <v>5655</v>
      </c>
      <c r="H1917" s="273" t="s">
        <v>5656</v>
      </c>
      <c r="I1917" s="163" t="s">
        <v>287</v>
      </c>
      <c r="J1917" s="31" t="str">
        <f>INDEX(数据元说明!A:F,MATCH(I1917,数据元说明!C:C,0),2)</f>
        <v>001002</v>
      </c>
      <c r="K1917" s="133" t="str">
        <f>INDEX(数据元说明!A:F,MATCH(I1917,数据元说明!C:C,0),5)</f>
        <v>是，否。</v>
      </c>
      <c r="L1917" s="31" t="str">
        <f>INDEX(数据元说明!A:F,MATCH(I1917,数据元说明!C:C,0),6)</f>
        <v>C3</v>
      </c>
      <c r="M1917" s="276" t="s">
        <v>5657</v>
      </c>
      <c r="N1917" s="33"/>
      <c r="O1917" s="99"/>
      <c r="P1917" s="41"/>
    </row>
    <row r="1918" s="61" customFormat="1" ht="36" spans="1:16">
      <c r="A1918" s="271"/>
      <c r="B1918" s="27"/>
      <c r="C1918" s="27"/>
      <c r="D1918" s="27"/>
      <c r="E1918" s="272"/>
      <c r="F1918" s="163" t="s">
        <v>5658</v>
      </c>
      <c r="G1918" s="41" t="s">
        <v>5659</v>
      </c>
      <c r="H1918" s="273" t="s">
        <v>5660</v>
      </c>
      <c r="I1918" s="163" t="s">
        <v>302</v>
      </c>
      <c r="J1918" s="31" t="str">
        <f>INDEX(数据元说明!A:F,MATCH(I1918,数据元说明!C:C,0),2)</f>
        <v>001005</v>
      </c>
      <c r="K1918" s="133" t="str">
        <f>INDEX(数据元说明!A:F,MATCH(I1918,数据元说明!C:C,0),5)</f>
        <v>YYYYMMDD，默认值99991231。</v>
      </c>
      <c r="L1918" s="31" t="str">
        <f>INDEX(数据元说明!A:F,MATCH(I1918,数据元说明!C:C,0),6)</f>
        <v>C8</v>
      </c>
      <c r="M1918" s="276" t="s">
        <v>5661</v>
      </c>
      <c r="N1918" s="33"/>
      <c r="O1918" s="99"/>
      <c r="P1918" s="41"/>
    </row>
    <row r="1919" s="61" customFormat="1" ht="53" spans="1:16">
      <c r="A1919" s="271"/>
      <c r="B1919" s="27"/>
      <c r="C1919" s="27"/>
      <c r="D1919" s="27"/>
      <c r="E1919" s="272"/>
      <c r="F1919" s="163" t="s">
        <v>5662</v>
      </c>
      <c r="G1919" s="41" t="s">
        <v>5663</v>
      </c>
      <c r="H1919" s="273" t="s">
        <v>5664</v>
      </c>
      <c r="I1919" s="163" t="s">
        <v>1253</v>
      </c>
      <c r="J1919" s="409" t="str">
        <f>INDEX(数据元说明!A:F,MATCH(I1919,数据元说明!C:C,0),2)</f>
        <v>010040</v>
      </c>
      <c r="K1919" s="133" t="str">
        <f>INDEX(数据元说明!A:F,MATCH(I1919,数据元说明!C:C,0),5)</f>
        <v>以天为单位计的时间长度。</v>
      </c>
      <c r="L1919" s="31" t="str">
        <f>INDEX(数据元说明!A:F,MATCH(I1919,数据元说明!C:C,0),6)</f>
        <v>I..8</v>
      </c>
      <c r="M1919" s="276" t="s">
        <v>5665</v>
      </c>
      <c r="N1919" s="33"/>
      <c r="O1919" s="99"/>
      <c r="P1919" s="41"/>
    </row>
    <row r="1920" s="61" customFormat="1" ht="36" spans="1:16">
      <c r="A1920" s="271"/>
      <c r="B1920" s="27"/>
      <c r="C1920" s="27"/>
      <c r="D1920" s="27"/>
      <c r="E1920" s="272"/>
      <c r="F1920" s="163" t="s">
        <v>5666</v>
      </c>
      <c r="G1920" s="41" t="s">
        <v>5667</v>
      </c>
      <c r="H1920" s="273" t="s">
        <v>5668</v>
      </c>
      <c r="I1920" s="163" t="s">
        <v>287</v>
      </c>
      <c r="J1920" s="31" t="str">
        <f>INDEX(数据元说明!A:F,MATCH(I1920,数据元说明!C:C,0),2)</f>
        <v>001002</v>
      </c>
      <c r="K1920" s="133" t="str">
        <f>INDEX(数据元说明!A:F,MATCH(I1920,数据元说明!C:C,0),5)</f>
        <v>是，否。</v>
      </c>
      <c r="L1920" s="31" t="str">
        <f>INDEX(数据元说明!A:F,MATCH(I1920,数据元说明!C:C,0),6)</f>
        <v>C3</v>
      </c>
      <c r="M1920" s="276" t="s">
        <v>5669</v>
      </c>
      <c r="N1920" s="33"/>
      <c r="O1920" s="99"/>
      <c r="P1920" s="41"/>
    </row>
    <row r="1921" s="81" customFormat="1" ht="53" spans="1:16">
      <c r="A1921" s="270"/>
      <c r="B1921" s="91"/>
      <c r="C1921" s="91"/>
      <c r="D1921" s="91"/>
      <c r="E1921" s="235"/>
      <c r="F1921" s="274" t="s">
        <v>5670</v>
      </c>
      <c r="G1921" s="275" t="s">
        <v>5671</v>
      </c>
      <c r="H1921" s="273" t="s">
        <v>5672</v>
      </c>
      <c r="I1921" s="224" t="s">
        <v>292</v>
      </c>
      <c r="J1921" s="136" t="str">
        <f>INDEX(数据元说明!A:F,MATCH(I1921,数据元说明!C:C,0),2)</f>
        <v>001003</v>
      </c>
      <c r="K1921" s="138" t="str">
        <f>INDEX(数据元说明!A:F,MATCH(I1921,数据元说明!C:C,0),5)</f>
        <v>百分比为单位，即1/100，保留两位小数。如4.5%则填报为4.50。</v>
      </c>
      <c r="L1921" s="136" t="str">
        <f>INDEX(数据元说明!A:F,MATCH(I1921,数据元说明!C:C,0),6)</f>
        <v>D20.2</v>
      </c>
      <c r="M1921" s="279" t="s">
        <v>5673</v>
      </c>
      <c r="N1921" s="139" t="s">
        <v>25</v>
      </c>
      <c r="O1921" s="140" t="s">
        <v>5227</v>
      </c>
      <c r="P1921" s="205"/>
    </row>
    <row r="1922" s="61" customFormat="1" ht="71" spans="1:16">
      <c r="A1922" s="271"/>
      <c r="B1922" s="27"/>
      <c r="C1922" s="27"/>
      <c r="D1922" s="27"/>
      <c r="E1922" s="272"/>
      <c r="F1922" s="163" t="s">
        <v>5674</v>
      </c>
      <c r="G1922" s="41" t="s">
        <v>5675</v>
      </c>
      <c r="H1922" s="273" t="s">
        <v>5676</v>
      </c>
      <c r="I1922" s="163" t="s">
        <v>403</v>
      </c>
      <c r="J1922" s="31" t="str">
        <f>INDEX(数据元说明!A:F,MATCH(I1922,数据元说明!C:C,0),2)</f>
        <v>001030</v>
      </c>
      <c r="K1922" s="133" t="str">
        <f>INDEX(数据元说明!A:F,MATCH(I1922,数据元说明!C:C,0),5)</f>
        <v>境内地区参照《GB/T 2260-2020 中华人民共和国行政区划代码》按省+市+县/区的排列填写国内行政区划名称，填写至二级分类，如北京市朝阳区、江苏省南京市秦淮区。境外地区参照《GB/T 2659 世界各国和地区名称代码》定义的中文简称，如美国，英国。</v>
      </c>
      <c r="L1922" s="31" t="str">
        <f>INDEX(数据元说明!A:F,MATCH(I1922,数据元说明!C:C,0),6)</f>
        <v>C..400</v>
      </c>
      <c r="M1922" s="163" t="s">
        <v>5677</v>
      </c>
      <c r="N1922" s="33"/>
      <c r="O1922" s="99"/>
      <c r="P1922" s="41"/>
    </row>
    <row r="1923" s="81" customFormat="1" ht="36" spans="1:16">
      <c r="A1923" s="270"/>
      <c r="B1923" s="91"/>
      <c r="C1923" s="91"/>
      <c r="D1923" s="91"/>
      <c r="E1923" s="235"/>
      <c r="F1923" s="274" t="s">
        <v>5678</v>
      </c>
      <c r="G1923" s="275" t="s">
        <v>5679</v>
      </c>
      <c r="H1923" s="273" t="s">
        <v>5680</v>
      </c>
      <c r="I1923" s="274" t="s">
        <v>1504</v>
      </c>
      <c r="J1923" s="406" t="str">
        <f>INDEX(数据元说明!A:F,MATCH(I1923,数据元说明!C:C,0),2)</f>
        <v>010102</v>
      </c>
      <c r="K1923" s="138" t="str">
        <f>INDEX(数据元说明!A:F,MATCH(I1923,数据元说明!C:C,0),5)</f>
        <v>发行机构自定义。</v>
      </c>
      <c r="L1923" s="136" t="str">
        <f>INDEX(数据元说明!A:F,MATCH(I1923,数据元说明!C:C,0),6)</f>
        <v>C..400</v>
      </c>
      <c r="M1923" s="274" t="s">
        <v>5681</v>
      </c>
      <c r="N1923" s="139" t="s">
        <v>25</v>
      </c>
      <c r="O1923" s="140" t="s">
        <v>280</v>
      </c>
      <c r="P1923" s="205"/>
    </row>
    <row r="1924" s="81" customFormat="1" ht="53" spans="1:16">
      <c r="A1924" s="270"/>
      <c r="B1924" s="91"/>
      <c r="C1924" s="91"/>
      <c r="D1924" s="91"/>
      <c r="E1924" s="235"/>
      <c r="F1924" s="224" t="s">
        <v>5682</v>
      </c>
      <c r="G1924" s="205" t="s">
        <v>5683</v>
      </c>
      <c r="H1924" s="277" t="s">
        <v>5684</v>
      </c>
      <c r="I1924" s="274" t="s">
        <v>529</v>
      </c>
      <c r="J1924" s="136" t="str">
        <f>INDEX(数据元说明!A:F,MATCH(I1924,数据元说明!C:C,0),2)</f>
        <v>002019</v>
      </c>
      <c r="K1924" s="138" t="str">
        <f>INDEX(数据元说明!A:F,MATCH(I1924,数据元说明!C:C,0),5)</f>
        <v>已登记统一社会信用代码的，填18位统一社会信用代码；未登记统一社会信用代码的，填组织机构代码。境外机构、临时验资户类客户填写默认值0</v>
      </c>
      <c r="L1924" s="136" t="str">
        <f>INDEX(数据元说明!A:F,MATCH(I1924,数据元说明!C:C,0),6)</f>
        <v>C..40</v>
      </c>
      <c r="M1924" s="224" t="s">
        <v>5685</v>
      </c>
      <c r="N1924" s="139" t="s">
        <v>25</v>
      </c>
      <c r="O1924" s="140" t="s">
        <v>2494</v>
      </c>
      <c r="P1924" s="205"/>
    </row>
    <row r="1925" s="81" customFormat="1" ht="53" spans="1:16">
      <c r="A1925" s="270"/>
      <c r="B1925" s="91"/>
      <c r="C1925" s="91"/>
      <c r="D1925" s="91"/>
      <c r="E1925" s="235"/>
      <c r="F1925" s="274" t="s">
        <v>5686</v>
      </c>
      <c r="G1925" s="275" t="s">
        <v>5687</v>
      </c>
      <c r="H1925" s="273" t="s">
        <v>5688</v>
      </c>
      <c r="I1925" s="224" t="s">
        <v>292</v>
      </c>
      <c r="J1925" s="136" t="str">
        <f>INDEX(数据元说明!A:F,MATCH(I1925,数据元说明!C:C,0),2)</f>
        <v>001003</v>
      </c>
      <c r="K1925" s="138" t="str">
        <f>INDEX(数据元说明!A:F,MATCH(I1925,数据元说明!C:C,0),5)</f>
        <v>百分比为单位，即1/100，保留两位小数。如4.5%则填报为4.50。</v>
      </c>
      <c r="L1925" s="136" t="str">
        <f>INDEX(数据元说明!A:F,MATCH(I1925,数据元说明!C:C,0),6)</f>
        <v>D20.2</v>
      </c>
      <c r="M1925" s="274" t="s">
        <v>5689</v>
      </c>
      <c r="N1925" s="139" t="s">
        <v>25</v>
      </c>
      <c r="O1925" s="140" t="s">
        <v>5227</v>
      </c>
      <c r="P1925" s="205"/>
    </row>
    <row r="1926" s="81" customFormat="1" ht="36" spans="1:16">
      <c r="A1926" s="270"/>
      <c r="B1926" s="91"/>
      <c r="C1926" s="91"/>
      <c r="D1926" s="91"/>
      <c r="E1926" s="235"/>
      <c r="F1926" s="274" t="s">
        <v>609</v>
      </c>
      <c r="G1926" s="275" t="s">
        <v>5690</v>
      </c>
      <c r="H1926" s="273" t="s">
        <v>5691</v>
      </c>
      <c r="I1926" s="224" t="s">
        <v>609</v>
      </c>
      <c r="J1926" s="136" t="str">
        <f>INDEX(数据元说明!A:F,MATCH(I1926,数据元说明!C:C,0),2)</f>
        <v>003010</v>
      </c>
      <c r="K1926" s="138" t="str">
        <f>INDEX(数据元说明!A:F,MATCH(I1926,数据元说明!C:C,0),5)</f>
        <v>与币种相对应金额。</v>
      </c>
      <c r="L1926" s="136" t="str">
        <f>INDEX(数据元说明!A:F,MATCH(I1926,数据元说明!C:C,0),6)</f>
        <v>D20.2</v>
      </c>
      <c r="M1926" s="224" t="s">
        <v>5692</v>
      </c>
      <c r="N1926" s="139" t="s">
        <v>25</v>
      </c>
      <c r="O1926" s="139" t="s">
        <v>1613</v>
      </c>
      <c r="P1926" s="205"/>
    </row>
    <row r="1927" s="61" customFormat="1" ht="264" spans="1:16">
      <c r="A1927" s="271"/>
      <c r="B1927" s="27"/>
      <c r="C1927" s="27"/>
      <c r="D1927" s="27"/>
      <c r="E1927" s="272"/>
      <c r="F1927" s="163" t="s">
        <v>5448</v>
      </c>
      <c r="G1927" s="41" t="s">
        <v>5449</v>
      </c>
      <c r="H1927" s="273" t="s">
        <v>5693</v>
      </c>
      <c r="I1927" s="163" t="s">
        <v>609</v>
      </c>
      <c r="J1927" s="31" t="str">
        <f>INDEX(数据元说明!A:F,MATCH(I1927,数据元说明!C:C,0),2)</f>
        <v>003010</v>
      </c>
      <c r="K1927" s="133" t="str">
        <f>INDEX(数据元说明!A:F,MATCH(I1927,数据元说明!C:C,0),5)</f>
        <v>与币种相对应金额。</v>
      </c>
      <c r="L1927" s="31" t="str">
        <f>INDEX(数据元说明!A:F,MATCH(I1927,数据元说明!C:C,0),6)</f>
        <v>D20.2</v>
      </c>
      <c r="M1927" s="224" t="s">
        <v>5451</v>
      </c>
      <c r="N1927" s="139" t="s">
        <v>25</v>
      </c>
      <c r="O1927" s="139" t="s">
        <v>449</v>
      </c>
      <c r="P1927" s="41"/>
    </row>
    <row r="1928" s="81" customFormat="1" ht="30" customHeight="1" outlineLevel="1" spans="1:16">
      <c r="A1928" s="134"/>
      <c r="B1928" s="47"/>
      <c r="C1928" s="39"/>
      <c r="D1928" s="39"/>
      <c r="E1928" s="47"/>
      <c r="F1928" s="135" t="s">
        <v>449</v>
      </c>
      <c r="G1928" s="136" t="s">
        <v>1571</v>
      </c>
      <c r="H1928" s="277" t="s">
        <v>5694</v>
      </c>
      <c r="I1928" s="135" t="s">
        <v>449</v>
      </c>
      <c r="J1928" s="136" t="str">
        <f>INDEX(数据元说明!A:F,MATCH(I1928,数据元说明!C:C,0),2)</f>
        <v>001040</v>
      </c>
      <c r="K1928" s="138" t="str">
        <f>INDEX(数据元说明!A:F,MATCH(I1928,数据元说明!C:C,0),5)</f>
        <v>银行自定义。</v>
      </c>
      <c r="L1928" s="136" t="str">
        <f>INDEX(数据元说明!A:F,MATCH(I1928,数据元说明!C:C,0),6)</f>
        <v>C..600</v>
      </c>
      <c r="M1928" s="149" t="s">
        <v>1573</v>
      </c>
      <c r="N1928" s="139" t="s">
        <v>57</v>
      </c>
      <c r="O1928" s="173"/>
      <c r="P1928" s="173"/>
    </row>
    <row r="1929" s="81" customFormat="1" ht="94" customHeight="1" spans="1:16">
      <c r="A1929" s="134"/>
      <c r="B1929" s="47"/>
      <c r="C1929" s="39"/>
      <c r="D1929" s="39"/>
      <c r="E1929" s="47"/>
      <c r="F1929" s="135" t="s">
        <v>1574</v>
      </c>
      <c r="G1929" s="269" t="s">
        <v>1575</v>
      </c>
      <c r="H1929" s="277" t="s">
        <v>5695</v>
      </c>
      <c r="I1929" s="135" t="s">
        <v>302</v>
      </c>
      <c r="J1929" s="136" t="str">
        <f>INDEX(数据元说明!A:F,MATCH(I1929,数据元说明!C:C,0),2)</f>
        <v>001005</v>
      </c>
      <c r="K1929" s="138" t="str">
        <f>INDEX(数据元说明!A:F,MATCH(I1929,数据元说明!C:C,0),5)</f>
        <v>YYYYMMDD，默认值99991231。</v>
      </c>
      <c r="L1929" s="136" t="str">
        <f>INDEX(数据元说明!A:F,MATCH(I1929,数据元说明!C:C,0),6)</f>
        <v>C8</v>
      </c>
      <c r="M1929" s="138" t="s">
        <v>5372</v>
      </c>
      <c r="N1929" s="139" t="s">
        <v>57</v>
      </c>
      <c r="O1929" s="139"/>
      <c r="P1929" s="205"/>
    </row>
    <row r="1930" s="61" customFormat="1" ht="106" spans="1:16">
      <c r="A1930" s="125"/>
      <c r="B1930" s="19"/>
      <c r="C1930" s="19" t="s">
        <v>262</v>
      </c>
      <c r="D1930" s="24" t="s">
        <v>263</v>
      </c>
      <c r="E1930" s="126">
        <v>1205</v>
      </c>
      <c r="F1930" s="127"/>
      <c r="G1930" s="126" t="s">
        <v>4974</v>
      </c>
      <c r="H1930" s="126"/>
      <c r="I1930" s="127"/>
      <c r="J1930" s="126"/>
      <c r="K1930" s="283"/>
      <c r="L1930" s="126"/>
      <c r="M1930" s="128" t="str">
        <f>INDEX(表结构总览!E:H,MATCH(D1930,表结构总览!E:E,0),4)</f>
        <v>该表体现统计期末理财产品持有的其他非标准化债权类资产（包括但不限于保理、融资租赁、股票质押融资等）明细信息。</v>
      </c>
      <c r="N1930" s="198" t="s">
        <v>25</v>
      </c>
      <c r="O1930" s="198" t="s">
        <v>449</v>
      </c>
      <c r="P1930" s="206" t="s">
        <v>5459</v>
      </c>
    </row>
    <row r="1931" s="61" customFormat="1" ht="36" spans="1:16">
      <c r="A1931" s="271"/>
      <c r="B1931" s="27"/>
      <c r="C1931" s="27"/>
      <c r="D1931" s="27"/>
      <c r="E1931" s="272"/>
      <c r="F1931" s="163" t="s">
        <v>5380</v>
      </c>
      <c r="G1931" s="41" t="s">
        <v>5381</v>
      </c>
      <c r="H1931" s="273" t="s">
        <v>5696</v>
      </c>
      <c r="I1931" s="163" t="s">
        <v>1356</v>
      </c>
      <c r="J1931" s="409" t="str">
        <f>INDEX(数据元说明!A:F,MATCH(I1931,数据元说明!C:C,0),2)</f>
        <v>010065</v>
      </c>
      <c r="K1931" s="133" t="str">
        <f>INDEX(数据元说明!A:F,MATCH(I1931,数据元说明!C:C,0),5)</f>
        <v>理财中心赋予产品或资产的序号。</v>
      </c>
      <c r="L1931" s="31" t="str">
        <f>INDEX(数据元说明!A:F,MATCH(I1931,数据元说明!C:C,0),6)</f>
        <v>C..30</v>
      </c>
      <c r="M1931" s="163" t="s">
        <v>4979</v>
      </c>
      <c r="N1931" s="33"/>
      <c r="O1931" s="99"/>
      <c r="P1931" s="41"/>
    </row>
    <row r="1932" s="61" customFormat="1" spans="1:16">
      <c r="A1932" s="271"/>
      <c r="B1932" s="27"/>
      <c r="C1932" s="27"/>
      <c r="D1932" s="27"/>
      <c r="E1932" s="272"/>
      <c r="F1932" s="163" t="s">
        <v>1401</v>
      </c>
      <c r="G1932" s="41" t="s">
        <v>4799</v>
      </c>
      <c r="H1932" s="273" t="s">
        <v>5697</v>
      </c>
      <c r="I1932" s="163" t="s">
        <v>1401</v>
      </c>
      <c r="J1932" s="409" t="str">
        <f>INDEX(数据元说明!A:F,MATCH(I1932,数据元说明!C:C,0),2)</f>
        <v>010076</v>
      </c>
      <c r="K1932" s="133" t="str">
        <f>INDEX(数据元说明!A:F,MATCH(I1932,数据元说明!C:C,0),5)</f>
        <v>取自金融机构代码证前6位。</v>
      </c>
      <c r="L1932" s="31" t="str">
        <f>INDEX(数据元说明!A:F,MATCH(I1932,数据元说明!C:C,0),6)</f>
        <v>C..30</v>
      </c>
      <c r="M1932" s="163" t="s">
        <v>1587</v>
      </c>
      <c r="N1932" s="33"/>
      <c r="O1932" s="99"/>
      <c r="P1932" s="41"/>
    </row>
    <row r="1933" s="61" customFormat="1" ht="28" customHeight="1" spans="1:16">
      <c r="A1933" s="271"/>
      <c r="B1933" s="27"/>
      <c r="C1933" s="27"/>
      <c r="D1933" s="27"/>
      <c r="E1933" s="272"/>
      <c r="F1933" s="274" t="s">
        <v>4658</v>
      </c>
      <c r="G1933" s="275" t="s">
        <v>4659</v>
      </c>
      <c r="H1933" s="273" t="s">
        <v>5698</v>
      </c>
      <c r="I1933" s="274" t="s">
        <v>282</v>
      </c>
      <c r="J1933" s="136" t="str">
        <f>INDEX(数据元说明!A:F,MATCH(I1933,数据元说明!C:C,0),2)</f>
        <v>001001</v>
      </c>
      <c r="K1933" s="138" t="str">
        <f>INDEX(数据元说明!A:F,MATCH(I1933,数据元说明!C:C,0),5)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933" s="136" t="str">
        <f>INDEX(数据元说明!A:F,MATCH(I1933,数据元说明!C:C,0),6)</f>
        <v>C..400</v>
      </c>
      <c r="M1933" s="274" t="s">
        <v>4994</v>
      </c>
      <c r="N1933" s="139" t="s">
        <v>25</v>
      </c>
      <c r="O1933" s="139" t="s">
        <v>280</v>
      </c>
      <c r="P1933" s="205"/>
    </row>
    <row r="1934" s="61" customFormat="1" ht="36" spans="1:16">
      <c r="A1934" s="271"/>
      <c r="B1934" s="27"/>
      <c r="C1934" s="27"/>
      <c r="D1934" s="27"/>
      <c r="E1934" s="272"/>
      <c r="F1934" s="163" t="s">
        <v>4995</v>
      </c>
      <c r="G1934" s="41" t="s">
        <v>4996</v>
      </c>
      <c r="H1934" s="273" t="s">
        <v>5699</v>
      </c>
      <c r="I1934" s="163" t="s">
        <v>1365</v>
      </c>
      <c r="J1934" s="409" t="str">
        <f>INDEX(数据元说明!A:F,MATCH(I1934,数据元说明!C:C,0),2)</f>
        <v>010067</v>
      </c>
      <c r="K1934" s="133" t="str">
        <f>INDEX(数据元说明!A:F,MATCH(I1934,数据元说明!C:C,0),5)</f>
        <v>国有银行，股份制银行，城商行，外资银行，农村合作金融机构，政策性银行，国家开发银行，理财公司，其他。</v>
      </c>
      <c r="L1934" s="31" t="str">
        <f>INDEX(数据元说明!A:F,MATCH(I1934,数据元说明!C:C,0),6)</f>
        <v>C..30</v>
      </c>
      <c r="M1934" s="163" t="s">
        <v>4979</v>
      </c>
      <c r="N1934" s="33"/>
      <c r="O1934" s="99"/>
      <c r="P1934" s="41"/>
    </row>
    <row r="1935" s="61" customFormat="1" ht="53" spans="1:16">
      <c r="A1935" s="271"/>
      <c r="B1935" s="27"/>
      <c r="C1935" s="27"/>
      <c r="D1935" s="27"/>
      <c r="E1935" s="272"/>
      <c r="F1935" s="163" t="s">
        <v>5395</v>
      </c>
      <c r="G1935" s="41" t="s">
        <v>5396</v>
      </c>
      <c r="H1935" s="273" t="s">
        <v>5700</v>
      </c>
      <c r="I1935" s="163" t="s">
        <v>1283</v>
      </c>
      <c r="J1935" s="409" t="str">
        <f>INDEX(数据元说明!A:F,MATCH(I1935,数据元说明!C:C,0),2)</f>
        <v>010047</v>
      </c>
      <c r="K1935" s="133" t="str">
        <f>INDEX(数据元说明!A:F,MATCH(I1935,数据元说明!C:C,0),5)</f>
        <v>银行自定义的代码。</v>
      </c>
      <c r="L1935" s="31" t="str">
        <f>INDEX(数据元说明!A:F,MATCH(I1935,数据元说明!C:C,0),6)</f>
        <v>C..40</v>
      </c>
      <c r="M1935" s="163" t="s">
        <v>5398</v>
      </c>
      <c r="N1935" s="33"/>
      <c r="O1935" s="99"/>
      <c r="P1935" s="41"/>
    </row>
    <row r="1936" s="61" customFormat="1" ht="36" spans="1:16">
      <c r="A1936" s="271"/>
      <c r="B1936" s="27"/>
      <c r="C1936" s="27"/>
      <c r="D1936" s="27"/>
      <c r="E1936" s="272"/>
      <c r="F1936" s="163" t="s">
        <v>5399</v>
      </c>
      <c r="G1936" s="41" t="s">
        <v>5400</v>
      </c>
      <c r="H1936" s="273" t="s">
        <v>5701</v>
      </c>
      <c r="I1936" s="163" t="s">
        <v>1348</v>
      </c>
      <c r="J1936" s="409" t="str">
        <f>INDEX(数据元说明!A:F,MATCH(I1936,数据元说明!C:C,0),2)</f>
        <v>010063</v>
      </c>
      <c r="K1936" s="133" t="str">
        <f>INDEX(数据元说明!A:F,MATCH(I1936,数据元说明!C:C,0),5)</f>
        <v>登记机构赋予资产或交易的标识码。</v>
      </c>
      <c r="L1936" s="31" t="str">
        <f>INDEX(数据元说明!A:F,MATCH(I1936,数据元说明!C:C,0),6)</f>
        <v>C..30</v>
      </c>
      <c r="M1936" s="163" t="s">
        <v>4979</v>
      </c>
      <c r="N1936" s="33"/>
      <c r="O1936" s="99"/>
      <c r="P1936" s="41"/>
    </row>
    <row r="1937" s="61" customFormat="1" ht="53" spans="1:16">
      <c r="A1937" s="271"/>
      <c r="B1937" s="27"/>
      <c r="C1937" s="27"/>
      <c r="D1937" s="27"/>
      <c r="E1937" s="272"/>
      <c r="F1937" s="163" t="s">
        <v>624</v>
      </c>
      <c r="G1937" s="41" t="s">
        <v>1989</v>
      </c>
      <c r="H1937" s="273" t="s">
        <v>5702</v>
      </c>
      <c r="I1937" s="163" t="s">
        <v>624</v>
      </c>
      <c r="J1937" s="31" t="str">
        <f>INDEX(数据元说明!A:F,MATCH(I1937,数据元说明!C:C,0),2)</f>
        <v>003014</v>
      </c>
      <c r="K1937" s="133" t="str">
        <f>INDEX(数据元说明!A:F,MATCH(I1937,数据元说明!C:C,0),5)</f>
        <v>遵循《GB/T 12406 表示货币和资金的代码》的字母代码，如CNY。上述文件所列币种无法涵盖的，允许银行自定义填报。多个币种合计折算为人民币（本外币合计）的，填报为BWB。</v>
      </c>
      <c r="L1937" s="31" t="str">
        <f>INDEX(数据元说明!A:F,MATCH(I1937,数据元说明!C:C,0),6)</f>
        <v>C3</v>
      </c>
      <c r="M1937" s="163" t="s">
        <v>5467</v>
      </c>
      <c r="N1937" s="33"/>
      <c r="O1937" s="99"/>
      <c r="P1937" s="41"/>
    </row>
    <row r="1938" s="81" customFormat="1" ht="130" customHeight="1" spans="1:16">
      <c r="A1938" s="270"/>
      <c r="B1938" s="91"/>
      <c r="C1938" s="91"/>
      <c r="D1938" s="91"/>
      <c r="E1938" s="235"/>
      <c r="F1938" s="274" t="s">
        <v>5413</v>
      </c>
      <c r="G1938" s="205" t="s">
        <v>5414</v>
      </c>
      <c r="H1938" s="277" t="s">
        <v>5703</v>
      </c>
      <c r="I1938" s="224" t="s">
        <v>1291</v>
      </c>
      <c r="J1938" s="406" t="str">
        <f>INDEX(数据元说明!A:F,MATCH(I1938,数据元说明!C:C,0),2)</f>
        <v>010049</v>
      </c>
      <c r="K1938" s="138" t="str">
        <f>INDEX(数据元说明!A:F,MATCH(I1938,数据元说明!C:C,0),5)</f>
        <v>所属资产类别。</v>
      </c>
      <c r="L1938" s="136" t="str">
        <f>INDEX(数据元说明!A:F,MATCH(I1938,数据元说明!C:C,0),6)</f>
        <v>C..100</v>
      </c>
      <c r="M1938" s="224" t="s">
        <v>5412</v>
      </c>
      <c r="N1938" s="139" t="s">
        <v>25</v>
      </c>
      <c r="O1938" s="139" t="s">
        <v>1673</v>
      </c>
      <c r="P1938" s="205"/>
    </row>
    <row r="1939" s="81" customFormat="1" ht="36" spans="1:16">
      <c r="A1939" s="270"/>
      <c r="B1939" s="91"/>
      <c r="C1939" s="91"/>
      <c r="D1939" s="91"/>
      <c r="E1939" s="235"/>
      <c r="F1939" s="274" t="s">
        <v>282</v>
      </c>
      <c r="G1939" s="275" t="s">
        <v>5475</v>
      </c>
      <c r="H1939" s="273" t="s">
        <v>5704</v>
      </c>
      <c r="I1939" s="274" t="s">
        <v>1101</v>
      </c>
      <c r="J1939" s="406" t="str">
        <f>INDEX(数据元说明!A:F,MATCH(I1939,数据元说明!C:C,0),2)</f>
        <v>010002</v>
      </c>
      <c r="K1939" s="138" t="str">
        <f>INDEX(数据元说明!A:F,MATCH(I1939,数据元说明!C:C,0),5)</f>
        <v>金融产品名称，包括但不限于标准化或非标准化金融产品。如果不是标准产品，则由银行自定义。</v>
      </c>
      <c r="L1939" s="136" t="str">
        <f>INDEX(数据元说明!A:F,MATCH(I1939,数据元说明!C:C,0),6)</f>
        <v>C..200</v>
      </c>
      <c r="M1939" s="274" t="s">
        <v>5477</v>
      </c>
      <c r="N1939" s="139" t="s">
        <v>25</v>
      </c>
      <c r="O1939" s="139" t="s">
        <v>280</v>
      </c>
      <c r="P1939" s="205"/>
    </row>
    <row r="1940" s="81" customFormat="1" spans="1:16">
      <c r="A1940" s="270"/>
      <c r="B1940" s="91"/>
      <c r="C1940" s="91"/>
      <c r="D1940" s="91"/>
      <c r="E1940" s="235"/>
      <c r="F1940" s="274" t="s">
        <v>5705</v>
      </c>
      <c r="G1940" s="275" t="s">
        <v>5706</v>
      </c>
      <c r="H1940" s="273" t="s">
        <v>5707</v>
      </c>
      <c r="I1940" s="274" t="s">
        <v>1504</v>
      </c>
      <c r="J1940" s="406" t="str">
        <f>INDEX(数据元说明!A:F,MATCH(I1940,数据元说明!C:C,0),2)</f>
        <v>010102</v>
      </c>
      <c r="K1940" s="138" t="str">
        <f>INDEX(数据元说明!A:F,MATCH(I1940,数据元说明!C:C,0),5)</f>
        <v>发行机构自定义。</v>
      </c>
      <c r="L1940" s="136" t="str">
        <f>INDEX(数据元说明!A:F,MATCH(I1940,数据元说明!C:C,0),6)</f>
        <v>C..400</v>
      </c>
      <c r="M1940" s="274" t="s">
        <v>5708</v>
      </c>
      <c r="N1940" s="139" t="s">
        <v>25</v>
      </c>
      <c r="O1940" s="140" t="s">
        <v>280</v>
      </c>
      <c r="P1940" s="205"/>
    </row>
    <row r="1941" s="81" customFormat="1" ht="53" spans="1:16">
      <c r="A1941" s="270"/>
      <c r="B1941" s="91"/>
      <c r="C1941" s="91"/>
      <c r="D1941" s="91"/>
      <c r="E1941" s="235"/>
      <c r="F1941" s="224" t="s">
        <v>4967</v>
      </c>
      <c r="G1941" s="205" t="s">
        <v>2232</v>
      </c>
      <c r="H1941" s="277" t="s">
        <v>5709</v>
      </c>
      <c r="I1941" s="274" t="s">
        <v>302</v>
      </c>
      <c r="J1941" s="136" t="str">
        <f>INDEX(数据元说明!A:F,MATCH(I1941,数据元说明!C:C,0),2)</f>
        <v>001005</v>
      </c>
      <c r="K1941" s="138" t="str">
        <f>INDEX(数据元说明!A:F,MATCH(I1941,数据元说明!C:C,0),5)</f>
        <v>YYYYMMDD，默认值99991231。</v>
      </c>
      <c r="L1941" s="136" t="str">
        <f>INDEX(数据元说明!A:F,MATCH(I1941,数据元说明!C:C,0),6)</f>
        <v>C8</v>
      </c>
      <c r="M1941" s="274" t="s">
        <v>5479</v>
      </c>
      <c r="N1941" s="139" t="s">
        <v>25</v>
      </c>
      <c r="O1941" s="139" t="s">
        <v>1550</v>
      </c>
      <c r="P1941" s="205"/>
    </row>
    <row r="1942" s="81" customFormat="1" ht="53" spans="1:16">
      <c r="A1942" s="270"/>
      <c r="B1942" s="91"/>
      <c r="C1942" s="91"/>
      <c r="D1942" s="91"/>
      <c r="E1942" s="235"/>
      <c r="F1942" s="224" t="s">
        <v>2490</v>
      </c>
      <c r="G1942" s="205" t="s">
        <v>2491</v>
      </c>
      <c r="H1942" s="277" t="s">
        <v>5710</v>
      </c>
      <c r="I1942" s="274" t="s">
        <v>302</v>
      </c>
      <c r="J1942" s="136" t="str">
        <f>INDEX(数据元说明!A:F,MATCH(I1942,数据元说明!C:C,0),2)</f>
        <v>001005</v>
      </c>
      <c r="K1942" s="138" t="str">
        <f>INDEX(数据元说明!A:F,MATCH(I1942,数据元说明!C:C,0),5)</f>
        <v>YYYYMMDD，默认值99991231。</v>
      </c>
      <c r="L1942" s="136" t="str">
        <f>INDEX(数据元说明!A:F,MATCH(I1942,数据元说明!C:C,0),6)</f>
        <v>C8</v>
      </c>
      <c r="M1942" s="274" t="s">
        <v>5481</v>
      </c>
      <c r="N1942" s="139" t="s">
        <v>25</v>
      </c>
      <c r="O1942" s="139" t="s">
        <v>1550</v>
      </c>
      <c r="P1942" s="205"/>
    </row>
    <row r="1943" s="61" customFormat="1" spans="1:16">
      <c r="A1943" s="271"/>
      <c r="B1943" s="27"/>
      <c r="C1943" s="27"/>
      <c r="D1943" s="27"/>
      <c r="E1943" s="272"/>
      <c r="F1943" s="163" t="s">
        <v>5711</v>
      </c>
      <c r="G1943" s="41" t="s">
        <v>5712</v>
      </c>
      <c r="H1943" s="273" t="s">
        <v>5713</v>
      </c>
      <c r="I1943" s="163" t="s">
        <v>1109</v>
      </c>
      <c r="J1943" s="409" t="str">
        <f>INDEX(数据元说明!A:F,MATCH(I1943,数据元说明!C:C,0),2)</f>
        <v>010004</v>
      </c>
      <c r="K1943" s="133" t="str">
        <f>INDEX(数据元说明!A:F,MATCH(I1943,数据元说明!C:C,0),5)</f>
        <v>《GB/T 2659 世界各国和地区名称代码》定义的三字符代码，如CHN。</v>
      </c>
      <c r="L1943" s="31" t="str">
        <f>INDEX(数据元说明!A:F,MATCH(I1943,数据元说明!C:C,0),6)</f>
        <v>C3</v>
      </c>
      <c r="M1943" s="163" t="s">
        <v>5714</v>
      </c>
      <c r="N1943" s="139" t="s">
        <v>25</v>
      </c>
      <c r="O1943" s="139" t="s">
        <v>280</v>
      </c>
      <c r="P1943" s="41"/>
    </row>
    <row r="1944" s="61" customFormat="1" spans="1:16">
      <c r="A1944" s="271"/>
      <c r="B1944" s="27"/>
      <c r="C1944" s="27"/>
      <c r="D1944" s="27"/>
      <c r="E1944" s="272"/>
      <c r="F1944" s="163" t="s">
        <v>5493</v>
      </c>
      <c r="G1944" s="41" t="s">
        <v>5494</v>
      </c>
      <c r="H1944" s="273" t="s">
        <v>5715</v>
      </c>
      <c r="I1944" s="163" t="s">
        <v>1306</v>
      </c>
      <c r="J1944" s="409" t="str">
        <f>INDEX(数据元说明!A:F,MATCH(I1944,数据元说明!C:C,0),2)</f>
        <v>010053</v>
      </c>
      <c r="K1944" s="133" t="str">
        <f>INDEX(数据元说明!A:F,MATCH(I1944,数据元说明!C:C,0),5)</f>
        <v>以月为单位计的时间长度。</v>
      </c>
      <c r="L1944" s="31" t="str">
        <f>INDEX(数据元说明!A:F,MATCH(I1944,数据元说明!C:C,0),6)</f>
        <v>I..4</v>
      </c>
      <c r="M1944" s="163" t="s">
        <v>5496</v>
      </c>
      <c r="N1944" s="33"/>
      <c r="O1944" s="99"/>
      <c r="P1944" s="41"/>
    </row>
    <row r="1945" s="61" customFormat="1" ht="30" customHeight="1" spans="1:16">
      <c r="A1945" s="271"/>
      <c r="B1945" s="27"/>
      <c r="C1945" s="27"/>
      <c r="D1945" s="27"/>
      <c r="E1945" s="272"/>
      <c r="F1945" s="274" t="s">
        <v>5541</v>
      </c>
      <c r="G1945" s="275" t="s">
        <v>5542</v>
      </c>
      <c r="H1945" s="273" t="s">
        <v>5716</v>
      </c>
      <c r="I1945" s="274" t="s">
        <v>282</v>
      </c>
      <c r="J1945" s="136" t="str">
        <f>INDEX(数据元说明!A:F,MATCH(I1945,数据元说明!C:C,0),2)</f>
        <v>001001</v>
      </c>
      <c r="K1945" s="138" t="str">
        <f>INDEX(数据元说明!A:F,MATCH(I1945,数据元说明!C:C,0),5)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945" s="136" t="str">
        <f>INDEX(数据元说明!A:F,MATCH(I1945,数据元说明!C:C,0),6)</f>
        <v>C..400</v>
      </c>
      <c r="M1945" s="274" t="s">
        <v>5544</v>
      </c>
      <c r="N1945" s="139" t="s">
        <v>25</v>
      </c>
      <c r="O1945" s="139" t="s">
        <v>280</v>
      </c>
      <c r="P1945" s="205"/>
    </row>
    <row r="1946" s="81" customFormat="1" ht="53" spans="1:16">
      <c r="A1946" s="270"/>
      <c r="B1946" s="91"/>
      <c r="C1946" s="91"/>
      <c r="D1946" s="91"/>
      <c r="E1946" s="235"/>
      <c r="F1946" s="224" t="s">
        <v>5682</v>
      </c>
      <c r="G1946" s="205" t="s">
        <v>5683</v>
      </c>
      <c r="H1946" s="277" t="s">
        <v>5717</v>
      </c>
      <c r="I1946" s="274" t="s">
        <v>529</v>
      </c>
      <c r="J1946" s="136" t="str">
        <f>INDEX(数据元说明!A:F,MATCH(I1946,数据元说明!C:C,0),2)</f>
        <v>002019</v>
      </c>
      <c r="K1946" s="138" t="str">
        <f>INDEX(数据元说明!A:F,MATCH(I1946,数据元说明!C:C,0),5)</f>
        <v>已登记统一社会信用代码的，填18位统一社会信用代码；未登记统一社会信用代码的，填组织机构代码。境外机构、临时验资户类客户填写默认值0</v>
      </c>
      <c r="L1946" s="136" t="str">
        <f>INDEX(数据元说明!A:F,MATCH(I1946,数据元说明!C:C,0),6)</f>
        <v>C..40</v>
      </c>
      <c r="M1946" s="224" t="s">
        <v>5685</v>
      </c>
      <c r="N1946" s="139" t="s">
        <v>25</v>
      </c>
      <c r="O1946" s="140" t="s">
        <v>2494</v>
      </c>
      <c r="P1946" s="205"/>
    </row>
    <row r="1947" s="81" customFormat="1" spans="1:16">
      <c r="A1947" s="270"/>
      <c r="B1947" s="91"/>
      <c r="C1947" s="91"/>
      <c r="D1947" s="91"/>
      <c r="E1947" s="235"/>
      <c r="F1947" s="224" t="s">
        <v>5545</v>
      </c>
      <c r="G1947" s="205" t="s">
        <v>5546</v>
      </c>
      <c r="H1947" s="277" t="s">
        <v>5718</v>
      </c>
      <c r="I1947" s="224" t="s">
        <v>1381</v>
      </c>
      <c r="J1947" s="406" t="str">
        <f>INDEX(数据元说明!A:F,MATCH(I1947,数据元说明!C:C,0),2)</f>
        <v>010071</v>
      </c>
      <c r="K1947" s="138" t="str">
        <f>INDEX(数据元说明!A:F,MATCH(I1947,数据元说明!C:C,0),5)</f>
        <v>填报机构内部对融资人主体或资产的信用评级结果，银行自定义。</v>
      </c>
      <c r="L1947" s="136" t="str">
        <f>INDEX(数据元说明!A:F,MATCH(I1947,数据元说明!C:C,0),6)</f>
        <v>C..30</v>
      </c>
      <c r="M1947" s="224"/>
      <c r="N1947" s="139" t="s">
        <v>57</v>
      </c>
      <c r="O1947" s="139"/>
      <c r="P1947" s="205"/>
    </row>
    <row r="1948" s="61" customFormat="1" ht="36" spans="1:16">
      <c r="A1948" s="271"/>
      <c r="B1948" s="27"/>
      <c r="C1948" s="27"/>
      <c r="D1948" s="27"/>
      <c r="E1948" s="272"/>
      <c r="F1948" s="163" t="s">
        <v>5550</v>
      </c>
      <c r="G1948" s="41" t="s">
        <v>5551</v>
      </c>
      <c r="H1948" s="273" t="s">
        <v>5719</v>
      </c>
      <c r="I1948" s="163" t="s">
        <v>1319</v>
      </c>
      <c r="J1948" s="409" t="str">
        <f>INDEX(数据元说明!A:F,MATCH(I1948,数据元说明!C:C,0),2)</f>
        <v>010056</v>
      </c>
      <c r="K1948" s="133" t="str">
        <f>INDEX(数据元说明!A:F,MATCH(I1948,数据元说明!C:C,0),5)</f>
        <v>中小微企业，大型企业，其他。</v>
      </c>
      <c r="L1948" s="31" t="str">
        <f>INDEX(数据元说明!A:F,MATCH(I1948,数据元说明!C:C,0),6)</f>
        <v>C..30 </v>
      </c>
      <c r="M1948" s="163" t="s">
        <v>5553</v>
      </c>
      <c r="N1948" s="139" t="s">
        <v>25</v>
      </c>
      <c r="O1948" s="139" t="s">
        <v>1514</v>
      </c>
      <c r="P1948" s="41"/>
    </row>
    <row r="1949" s="61" customFormat="1" ht="36" spans="1:16">
      <c r="A1949" s="271"/>
      <c r="B1949" s="27"/>
      <c r="C1949" s="27"/>
      <c r="D1949" s="27"/>
      <c r="E1949" s="272"/>
      <c r="F1949" s="163" t="s">
        <v>5554</v>
      </c>
      <c r="G1949" s="41" t="s">
        <v>5555</v>
      </c>
      <c r="H1949" s="273" t="s">
        <v>5720</v>
      </c>
      <c r="I1949" s="163" t="s">
        <v>1323</v>
      </c>
      <c r="J1949" s="409" t="str">
        <f>INDEX(数据元说明!A:F,MATCH(I1949,数据元说明!C:C,0),2)</f>
        <v>010057</v>
      </c>
      <c r="K1949" s="133" t="str">
        <f>INDEX(数据元说明!A:F,MATCH(I1949,数据元说明!C:C,0),5)</f>
        <v>高新技术企业，其他。</v>
      </c>
      <c r="L1949" s="31" t="str">
        <f>INDEX(数据元说明!A:F,MATCH(I1949,数据元说明!C:C,0),6)</f>
        <v>C..30 </v>
      </c>
      <c r="M1949" s="163" t="s">
        <v>5557</v>
      </c>
      <c r="N1949" s="33"/>
      <c r="O1949" s="99"/>
      <c r="P1949" s="41"/>
    </row>
    <row r="1950" s="61" customFormat="1" ht="36" spans="1:16">
      <c r="A1950" s="271"/>
      <c r="B1950" s="27"/>
      <c r="C1950" s="27"/>
      <c r="D1950" s="27"/>
      <c r="E1950" s="272"/>
      <c r="F1950" s="163" t="s">
        <v>5558</v>
      </c>
      <c r="G1950" s="41" t="s">
        <v>5559</v>
      </c>
      <c r="H1950" s="273" t="s">
        <v>5721</v>
      </c>
      <c r="I1950" s="163" t="s">
        <v>1327</v>
      </c>
      <c r="J1950" s="409" t="str">
        <f>INDEX(数据元说明!A:F,MATCH(I1950,数据元说明!C:C,0),2)</f>
        <v>010058</v>
      </c>
      <c r="K1950" s="133" t="str">
        <f>INDEX(数据元说明!A:F,MATCH(I1950,数据元说明!C:C,0),5)</f>
        <v>国有企业，集体企业，私营企业，其他。</v>
      </c>
      <c r="L1950" s="31" t="str">
        <f>INDEX(数据元说明!A:F,MATCH(I1950,数据元说明!C:C,0),6)</f>
        <v>C..30 </v>
      </c>
      <c r="M1950" s="163" t="s">
        <v>5561</v>
      </c>
      <c r="N1950" s="33"/>
      <c r="O1950" s="99"/>
      <c r="P1950" s="41"/>
    </row>
    <row r="1951" s="61" customFormat="1" spans="1:16">
      <c r="A1951" s="271"/>
      <c r="B1951" s="27"/>
      <c r="C1951" s="27"/>
      <c r="D1951" s="27"/>
      <c r="E1951" s="272"/>
      <c r="F1951" s="163" t="s">
        <v>5562</v>
      </c>
      <c r="G1951" s="41" t="s">
        <v>5563</v>
      </c>
      <c r="H1951" s="273" t="s">
        <v>5722</v>
      </c>
      <c r="I1951" s="163" t="s">
        <v>772</v>
      </c>
      <c r="J1951" s="31" t="str">
        <f>INDEX(数据元说明!A:F,MATCH(I1951,数据元说明!C:C,0),2)</f>
        <v>005009</v>
      </c>
      <c r="K1951" s="133" t="str">
        <f>INDEX(数据元说明!A:F,MATCH(I1951,数据元说明!C:C,0),5)</f>
        <v>项目贷款名称。</v>
      </c>
      <c r="L1951" s="31" t="str">
        <f>INDEX(数据元说明!A:F,MATCH(I1951,数据元说明!C:C,0),6)</f>
        <v>C..100 </v>
      </c>
      <c r="M1951" s="163" t="s">
        <v>5565</v>
      </c>
      <c r="N1951" s="33"/>
      <c r="O1951" s="99"/>
      <c r="P1951" s="41"/>
    </row>
    <row r="1952" s="81" customFormat="1" ht="71" spans="1:16">
      <c r="A1952" s="270"/>
      <c r="B1952" s="91"/>
      <c r="C1952" s="91"/>
      <c r="D1952" s="91"/>
      <c r="E1952" s="235"/>
      <c r="F1952" s="274" t="s">
        <v>5566</v>
      </c>
      <c r="G1952" s="275" t="s">
        <v>5567</v>
      </c>
      <c r="H1952" s="273" t="s">
        <v>5723</v>
      </c>
      <c r="I1952" s="224" t="s">
        <v>515</v>
      </c>
      <c r="J1952" s="136" t="str">
        <f>INDEX(数据元说明!A:F,MATCH(I1952,数据元说明!C:C,0),2)</f>
        <v>002016</v>
      </c>
      <c r="K1952" s="138" t="str">
        <f>INDEX(数据元说明!A:F,MATCH(I1952,数据元说明!C:C,0),5)</f>
        <v>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v>
      </c>
      <c r="L1952" s="136" t="str">
        <f>INDEX(数据元说明!A:F,MATCH(I1952,数据元说明!C:C,0),6)</f>
        <v>C..100</v>
      </c>
      <c r="M1952" s="224"/>
      <c r="N1952" s="139" t="s">
        <v>25</v>
      </c>
      <c r="O1952" s="139" t="s">
        <v>1516</v>
      </c>
      <c r="P1952" s="205"/>
    </row>
    <row r="1953" s="81" customFormat="1" ht="176" spans="1:16">
      <c r="A1953" s="270"/>
      <c r="B1953" s="91"/>
      <c r="C1953" s="91"/>
      <c r="D1953" s="91"/>
      <c r="E1953" s="235"/>
      <c r="F1953" s="274" t="s">
        <v>5569</v>
      </c>
      <c r="G1953" s="275" t="s">
        <v>5570</v>
      </c>
      <c r="H1953" s="273" t="s">
        <v>5724</v>
      </c>
      <c r="I1953" s="274" t="s">
        <v>768</v>
      </c>
      <c r="J1953" s="136" t="str">
        <f>INDEX(数据元说明!A:F,MATCH(I1953,数据元说明!C:C,0),2)</f>
        <v>005008</v>
      </c>
      <c r="K1953" s="138" t="str">
        <f>INDEX(数据元说明!A:F,MATCH(I1953,数据元说明!C:C,0),5)</f>
        <v>与1104报表G01_VII《贷款分行业情况表》口径一致，使用以下枚举值填报（序号+名称）：2.1农、林、牧、渔业；2.2采矿业；2.3制造业；2.4电力、热力、燃气及水的生产和供应业；2.5建筑业；2.6批发和零售业；2.7交通运输、仓储和邮政业；2.8住宿和餐饮业；2.9信息传输、软件和信息技术服务业；2.10金融业；2.11房地产业；2.12租赁和商务服务业；2.13科学研究和技术服务业；2.14水利、环境和公共设施管理业；2.15居民服务、修理和其他服务业；2.16教育；2.17卫生和社会工作；2.18文化、体育和娱乐业；2.19公共管理、社会保障和社会组织；2.20国际组织；2.21.1个人贷款-信用卡；2.21.2个人贷款-汽车；2.21.3个人贷款-住房按揭贷款；2.21.4个人贷款-其他；2.22买断式转贴现；2.23买断其他票据类资产；3.对境外贷款。</v>
      </c>
      <c r="L1953" s="136" t="str">
        <f>INDEX(数据元说明!A:F,MATCH(I1953,数据元说明!C:C,0),6)</f>
        <v>C..100</v>
      </c>
      <c r="M1953" s="224"/>
      <c r="N1953" s="139" t="s">
        <v>25</v>
      </c>
      <c r="O1953" s="139" t="s">
        <v>275</v>
      </c>
      <c r="P1953" s="205"/>
    </row>
    <row r="1954" s="61" customFormat="1" ht="36" spans="1:16">
      <c r="A1954" s="271"/>
      <c r="B1954" s="27"/>
      <c r="C1954" s="27"/>
      <c r="D1954" s="27"/>
      <c r="E1954" s="272"/>
      <c r="F1954" s="163" t="s">
        <v>5572</v>
      </c>
      <c r="G1954" s="41" t="s">
        <v>5573</v>
      </c>
      <c r="H1954" s="273" t="s">
        <v>5725</v>
      </c>
      <c r="I1954" s="163" t="s">
        <v>287</v>
      </c>
      <c r="J1954" s="31" t="str">
        <f>INDEX(数据元说明!A:F,MATCH(I1954,数据元说明!C:C,0),2)</f>
        <v>001002</v>
      </c>
      <c r="K1954" s="133" t="str">
        <f>INDEX(数据元说明!A:F,MATCH(I1954,数据元说明!C:C,0),5)</f>
        <v>是，否。</v>
      </c>
      <c r="L1954" s="31" t="str">
        <f>INDEX(数据元说明!A:F,MATCH(I1954,数据元说明!C:C,0),6)</f>
        <v>C3</v>
      </c>
      <c r="M1954" s="163"/>
      <c r="N1954" s="33"/>
      <c r="O1954" s="99"/>
      <c r="P1954" s="41"/>
    </row>
    <row r="1955" s="61" customFormat="1" ht="36" spans="1:16">
      <c r="A1955" s="271"/>
      <c r="B1955" s="27"/>
      <c r="C1955" s="27"/>
      <c r="D1955" s="27"/>
      <c r="E1955" s="272"/>
      <c r="F1955" s="163" t="s">
        <v>5575</v>
      </c>
      <c r="G1955" s="41" t="s">
        <v>5576</v>
      </c>
      <c r="H1955" s="273" t="s">
        <v>5726</v>
      </c>
      <c r="I1955" s="163" t="s">
        <v>1331</v>
      </c>
      <c r="J1955" s="409" t="str">
        <f>INDEX(数据元说明!A:F,MATCH(I1955,数据元说明!C:C,0),2)</f>
        <v>010059</v>
      </c>
      <c r="K1955" s="133" t="str">
        <f>INDEX(数据元说明!A:F,MATCH(I1955,数据元说明!C:C,0),5)</f>
        <v>房地产（保障房除外），地方政府融资平台，“铁公基”行业，“两高一剩”行业，其他。</v>
      </c>
      <c r="L1955" s="31" t="str">
        <f>INDEX(数据元说明!A:F,MATCH(I1955,数据元说明!C:C,0),6)</f>
        <v>C..30 </v>
      </c>
      <c r="M1955" s="163"/>
      <c r="N1955" s="33"/>
      <c r="O1955" s="99"/>
      <c r="P1955" s="41"/>
    </row>
    <row r="1956" s="81" customFormat="1" ht="36" spans="1:16">
      <c r="A1956" s="270"/>
      <c r="B1956" s="91"/>
      <c r="C1956" s="91"/>
      <c r="D1956" s="91"/>
      <c r="E1956" s="235"/>
      <c r="F1956" s="224" t="s">
        <v>5578</v>
      </c>
      <c r="G1956" s="205" t="s">
        <v>5579</v>
      </c>
      <c r="H1956" s="277" t="s">
        <v>5727</v>
      </c>
      <c r="I1956" s="224" t="s">
        <v>1504</v>
      </c>
      <c r="J1956" s="406" t="str">
        <f>INDEX(数据元说明!A:F,MATCH(I1956,数据元说明!C:C,0),2)</f>
        <v>010102</v>
      </c>
      <c r="K1956" s="138" t="str">
        <f>INDEX(数据元说明!A:F,MATCH(I1956,数据元说明!C:C,0),5)</f>
        <v>发行机构自定义。</v>
      </c>
      <c r="L1956" s="136" t="str">
        <f>INDEX(数据元说明!A:F,MATCH(I1956,数据元说明!C:C,0),6)</f>
        <v>C..400</v>
      </c>
      <c r="M1956" s="224"/>
      <c r="N1956" s="139" t="s">
        <v>25</v>
      </c>
      <c r="O1956" s="139" t="s">
        <v>280</v>
      </c>
      <c r="P1956" s="205"/>
    </row>
    <row r="1957" s="81" customFormat="1" ht="71" spans="1:16">
      <c r="A1957" s="270"/>
      <c r="B1957" s="91"/>
      <c r="C1957" s="91"/>
      <c r="D1957" s="91"/>
      <c r="E1957" s="235"/>
      <c r="F1957" s="224" t="s">
        <v>5614</v>
      </c>
      <c r="G1957" s="205" t="s">
        <v>5615</v>
      </c>
      <c r="H1957" s="277" t="s">
        <v>5728</v>
      </c>
      <c r="I1957" s="274" t="s">
        <v>1377</v>
      </c>
      <c r="J1957" s="406" t="str">
        <f>INDEX(数据元说明!A:F,MATCH(I1957,数据元说明!C:C,0),2)</f>
        <v>010070</v>
      </c>
      <c r="K1957" s="138" t="str">
        <f>INDEX(数据元说明!A:F,MATCH(I1957,数据元说明!C:C,0),5)</f>
        <v>外部专业性的评级公司对融资人主体或资产的信用评级结果，以如下枚举值填报：AAA+，AAA，AAA-，AA+，AA，AA-，A+，A，A-，A-1，A-2，A-3，BBB+，BBB，BBB-，BB+，BB，BB-，B+，B，B-，CCC+，CCC，CCC-，CC+，CC，CC-，C+，C，C-，D。</v>
      </c>
      <c r="L1957" s="136" t="str">
        <f>INDEX(数据元说明!A:F,MATCH(I1957,数据元说明!C:C,0),6)</f>
        <v>C..30</v>
      </c>
      <c r="M1957" s="274" t="s">
        <v>5617</v>
      </c>
      <c r="N1957" s="139" t="s">
        <v>25</v>
      </c>
      <c r="O1957" s="139" t="s">
        <v>5609</v>
      </c>
      <c r="P1957" s="205"/>
    </row>
    <row r="1958" s="61" customFormat="1" ht="36" spans="1:16">
      <c r="A1958" s="271"/>
      <c r="B1958" s="27"/>
      <c r="C1958" s="27"/>
      <c r="D1958" s="27"/>
      <c r="E1958" s="272"/>
      <c r="F1958" s="163" t="s">
        <v>1417</v>
      </c>
      <c r="G1958" s="41" t="s">
        <v>5581</v>
      </c>
      <c r="H1958" s="273" t="s">
        <v>5729</v>
      </c>
      <c r="I1958" s="163" t="s">
        <v>1417</v>
      </c>
      <c r="J1958" s="409" t="str">
        <f>INDEX(数据元说明!A:F,MATCH(I1958,数据元说明!C:C,0),2)</f>
        <v>010080</v>
      </c>
      <c r="K1958" s="133" t="str">
        <f>INDEX(数据元说明!A:F,MATCH(I1958,数据元说明!C:C,0),5)</f>
        <v>信用担保，第三方保证，抵押，质押，信用增级，其他。</v>
      </c>
      <c r="L1958" s="31" t="str">
        <f>INDEX(数据元说明!A:F,MATCH(I1958,数据元说明!C:C,0),6)</f>
        <v>C..60</v>
      </c>
      <c r="M1958" s="276" t="s">
        <v>5730</v>
      </c>
      <c r="N1958" s="139"/>
      <c r="O1958" s="139"/>
      <c r="P1958" s="41"/>
    </row>
    <row r="1959" s="61" customFormat="1" ht="176" spans="1:16">
      <c r="A1959" s="271"/>
      <c r="B1959" s="27"/>
      <c r="C1959" s="27"/>
      <c r="D1959" s="27"/>
      <c r="E1959" s="272"/>
      <c r="F1959" s="163" t="s">
        <v>874</v>
      </c>
      <c r="G1959" s="41" t="s">
        <v>5588</v>
      </c>
      <c r="H1959" s="273" t="s">
        <v>5731</v>
      </c>
      <c r="I1959" s="163" t="s">
        <v>874</v>
      </c>
      <c r="J1959" s="409" t="str">
        <f>INDEX(数据元说明!A:F,MATCH(I1959,数据元说明!C:C,0),2)</f>
        <v>005035</v>
      </c>
      <c r="K1959" s="133" t="str">
        <f>INDEX(数据元说明!A:F,MATCH(I1959,数据元说明!C:C,0),5)</f>
        <v>与1104报表G13《押品情况统计表》分类规则一致，按照以下押品项目填报（序号+名称）：1.1现金及其等价物；1.2贵金属；1.3.1国债；1.3.2地方政府债；1.3.3央票；1.3.4政府机构债券；1.3.5政策性金融债；1.3.6商业性金融债；1.3.7非金融企业债；1.4票据；1.5股票（权）/基金；1.6保单；1.7资产管理产品；1.8其他金融质押品；2.应收账款类；3.1居住用房地产；3.2经营性房地产；3.3居住用房地产建设用地使用权；3.4经营性房地产建设用地使用权；3.5房产类在建工程；3.6其他房地产类押品；4.1存货、仓单和提单；4.2机器设备；4.3交通运输设备；4.4资源资产；4.5知识产权；4.6其他-银行自定义。无法以枚举类型填写的，填报为“4.6其他-XX”，其中“XX”为银行自定义类型。</v>
      </c>
      <c r="L1959" s="31" t="str">
        <f>INDEX(数据元说明!A:F,MATCH(I1959,数据元说明!C:C,0),6)</f>
        <v>C..60</v>
      </c>
      <c r="M1959" s="276" t="s">
        <v>5192</v>
      </c>
      <c r="N1959" s="33"/>
      <c r="O1959" s="139" t="s">
        <v>1539</v>
      </c>
      <c r="P1959" s="41"/>
    </row>
    <row r="1960" s="81" customFormat="1" spans="1:16">
      <c r="A1960" s="270"/>
      <c r="B1960" s="91"/>
      <c r="C1960" s="91"/>
      <c r="D1960" s="91"/>
      <c r="E1960" s="235"/>
      <c r="F1960" s="224" t="s">
        <v>5590</v>
      </c>
      <c r="G1960" s="275" t="s">
        <v>5591</v>
      </c>
      <c r="H1960" s="273" t="s">
        <v>5732</v>
      </c>
      <c r="I1960" s="274" t="s">
        <v>609</v>
      </c>
      <c r="J1960" s="136" t="str">
        <f>INDEX(数据元说明!A:F,MATCH(I1960,数据元说明!C:C,0),2)</f>
        <v>003010</v>
      </c>
      <c r="K1960" s="138" t="str">
        <f>INDEX(数据元说明!A:F,MATCH(I1960,数据元说明!C:C,0),5)</f>
        <v>与币种相对应金额。</v>
      </c>
      <c r="L1960" s="136" t="str">
        <f>INDEX(数据元说明!A:F,MATCH(I1960,数据元说明!C:C,0),6)</f>
        <v>D20.2</v>
      </c>
      <c r="M1960" s="279" t="s">
        <v>5192</v>
      </c>
      <c r="N1960" s="139" t="s">
        <v>25</v>
      </c>
      <c r="O1960" s="140" t="s">
        <v>1513</v>
      </c>
      <c r="P1960" s="205"/>
    </row>
    <row r="1961" s="61" customFormat="1" spans="1:16">
      <c r="A1961" s="271"/>
      <c r="B1961" s="27"/>
      <c r="C1961" s="27"/>
      <c r="D1961" s="27"/>
      <c r="E1961" s="272"/>
      <c r="F1961" s="163" t="s">
        <v>1465</v>
      </c>
      <c r="G1961" s="41" t="s">
        <v>5593</v>
      </c>
      <c r="H1961" s="273" t="s">
        <v>5733</v>
      </c>
      <c r="I1961" s="163" t="s">
        <v>1465</v>
      </c>
      <c r="J1961" s="409" t="str">
        <f>INDEX(数据元说明!A:F,MATCH(I1961,数据元说明!C:C,0),2)</f>
        <v>010092</v>
      </c>
      <c r="K1961" s="133" t="str">
        <f>INDEX(数据元说明!A:F,MATCH(I1961,数据元说明!C:C,0),5)</f>
        <v>有限责任，无限责任。</v>
      </c>
      <c r="L1961" s="31" t="str">
        <f>INDEX(数据元说明!A:F,MATCH(I1961,数据元说明!C:C,0),6)</f>
        <v>C..30</v>
      </c>
      <c r="M1961" s="276" t="s">
        <v>5192</v>
      </c>
      <c r="N1961" s="33"/>
      <c r="O1961" s="99"/>
      <c r="P1961" s="41"/>
    </row>
    <row r="1962" s="61" customFormat="1" ht="36" spans="1:16">
      <c r="A1962" s="271"/>
      <c r="B1962" s="27"/>
      <c r="C1962" s="27"/>
      <c r="D1962" s="27"/>
      <c r="E1962" s="272"/>
      <c r="F1962" s="163" t="s">
        <v>1469</v>
      </c>
      <c r="G1962" s="41" t="s">
        <v>5595</v>
      </c>
      <c r="H1962" s="273" t="s">
        <v>5734</v>
      </c>
      <c r="I1962" s="163" t="s">
        <v>1469</v>
      </c>
      <c r="J1962" s="409" t="str">
        <f>INDEX(数据元说明!A:F,MATCH(I1962,数据元说明!C:C,0),2)</f>
        <v>010093</v>
      </c>
      <c r="K1962" s="133" t="str">
        <f>INDEX(数据元说明!A:F,MATCH(I1962,数据元说明!C:C,0),5)</f>
        <v>主要股东，控股股东，实际控制人，一致行动人，最终受益人，其他。</v>
      </c>
      <c r="L1962" s="31" t="str">
        <f>INDEX(数据元说明!A:F,MATCH(I1962,数据元说明!C:C,0),6)</f>
        <v>C..30</v>
      </c>
      <c r="M1962" s="276" t="s">
        <v>5192</v>
      </c>
      <c r="N1962" s="33"/>
      <c r="O1962" s="99"/>
      <c r="P1962" s="41"/>
    </row>
    <row r="1963" s="81" customFormat="1" ht="50" customHeight="1" spans="1:16">
      <c r="A1963" s="270"/>
      <c r="B1963" s="91"/>
      <c r="C1963" s="91"/>
      <c r="D1963" s="91"/>
      <c r="E1963" s="235"/>
      <c r="F1963" s="274" t="s">
        <v>5735</v>
      </c>
      <c r="G1963" s="275" t="s">
        <v>5736</v>
      </c>
      <c r="H1963" s="273" t="s">
        <v>5737</v>
      </c>
      <c r="I1963" s="224" t="s">
        <v>292</v>
      </c>
      <c r="J1963" s="136" t="str">
        <f>INDEX(数据元说明!A:F,MATCH(I1963,数据元说明!C:C,0),2)</f>
        <v>001003</v>
      </c>
      <c r="K1963" s="138" t="str">
        <f>INDEX(数据元说明!A:F,MATCH(I1963,数据元说明!C:C,0),5)</f>
        <v>百分比为单位，即1/100，保留两位小数。如4.5%则填报为4.50。</v>
      </c>
      <c r="L1963" s="136" t="str">
        <f>INDEX(数据元说明!A:F,MATCH(I1963,数据元说明!C:C,0),6)</f>
        <v>D20.2</v>
      </c>
      <c r="M1963" s="274" t="s">
        <v>5689</v>
      </c>
      <c r="N1963" s="139" t="s">
        <v>25</v>
      </c>
      <c r="O1963" s="139" t="s">
        <v>5227</v>
      </c>
      <c r="P1963" s="205"/>
    </row>
    <row r="1964" s="81" customFormat="1" ht="53" spans="1:16">
      <c r="A1964" s="270"/>
      <c r="B1964" s="91"/>
      <c r="C1964" s="91"/>
      <c r="D1964" s="91"/>
      <c r="E1964" s="235"/>
      <c r="F1964" s="274" t="s">
        <v>609</v>
      </c>
      <c r="G1964" s="275" t="s">
        <v>5690</v>
      </c>
      <c r="H1964" s="273" t="s">
        <v>5738</v>
      </c>
      <c r="I1964" s="224" t="s">
        <v>609</v>
      </c>
      <c r="J1964" s="136" t="str">
        <f>INDEX(数据元说明!A:F,MATCH(I1964,数据元说明!C:C,0),2)</f>
        <v>003010</v>
      </c>
      <c r="K1964" s="138" t="str">
        <f>INDEX(数据元说明!A:F,MATCH(I1964,数据元说明!C:C,0),5)</f>
        <v>与币种相对应金额。</v>
      </c>
      <c r="L1964" s="136" t="str">
        <f>INDEX(数据元说明!A:F,MATCH(I1964,数据元说明!C:C,0),6)</f>
        <v>D20.2</v>
      </c>
      <c r="M1964" s="224" t="s">
        <v>5739</v>
      </c>
      <c r="N1964" s="139" t="s">
        <v>25</v>
      </c>
      <c r="O1964" s="139" t="s">
        <v>5293</v>
      </c>
      <c r="P1964" s="205"/>
    </row>
    <row r="1965" s="81" customFormat="1" ht="264" spans="1:16">
      <c r="A1965" s="270"/>
      <c r="B1965" s="91"/>
      <c r="C1965" s="91"/>
      <c r="D1965" s="91"/>
      <c r="E1965" s="235"/>
      <c r="F1965" s="274" t="s">
        <v>5448</v>
      </c>
      <c r="G1965" s="275" t="s">
        <v>5449</v>
      </c>
      <c r="H1965" s="273" t="s">
        <v>5740</v>
      </c>
      <c r="I1965" s="274" t="s">
        <v>609</v>
      </c>
      <c r="J1965" s="136" t="str">
        <f>INDEX(数据元说明!A:F,MATCH(I1965,数据元说明!C:C,0),2)</f>
        <v>003010</v>
      </c>
      <c r="K1965" s="138" t="str">
        <f>INDEX(数据元说明!A:F,MATCH(I1965,数据元说明!C:C,0),5)</f>
        <v>与币种相对应金额。</v>
      </c>
      <c r="L1965" s="136" t="str">
        <f>INDEX(数据元说明!A:F,MATCH(I1965,数据元说明!C:C,0),6)</f>
        <v>D20.2</v>
      </c>
      <c r="M1965" s="224" t="s">
        <v>5451</v>
      </c>
      <c r="N1965" s="139" t="s">
        <v>25</v>
      </c>
      <c r="O1965" s="139" t="s">
        <v>449</v>
      </c>
      <c r="P1965" s="205"/>
    </row>
    <row r="1966" s="81" customFormat="1" ht="30" customHeight="1" outlineLevel="1" spans="1:16">
      <c r="A1966" s="134"/>
      <c r="B1966" s="47"/>
      <c r="C1966" s="39"/>
      <c r="D1966" s="39"/>
      <c r="E1966" s="47"/>
      <c r="F1966" s="135" t="s">
        <v>449</v>
      </c>
      <c r="G1966" s="136" t="s">
        <v>1571</v>
      </c>
      <c r="H1966" s="277" t="s">
        <v>5741</v>
      </c>
      <c r="I1966" s="135" t="s">
        <v>449</v>
      </c>
      <c r="J1966" s="136" t="str">
        <f>INDEX(数据元说明!A:F,MATCH(I1966,数据元说明!C:C,0),2)</f>
        <v>001040</v>
      </c>
      <c r="K1966" s="138" t="str">
        <f>INDEX(数据元说明!A:F,MATCH(I1966,数据元说明!C:C,0),5)</f>
        <v>银行自定义。</v>
      </c>
      <c r="L1966" s="136" t="str">
        <f>INDEX(数据元说明!A:F,MATCH(I1966,数据元说明!C:C,0),6)</f>
        <v>C..600</v>
      </c>
      <c r="M1966" s="149" t="s">
        <v>1573</v>
      </c>
      <c r="N1966" s="139" t="s">
        <v>57</v>
      </c>
      <c r="O1966" s="173"/>
      <c r="P1966" s="173"/>
    </row>
    <row r="1967" s="81" customFormat="1" ht="94" customHeight="1" spans="1:16">
      <c r="A1967" s="134"/>
      <c r="B1967" s="47"/>
      <c r="C1967" s="39"/>
      <c r="D1967" s="39"/>
      <c r="E1967" s="47"/>
      <c r="F1967" s="135" t="s">
        <v>1574</v>
      </c>
      <c r="G1967" s="269" t="s">
        <v>1575</v>
      </c>
      <c r="H1967" s="277" t="s">
        <v>5742</v>
      </c>
      <c r="I1967" s="135" t="s">
        <v>302</v>
      </c>
      <c r="J1967" s="136" t="str">
        <f>INDEX(数据元说明!A:F,MATCH(I1967,数据元说明!C:C,0),2)</f>
        <v>001005</v>
      </c>
      <c r="K1967" s="138" t="str">
        <f>INDEX(数据元说明!A:F,MATCH(I1967,数据元说明!C:C,0),5)</f>
        <v>YYYYMMDD，默认值99991231。</v>
      </c>
      <c r="L1967" s="136" t="str">
        <f>INDEX(数据元说明!A:F,MATCH(I1967,数据元说明!C:C,0),6)</f>
        <v>C8</v>
      </c>
      <c r="M1967" s="138" t="s">
        <v>5372</v>
      </c>
      <c r="N1967" s="139" t="s">
        <v>57</v>
      </c>
      <c r="O1967" s="139"/>
      <c r="P1967" s="205"/>
    </row>
    <row r="1968" s="61" customFormat="1" ht="36" spans="1:16">
      <c r="A1968" s="125"/>
      <c r="B1968" s="19"/>
      <c r="C1968" s="19" t="s">
        <v>265</v>
      </c>
      <c r="D1968" s="24" t="s">
        <v>266</v>
      </c>
      <c r="E1968" s="126">
        <v>1206</v>
      </c>
      <c r="F1968" s="127"/>
      <c r="G1968" s="126" t="s">
        <v>4974</v>
      </c>
      <c r="H1968" s="126"/>
      <c r="I1968" s="127"/>
      <c r="J1968" s="126"/>
      <c r="K1968" s="283"/>
      <c r="L1968" s="126"/>
      <c r="M1968" s="128" t="str">
        <f>INDEX(表结构总览!E:H,MATCH(D1968,表结构总览!E:E,0),4)</f>
        <v>该表体现统计期内理财产品发生的逐笔投资交易信息。</v>
      </c>
      <c r="N1968" s="198" t="s">
        <v>25</v>
      </c>
      <c r="O1968" s="198" t="s">
        <v>449</v>
      </c>
      <c r="P1968" s="41"/>
    </row>
    <row r="1969" s="81" customFormat="1" ht="53" spans="1:16">
      <c r="A1969" s="270"/>
      <c r="B1969" s="91"/>
      <c r="C1969" s="91"/>
      <c r="D1969" s="91"/>
      <c r="E1969" s="235"/>
      <c r="F1969" s="224" t="s">
        <v>4651</v>
      </c>
      <c r="G1969" s="205" t="s">
        <v>4652</v>
      </c>
      <c r="H1969" s="277" t="s">
        <v>5743</v>
      </c>
      <c r="I1969" s="274" t="s">
        <v>302</v>
      </c>
      <c r="J1969" s="136" t="str">
        <f>INDEX(数据元说明!A:F,MATCH(I1969,数据元说明!C:C,0),2)</f>
        <v>001005</v>
      </c>
      <c r="K1969" s="138" t="str">
        <f>INDEX(数据元说明!A:F,MATCH(I1969,数据元说明!C:C,0),5)</f>
        <v>YYYYMMDD，默认值99991231。</v>
      </c>
      <c r="L1969" s="136" t="str">
        <f>INDEX(数据元说明!A:F,MATCH(I1969,数据元说明!C:C,0),6)</f>
        <v>C8</v>
      </c>
      <c r="M1969" s="274" t="s">
        <v>5744</v>
      </c>
      <c r="N1969" s="139" t="s">
        <v>25</v>
      </c>
      <c r="O1969" s="139" t="s">
        <v>1550</v>
      </c>
      <c r="P1969" s="205"/>
    </row>
    <row r="1970" s="61" customFormat="1" ht="36" spans="1:16">
      <c r="A1970" s="271"/>
      <c r="B1970" s="27"/>
      <c r="C1970" s="27"/>
      <c r="D1970" s="27"/>
      <c r="E1970" s="272"/>
      <c r="F1970" s="163" t="s">
        <v>4976</v>
      </c>
      <c r="G1970" s="41" t="s">
        <v>4977</v>
      </c>
      <c r="H1970" s="273" t="s">
        <v>5745</v>
      </c>
      <c r="I1970" s="163" t="s">
        <v>1356</v>
      </c>
      <c r="J1970" s="409" t="str">
        <f>INDEX(数据元说明!A:F,MATCH(I1970,数据元说明!C:C,0),2)</f>
        <v>010065</v>
      </c>
      <c r="K1970" s="133" t="str">
        <f>INDEX(数据元说明!A:F,MATCH(I1970,数据元说明!C:C,0),5)</f>
        <v>理财中心赋予产品或资产的序号。</v>
      </c>
      <c r="L1970" s="31" t="str">
        <f>INDEX(数据元说明!A:F,MATCH(I1970,数据元说明!C:C,0),6)</f>
        <v>C..30</v>
      </c>
      <c r="M1970" s="163" t="s">
        <v>4979</v>
      </c>
      <c r="N1970" s="33"/>
      <c r="O1970" s="99"/>
      <c r="P1970" s="41"/>
    </row>
    <row r="1971" s="61" customFormat="1" ht="300" spans="1:16">
      <c r="A1971" s="271"/>
      <c r="B1971" s="27"/>
      <c r="C1971" s="27"/>
      <c r="D1971" s="27"/>
      <c r="E1971" s="272"/>
      <c r="F1971" s="163" t="s">
        <v>1141</v>
      </c>
      <c r="G1971" s="41" t="s">
        <v>4980</v>
      </c>
      <c r="H1971" s="273" t="s">
        <v>5746</v>
      </c>
      <c r="I1971" s="163" t="s">
        <v>1141</v>
      </c>
      <c r="J1971" s="409" t="str">
        <f>INDEX(数据元说明!A:F,MATCH(I1971,数据元说明!C:C,0),2)</f>
        <v>010012</v>
      </c>
      <c r="K1971" s="133" t="str">
        <f>INDEX(数据元说明!A:F,MATCH(I1971,数据元说明!C:C,0),5)</f>
        <v>登记机构赋予理财产品的标识码，该码具有唯一性。</v>
      </c>
      <c r="L1971" s="31" t="str">
        <f>INDEX(数据元说明!A:F,MATCH(I1971,数据元说明!C:C,0),6)</f>
        <v>C..30</v>
      </c>
      <c r="M1971" s="163" t="s">
        <v>4982</v>
      </c>
      <c r="N1971" s="33"/>
      <c r="O1971" s="99"/>
      <c r="P1971" s="41"/>
    </row>
    <row r="1972" s="81" customFormat="1" ht="36" spans="1:16">
      <c r="A1972" s="270"/>
      <c r="B1972" s="91"/>
      <c r="C1972" s="91"/>
      <c r="D1972" s="91"/>
      <c r="E1972" s="235"/>
      <c r="F1972" s="274" t="s">
        <v>739</v>
      </c>
      <c r="G1972" s="275" t="s">
        <v>4703</v>
      </c>
      <c r="H1972" s="277" t="s">
        <v>5747</v>
      </c>
      <c r="I1972" s="274" t="s">
        <v>1101</v>
      </c>
      <c r="J1972" s="406" t="str">
        <f>INDEX(数据元说明!A:F,MATCH(I1972,数据元说明!C:C,0),2)</f>
        <v>010002</v>
      </c>
      <c r="K1972" s="138" t="str">
        <f>INDEX(数据元说明!A:F,MATCH(I1972,数据元说明!C:C,0),5)</f>
        <v>金融产品名称，包括但不限于标准化或非标准化金融产品。如果不是标准产品，则由银行自定义。</v>
      </c>
      <c r="L1972" s="136" t="str">
        <f>INDEX(数据元说明!A:F,MATCH(I1972,数据元说明!C:C,0),6)</f>
        <v>C..200</v>
      </c>
      <c r="M1972" s="274" t="s">
        <v>4989</v>
      </c>
      <c r="N1972" s="139" t="s">
        <v>25</v>
      </c>
      <c r="O1972" s="139" t="s">
        <v>280</v>
      </c>
      <c r="P1972" s="205"/>
    </row>
    <row r="1973" s="61" customFormat="1" spans="1:16">
      <c r="A1973" s="271"/>
      <c r="B1973" s="27"/>
      <c r="C1973" s="27"/>
      <c r="D1973" s="27"/>
      <c r="E1973" s="272"/>
      <c r="F1973" s="163" t="s">
        <v>1401</v>
      </c>
      <c r="G1973" s="41" t="s">
        <v>4799</v>
      </c>
      <c r="H1973" s="273" t="s">
        <v>5748</v>
      </c>
      <c r="I1973" s="163" t="s">
        <v>1401</v>
      </c>
      <c r="J1973" s="409" t="str">
        <f>INDEX(数据元说明!A:F,MATCH(I1973,数据元说明!C:C,0),2)</f>
        <v>010076</v>
      </c>
      <c r="K1973" s="133" t="str">
        <f>INDEX(数据元说明!A:F,MATCH(I1973,数据元说明!C:C,0),5)</f>
        <v>取自金融机构代码证前6位。</v>
      </c>
      <c r="L1973" s="31" t="str">
        <f>INDEX(数据元说明!A:F,MATCH(I1973,数据元说明!C:C,0),6)</f>
        <v>C..30</v>
      </c>
      <c r="M1973" s="163" t="s">
        <v>1587</v>
      </c>
      <c r="N1973" s="33"/>
      <c r="O1973" s="99"/>
      <c r="P1973" s="41"/>
    </row>
    <row r="1974" s="61" customFormat="1" ht="32" customHeight="1" spans="1:16">
      <c r="A1974" s="271"/>
      <c r="B1974" s="27"/>
      <c r="C1974" s="27"/>
      <c r="D1974" s="27"/>
      <c r="E1974" s="284"/>
      <c r="F1974" s="274" t="s">
        <v>4658</v>
      </c>
      <c r="G1974" s="275" t="s">
        <v>4659</v>
      </c>
      <c r="H1974" s="277" t="s">
        <v>5749</v>
      </c>
      <c r="I1974" s="274" t="s">
        <v>282</v>
      </c>
      <c r="J1974" s="136" t="str">
        <f>INDEX(数据元说明!A:F,MATCH(I1974,数据元说明!C:C,0),2)</f>
        <v>001001</v>
      </c>
      <c r="K1974" s="138" t="str">
        <f>INDEX(数据元说明!A:F,MATCH(I1974,数据元说明!C:C,0),5)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974" s="136" t="str">
        <f>INDEX(数据元说明!A:F,MATCH(I1974,数据元说明!C:C,0),6)</f>
        <v>C..400</v>
      </c>
      <c r="M1974" s="274" t="s">
        <v>4994</v>
      </c>
      <c r="N1974" s="139" t="s">
        <v>25</v>
      </c>
      <c r="O1974" s="139" t="s">
        <v>280</v>
      </c>
      <c r="P1974" s="205"/>
    </row>
    <row r="1975" s="61" customFormat="1" ht="36" spans="1:16">
      <c r="A1975" s="271"/>
      <c r="B1975" s="27"/>
      <c r="C1975" s="27"/>
      <c r="D1975" s="27"/>
      <c r="E1975" s="272"/>
      <c r="F1975" s="163" t="s">
        <v>4995</v>
      </c>
      <c r="G1975" s="41" t="s">
        <v>4996</v>
      </c>
      <c r="H1975" s="273" t="s">
        <v>5750</v>
      </c>
      <c r="I1975" s="163" t="s">
        <v>1365</v>
      </c>
      <c r="J1975" s="409" t="str">
        <f>INDEX(数据元说明!A:F,MATCH(I1975,数据元说明!C:C,0),2)</f>
        <v>010067</v>
      </c>
      <c r="K1975" s="133" t="str">
        <f>INDEX(数据元说明!A:F,MATCH(I1975,数据元说明!C:C,0),5)</f>
        <v>国有银行，股份制银行，城商行，外资银行，农村合作金融机构，政策性银行，国家开发银行，理财公司，其他。</v>
      </c>
      <c r="L1975" s="31" t="str">
        <f>INDEX(数据元说明!A:F,MATCH(I1975,数据元说明!C:C,0),6)</f>
        <v>C..30</v>
      </c>
      <c r="M1975" s="163" t="s">
        <v>4979</v>
      </c>
      <c r="N1975" s="33"/>
      <c r="O1975" s="99"/>
      <c r="P1975" s="41"/>
    </row>
    <row r="1976" s="61" customFormat="1" ht="36" spans="1:16">
      <c r="A1976" s="271"/>
      <c r="B1976" s="27"/>
      <c r="C1976" s="27"/>
      <c r="D1976" s="27"/>
      <c r="E1976" s="272"/>
      <c r="F1976" s="163" t="s">
        <v>5751</v>
      </c>
      <c r="G1976" s="41" t="s">
        <v>5752</v>
      </c>
      <c r="H1976" s="273" t="s">
        <v>5753</v>
      </c>
      <c r="I1976" s="163" t="s">
        <v>1348</v>
      </c>
      <c r="J1976" s="409" t="str">
        <f>INDEX(数据元说明!A:F,MATCH(I1976,数据元说明!C:C,0),2)</f>
        <v>010063</v>
      </c>
      <c r="K1976" s="133" t="str">
        <f>INDEX(数据元说明!A:F,MATCH(I1976,数据元说明!C:C,0),5)</f>
        <v>登记机构赋予资产或交易的标识码。</v>
      </c>
      <c r="L1976" s="31" t="str">
        <f>INDEX(数据元说明!A:F,MATCH(I1976,数据元说明!C:C,0),6)</f>
        <v>C..30</v>
      </c>
      <c r="M1976" s="163" t="s">
        <v>4979</v>
      </c>
      <c r="N1976" s="33"/>
      <c r="O1976" s="99"/>
      <c r="P1976" s="41"/>
    </row>
    <row r="1977" s="61" customFormat="1" ht="36" spans="1:16">
      <c r="A1977" s="271"/>
      <c r="B1977" s="27"/>
      <c r="C1977" s="27"/>
      <c r="D1977" s="27"/>
      <c r="E1977" s="272"/>
      <c r="F1977" s="163" t="s">
        <v>5754</v>
      </c>
      <c r="G1977" s="41" t="s">
        <v>5755</v>
      </c>
      <c r="H1977" s="273" t="s">
        <v>5756</v>
      </c>
      <c r="I1977" s="163" t="s">
        <v>1283</v>
      </c>
      <c r="J1977" s="409" t="str">
        <f>INDEX(数据元说明!A:F,MATCH(I1977,数据元说明!C:C,0),2)</f>
        <v>010047</v>
      </c>
      <c r="K1977" s="133" t="str">
        <f>INDEX(数据元说明!A:F,MATCH(I1977,数据元说明!C:C,0),5)</f>
        <v>银行自定义的代码。</v>
      </c>
      <c r="L1977" s="31" t="str">
        <f>INDEX(数据元说明!A:F,MATCH(I1977,数据元说明!C:C,0),6)</f>
        <v>C..40</v>
      </c>
      <c r="M1977" s="163" t="s">
        <v>5757</v>
      </c>
      <c r="N1977" s="33"/>
      <c r="O1977" s="99"/>
      <c r="P1977" s="41"/>
    </row>
    <row r="1978" s="81" customFormat="1" ht="71" spans="1:16">
      <c r="A1978" s="270"/>
      <c r="B1978" s="91"/>
      <c r="C1978" s="91"/>
      <c r="D1978" s="91"/>
      <c r="E1978" s="235"/>
      <c r="F1978" s="224" t="s">
        <v>1385</v>
      </c>
      <c r="G1978" s="205" t="s">
        <v>5758</v>
      </c>
      <c r="H1978" s="277" t="s">
        <v>5759</v>
      </c>
      <c r="I1978" s="274" t="s">
        <v>1385</v>
      </c>
      <c r="J1978" s="406" t="str">
        <f>INDEX(数据元说明!A:F,MATCH(I1978,数据元说明!C:C,0),2)</f>
        <v>010072</v>
      </c>
      <c r="K1978" s="138" t="str">
        <f>INDEX(数据元说明!A:F,MATCH(I1978,数据元说明!C:C,0),5)</f>
        <v>资产买入，资产卖出或到期，存入银行存款，银行存款到期，拆放同业和买入返售首期，同业拆入和卖出回购首期，拆放同业和买入返售到期，同业拆入和卖出回购到期，投资资产所得收益，投资资产支出，其他收入，其他支出。</v>
      </c>
      <c r="L1978" s="136" t="str">
        <f>INDEX(数据元说明!A:F,MATCH(I1978,数据元说明!C:C,0),6)</f>
        <v>C..100</v>
      </c>
      <c r="M1978" s="274" t="s">
        <v>5760</v>
      </c>
      <c r="N1978" s="139" t="s">
        <v>25</v>
      </c>
      <c r="O1978" s="139" t="s">
        <v>1550</v>
      </c>
      <c r="P1978" s="205"/>
    </row>
    <row r="1979" s="81" customFormat="1" ht="55" customHeight="1" spans="1:16">
      <c r="A1979" s="270"/>
      <c r="B1979" s="91"/>
      <c r="C1979" s="91"/>
      <c r="D1979" s="91"/>
      <c r="E1979" s="235"/>
      <c r="F1979" s="224" t="s">
        <v>5761</v>
      </c>
      <c r="G1979" s="205" t="s">
        <v>5762</v>
      </c>
      <c r="H1979" s="277" t="s">
        <v>5763</v>
      </c>
      <c r="I1979" s="274" t="s">
        <v>282</v>
      </c>
      <c r="J1979" s="136" t="str">
        <f>INDEX(数据元说明!A:F,MATCH(I1979,数据元说明!C:C,0),2)</f>
        <v>001001</v>
      </c>
      <c r="K1979" s="138" t="str">
        <f>INDEX(数据元说明!A:F,MATCH(I1979,数据元说明!C:C,0),5)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1979" s="136" t="str">
        <f>INDEX(数据元说明!A:F,MATCH(I1979,数据元说明!C:C,0),6)</f>
        <v>C..400</v>
      </c>
      <c r="M1979" s="274" t="s">
        <v>5764</v>
      </c>
      <c r="N1979" s="139" t="s">
        <v>25</v>
      </c>
      <c r="O1979" s="139" t="s">
        <v>4168</v>
      </c>
      <c r="P1979" s="205"/>
    </row>
    <row r="1980" s="81" customFormat="1" ht="36" spans="1:16">
      <c r="A1980" s="270"/>
      <c r="B1980" s="91"/>
      <c r="C1980" s="91"/>
      <c r="D1980" s="91"/>
      <c r="E1980" s="235"/>
      <c r="F1980" s="224" t="s">
        <v>5765</v>
      </c>
      <c r="G1980" s="205" t="s">
        <v>5766</v>
      </c>
      <c r="H1980" s="277" t="s">
        <v>5767</v>
      </c>
      <c r="I1980" s="224" t="s">
        <v>287</v>
      </c>
      <c r="J1980" s="136" t="str">
        <f>INDEX(数据元说明!A:F,MATCH(I1980,数据元说明!C:C,0),2)</f>
        <v>001002</v>
      </c>
      <c r="K1980" s="138" t="str">
        <f>INDEX(数据元说明!A:F,MATCH(I1980,数据元说明!C:C,0),5)</f>
        <v>是，否。</v>
      </c>
      <c r="L1980" s="136" t="str">
        <f>INDEX(数据元说明!A:F,MATCH(I1980,数据元说明!C:C,0),6)</f>
        <v>C3</v>
      </c>
      <c r="M1980" s="224" t="s">
        <v>5768</v>
      </c>
      <c r="N1980" s="139" t="s">
        <v>57</v>
      </c>
      <c r="O1980" s="140"/>
      <c r="P1980" s="205"/>
    </row>
    <row r="1981" s="61" customFormat="1" ht="88" spans="1:16">
      <c r="A1981" s="271"/>
      <c r="B1981" s="27"/>
      <c r="C1981" s="27"/>
      <c r="D1981" s="27"/>
      <c r="E1981" s="272"/>
      <c r="F1981" s="163" t="s">
        <v>5769</v>
      </c>
      <c r="G1981" s="41" t="s">
        <v>5770</v>
      </c>
      <c r="H1981" s="273" t="s">
        <v>5771</v>
      </c>
      <c r="I1981" s="163" t="s">
        <v>1473</v>
      </c>
      <c r="J1981" s="409" t="str">
        <f>INDEX(数据元说明!A:F,MATCH(I1981,数据元说明!C:C,0),2)</f>
        <v>010094</v>
      </c>
      <c r="K1981" s="133" t="str">
        <f>INDEX(数据元说明!A:F,MATCH(I1981,数据元说明!C:C,0),5)</f>
        <v>住户，广义政府，非金融企业，银行业存款类金融机构，银行非存款类金融机构，非银行业金融机构，银行非保本理财，信托公司资管产品，证券公司及其子公司资管产品，基金管理公司及其子公司专户，期货公司及其子公司资管产品，保险资管产品，金融资产投资公司资管产品，公募基金，私募基金，其他特定目的载体，境外，其他。</v>
      </c>
      <c r="L1981" s="31" t="str">
        <f>INDEX(数据元说明!A:F,MATCH(I1981,数据元说明!C:C,0),6)</f>
        <v>C..100</v>
      </c>
      <c r="M1981" s="163" t="s">
        <v>5192</v>
      </c>
      <c r="N1981" s="33"/>
      <c r="O1981" s="99"/>
      <c r="P1981" s="41"/>
    </row>
    <row r="1982" s="61" customFormat="1" ht="53" spans="1:16">
      <c r="A1982" s="271"/>
      <c r="B1982" s="27"/>
      <c r="C1982" s="27"/>
      <c r="D1982" s="27"/>
      <c r="E1982" s="272"/>
      <c r="F1982" s="163" t="s">
        <v>624</v>
      </c>
      <c r="G1982" s="41" t="s">
        <v>1989</v>
      </c>
      <c r="H1982" s="273" t="s">
        <v>5772</v>
      </c>
      <c r="I1982" s="163" t="s">
        <v>624</v>
      </c>
      <c r="J1982" s="31" t="str">
        <f>INDEX(数据元说明!A:F,MATCH(I1982,数据元说明!C:C,0),2)</f>
        <v>003014</v>
      </c>
      <c r="K1982" s="133" t="str">
        <f>INDEX(数据元说明!A:F,MATCH(I1982,数据元说明!C:C,0),5)</f>
        <v>遵循《GB/T 12406 表示货币和资金的代码》的字母代码，如CNY。上述文件所列币种无法涵盖的，允许银行自定义填报。多个币种合计折算为人民币（本外币合计）的，填报为BWB。</v>
      </c>
      <c r="L1982" s="31" t="str">
        <f>INDEX(数据元说明!A:F,MATCH(I1982,数据元说明!C:C,0),6)</f>
        <v>C3</v>
      </c>
      <c r="M1982" s="163" t="s">
        <v>5773</v>
      </c>
      <c r="N1982" s="33"/>
      <c r="O1982" s="99"/>
      <c r="P1982" s="41"/>
    </row>
    <row r="1983" s="61" customFormat="1" ht="36" spans="1:16">
      <c r="A1983" s="271"/>
      <c r="B1983" s="27"/>
      <c r="C1983" s="27"/>
      <c r="D1983" s="27"/>
      <c r="E1983" s="272"/>
      <c r="F1983" s="163" t="s">
        <v>5380</v>
      </c>
      <c r="G1983" s="41" t="s">
        <v>5381</v>
      </c>
      <c r="H1983" s="273" t="s">
        <v>5774</v>
      </c>
      <c r="I1983" s="163" t="s">
        <v>1356</v>
      </c>
      <c r="J1983" s="409" t="str">
        <f>INDEX(数据元说明!A:F,MATCH(I1983,数据元说明!C:C,0),2)</f>
        <v>010065</v>
      </c>
      <c r="K1983" s="133" t="str">
        <f>INDEX(数据元说明!A:F,MATCH(I1983,数据元说明!C:C,0),5)</f>
        <v>理财中心赋予产品或资产的序号。</v>
      </c>
      <c r="L1983" s="31" t="str">
        <f>INDEX(数据元说明!A:F,MATCH(I1983,数据元说明!C:C,0),6)</f>
        <v>C..30</v>
      </c>
      <c r="M1983" s="163" t="s">
        <v>4979</v>
      </c>
      <c r="N1983" s="33"/>
      <c r="O1983" s="99"/>
      <c r="P1983" s="41"/>
    </row>
    <row r="1984" s="61" customFormat="1" ht="53" spans="1:16">
      <c r="A1984" s="271"/>
      <c r="B1984" s="27"/>
      <c r="C1984" s="27"/>
      <c r="D1984" s="27"/>
      <c r="E1984" s="272"/>
      <c r="F1984" s="163" t="s">
        <v>5395</v>
      </c>
      <c r="G1984" s="41" t="s">
        <v>5396</v>
      </c>
      <c r="H1984" s="273" t="s">
        <v>5775</v>
      </c>
      <c r="I1984" s="163" t="s">
        <v>1283</v>
      </c>
      <c r="J1984" s="409" t="str">
        <f>INDEX(数据元说明!A:F,MATCH(I1984,数据元说明!C:C,0),2)</f>
        <v>010047</v>
      </c>
      <c r="K1984" s="133" t="str">
        <f>INDEX(数据元说明!A:F,MATCH(I1984,数据元说明!C:C,0),5)</f>
        <v>银行自定义的代码。</v>
      </c>
      <c r="L1984" s="31" t="str">
        <f>INDEX(数据元说明!A:F,MATCH(I1984,数据元说明!C:C,0),6)</f>
        <v>C..40</v>
      </c>
      <c r="M1984" s="163" t="s">
        <v>5776</v>
      </c>
      <c r="N1984" s="33"/>
      <c r="O1984" s="99"/>
      <c r="P1984" s="41"/>
    </row>
    <row r="1985" s="61" customFormat="1" ht="36" spans="1:16">
      <c r="A1985" s="271"/>
      <c r="B1985" s="27"/>
      <c r="C1985" s="27"/>
      <c r="D1985" s="27"/>
      <c r="E1985" s="272"/>
      <c r="F1985" s="163" t="s">
        <v>5399</v>
      </c>
      <c r="G1985" s="41" t="s">
        <v>5400</v>
      </c>
      <c r="H1985" s="273" t="s">
        <v>5777</v>
      </c>
      <c r="I1985" s="163" t="s">
        <v>1348</v>
      </c>
      <c r="J1985" s="409" t="str">
        <f>INDEX(数据元说明!A:F,MATCH(I1985,数据元说明!C:C,0),2)</f>
        <v>010063</v>
      </c>
      <c r="K1985" s="133" t="str">
        <f>INDEX(数据元说明!A:F,MATCH(I1985,数据元说明!C:C,0),5)</f>
        <v>登记机构赋予资产或交易的标识码。</v>
      </c>
      <c r="L1985" s="31" t="str">
        <f>INDEX(数据元说明!A:F,MATCH(I1985,数据元说明!C:C,0),6)</f>
        <v>C..30</v>
      </c>
      <c r="M1985" s="163" t="s">
        <v>4979</v>
      </c>
      <c r="N1985" s="33"/>
      <c r="O1985" s="99"/>
      <c r="P1985" s="41"/>
    </row>
    <row r="1986" s="81" customFormat="1" ht="71" spans="1:16">
      <c r="A1986" s="270"/>
      <c r="B1986" s="91"/>
      <c r="C1986" s="91"/>
      <c r="D1986" s="91"/>
      <c r="E1986" s="235"/>
      <c r="F1986" s="274" t="s">
        <v>5409</v>
      </c>
      <c r="G1986" s="275" t="s">
        <v>5410</v>
      </c>
      <c r="H1986" s="277" t="s">
        <v>5778</v>
      </c>
      <c r="I1986" s="274" t="s">
        <v>1287</v>
      </c>
      <c r="J1986" s="406" t="str">
        <f>INDEX(数据元说明!A:F,MATCH(I1986,数据元说明!C:C,0),2)</f>
        <v>010048</v>
      </c>
      <c r="K1986" s="138" t="str">
        <f>INDEX(数据元说明!A:F,MATCH(I1986,数据元说明!C:C,0),5)</f>
        <v>所属资产类别。</v>
      </c>
      <c r="L1986" s="136" t="str">
        <f>INDEX(数据元说明!A:F,MATCH(I1986,数据元说明!C:C,0),6)</f>
        <v>C..100</v>
      </c>
      <c r="M1986" s="224" t="s">
        <v>5412</v>
      </c>
      <c r="N1986" s="139" t="s">
        <v>25</v>
      </c>
      <c r="O1986" s="139" t="s">
        <v>1673</v>
      </c>
      <c r="P1986" s="205"/>
    </row>
    <row r="1987" s="81" customFormat="1" ht="115" customHeight="1" spans="1:16">
      <c r="A1987" s="270"/>
      <c r="B1987" s="91"/>
      <c r="C1987" s="91"/>
      <c r="D1987" s="91"/>
      <c r="E1987" s="235"/>
      <c r="F1987" s="274" t="s">
        <v>5413</v>
      </c>
      <c r="G1987" s="275" t="s">
        <v>5414</v>
      </c>
      <c r="H1987" s="277" t="s">
        <v>5779</v>
      </c>
      <c r="I1987" s="274" t="s">
        <v>1291</v>
      </c>
      <c r="J1987" s="406" t="str">
        <f>INDEX(数据元说明!A:F,MATCH(I1987,数据元说明!C:C,0),2)</f>
        <v>010049</v>
      </c>
      <c r="K1987" s="138" t="str">
        <f>INDEX(数据元说明!A:F,MATCH(I1987,数据元说明!C:C,0),5)</f>
        <v>所属资产类别。</v>
      </c>
      <c r="L1987" s="136" t="str">
        <f>INDEX(数据元说明!A:F,MATCH(I1987,数据元说明!C:C,0),6)</f>
        <v>C..100</v>
      </c>
      <c r="M1987" s="224" t="s">
        <v>5412</v>
      </c>
      <c r="N1987" s="139" t="s">
        <v>25</v>
      </c>
      <c r="O1987" s="139" t="s">
        <v>1673</v>
      </c>
      <c r="P1987" s="205"/>
    </row>
    <row r="1988" s="61" customFormat="1" ht="88" spans="1:16">
      <c r="A1988" s="271"/>
      <c r="B1988" s="27"/>
      <c r="C1988" s="27"/>
      <c r="D1988" s="27"/>
      <c r="E1988" s="272"/>
      <c r="F1988" s="163" t="s">
        <v>5428</v>
      </c>
      <c r="G1988" s="41" t="s">
        <v>5429</v>
      </c>
      <c r="H1988" s="273" t="s">
        <v>5780</v>
      </c>
      <c r="I1988" s="163" t="s">
        <v>1298</v>
      </c>
      <c r="J1988" s="409" t="str">
        <f>INDEX(数据元说明!A:F,MATCH(I1988,数据元说明!C:C,0),2)</f>
        <v>010051</v>
      </c>
      <c r="K1988" s="133" t="str">
        <f>INDEX(数据元说明!A:F,MATCH(I1988,数据元说明!C:C,0),5)</f>
        <v>银行间债券市场，商业银行柜台市场，上海证券交易所，深圳证券交易所，全国中小企业股份转让系统，上海期货交易所，郑州商品交易所，大连商品交易所，中国金融期货交易所，上海黄金交易所，区域性产权，资产交易市场，区域性商品交易所，区域性贵金属交易所，艺术品市场，基金市场，信托市场，全国银行间同业拆借市场，上海票据交易所，其他交易流通场所。</v>
      </c>
      <c r="L1988" s="31" t="str">
        <f>INDEX(数据元说明!A:F,MATCH(I1988,数据元说明!C:C,0),6)</f>
        <v>C..100</v>
      </c>
      <c r="M1988" s="163" t="s">
        <v>5781</v>
      </c>
      <c r="N1988" s="33"/>
      <c r="O1988" s="99"/>
      <c r="P1988" s="41"/>
    </row>
    <row r="1989" s="81" customFormat="1" ht="36" spans="1:16">
      <c r="A1989" s="270"/>
      <c r="B1989" s="91"/>
      <c r="C1989" s="91"/>
      <c r="D1989" s="91"/>
      <c r="E1989" s="235"/>
      <c r="F1989" s="274" t="s">
        <v>5416</v>
      </c>
      <c r="G1989" s="275" t="s">
        <v>5417</v>
      </c>
      <c r="H1989" s="277" t="s">
        <v>5782</v>
      </c>
      <c r="I1989" s="274" t="s">
        <v>1101</v>
      </c>
      <c r="J1989" s="406" t="str">
        <f>INDEX(数据元说明!A:F,MATCH(I1989,数据元说明!C:C,0),2)</f>
        <v>010002</v>
      </c>
      <c r="K1989" s="138" t="str">
        <f>INDEX(数据元说明!A:F,MATCH(I1989,数据元说明!C:C,0),5)</f>
        <v>金融产品名称，包括但不限于标准化或非标准化金融产品。如果不是标准产品，则由银行自定义。</v>
      </c>
      <c r="L1989" s="136" t="str">
        <f>INDEX(数据元说明!A:F,MATCH(I1989,数据元说明!C:C,0),6)</f>
        <v>C..200</v>
      </c>
      <c r="M1989" s="274" t="s">
        <v>5783</v>
      </c>
      <c r="N1989" s="139" t="s">
        <v>25</v>
      </c>
      <c r="O1989" s="139" t="s">
        <v>280</v>
      </c>
      <c r="P1989" s="205"/>
    </row>
    <row r="1990" s="61" customFormat="1" ht="71" spans="1:16">
      <c r="A1990" s="271"/>
      <c r="B1990" s="27"/>
      <c r="C1990" s="27"/>
      <c r="D1990" s="27"/>
      <c r="E1990" s="272"/>
      <c r="F1990" s="163" t="s">
        <v>5424</v>
      </c>
      <c r="G1990" s="41" t="s">
        <v>5425</v>
      </c>
      <c r="H1990" s="273" t="s">
        <v>5784</v>
      </c>
      <c r="I1990" s="163" t="s">
        <v>515</v>
      </c>
      <c r="J1990" s="31" t="str">
        <f>INDEX(数据元说明!A:F,MATCH(I1990,数据元说明!C:C,0),2)</f>
        <v>002016</v>
      </c>
      <c r="K1990" s="133" t="str">
        <f>INDEX(数据元说明!A:F,MATCH(I1990,数据元说明!C:C,0),5)</f>
        <v>根据《GB/T 4754 国民经济行业分类》划分的门类名称填报，如“农、林、牧、渔业”，“公共管理、社会保障和社会组织”等。不填报大类名称、种类名称、小类名称，境外机构填报为“国际组织”。无法以枚举类型填报的，以“其他-XX”填报，其中“XX”为银行自定义分类。</v>
      </c>
      <c r="L1990" s="31" t="str">
        <f>INDEX(数据元说明!A:F,MATCH(I1990,数据元说明!C:C,0),6)</f>
        <v>C..100</v>
      </c>
      <c r="M1990" s="163" t="s">
        <v>5785</v>
      </c>
      <c r="N1990" s="33"/>
      <c r="O1990" s="99"/>
      <c r="P1990" s="41"/>
    </row>
    <row r="1991" s="81" customFormat="1" ht="36" spans="1:16">
      <c r="A1991" s="270"/>
      <c r="B1991" s="91"/>
      <c r="C1991" s="91"/>
      <c r="D1991" s="91"/>
      <c r="E1991" s="235"/>
      <c r="F1991" s="274" t="s">
        <v>5786</v>
      </c>
      <c r="G1991" s="275" t="s">
        <v>5787</v>
      </c>
      <c r="H1991" s="277" t="s">
        <v>5788</v>
      </c>
      <c r="I1991" s="224" t="s">
        <v>609</v>
      </c>
      <c r="J1991" s="136" t="str">
        <f>INDEX(数据元说明!A:F,MATCH(I1991,数据元说明!C:C,0),2)</f>
        <v>003010</v>
      </c>
      <c r="K1991" s="138" t="str">
        <f>INDEX(数据元说明!A:F,MATCH(I1991,数据元说明!C:C,0),5)</f>
        <v>与币种相对应金额。</v>
      </c>
      <c r="L1991" s="136" t="str">
        <f>INDEX(数据元说明!A:F,MATCH(I1991,数据元说明!C:C,0),6)</f>
        <v>D20.2</v>
      </c>
      <c r="M1991" s="274" t="s">
        <v>5789</v>
      </c>
      <c r="N1991" s="139" t="s">
        <v>25</v>
      </c>
      <c r="O1991" s="140" t="s">
        <v>1516</v>
      </c>
      <c r="P1991" s="205"/>
    </row>
    <row r="1992" s="61" customFormat="1" ht="36" spans="1:16">
      <c r="A1992" s="271"/>
      <c r="B1992" s="27"/>
      <c r="C1992" s="27"/>
      <c r="D1992" s="27"/>
      <c r="E1992" s="272"/>
      <c r="F1992" s="163" t="s">
        <v>5790</v>
      </c>
      <c r="G1992" s="41" t="s">
        <v>5791</v>
      </c>
      <c r="H1992" s="273" t="s">
        <v>5792</v>
      </c>
      <c r="I1992" s="163" t="s">
        <v>609</v>
      </c>
      <c r="J1992" s="31" t="str">
        <f>INDEX(数据元说明!A:F,MATCH(I1992,数据元说明!C:C,0),2)</f>
        <v>003010</v>
      </c>
      <c r="K1992" s="133" t="str">
        <f>INDEX(数据元说明!A:F,MATCH(I1992,数据元说明!C:C,0),5)</f>
        <v>与币种相对应金额。</v>
      </c>
      <c r="L1992" s="31" t="str">
        <f>INDEX(数据元说明!A:F,MATCH(I1992,数据元说明!C:C,0),6)</f>
        <v>D20.2</v>
      </c>
      <c r="M1992" s="163" t="s">
        <v>5793</v>
      </c>
      <c r="N1992" s="33"/>
      <c r="O1992" s="99"/>
      <c r="P1992" s="41"/>
    </row>
    <row r="1993" s="81" customFormat="1" ht="36" spans="1:16">
      <c r="A1993" s="270"/>
      <c r="B1993" s="91"/>
      <c r="C1993" s="91"/>
      <c r="D1993" s="91"/>
      <c r="E1993" s="235"/>
      <c r="F1993" s="274" t="s">
        <v>412</v>
      </c>
      <c r="G1993" s="275" t="s">
        <v>5794</v>
      </c>
      <c r="H1993" s="277" t="s">
        <v>5795</v>
      </c>
      <c r="I1993" s="274" t="s">
        <v>1360</v>
      </c>
      <c r="J1993" s="406" t="str">
        <f>INDEX(数据元说明!A:F,MATCH(I1993,数据元说明!C:C,0),2)</f>
        <v>010066</v>
      </c>
      <c r="K1993" s="138" t="str">
        <f>INDEX(数据元说明!A:F,MATCH(I1993,数据元说明!C:C,0),5)</f>
        <v>产品份额或资产的数量。</v>
      </c>
      <c r="L1993" s="136" t="str">
        <f>INDEX(数据元说明!A:F,MATCH(I1993,数据元说明!C:C,0),6)</f>
        <v>D23.5</v>
      </c>
      <c r="M1993" s="274" t="s">
        <v>5796</v>
      </c>
      <c r="N1993" s="139" t="s">
        <v>25</v>
      </c>
      <c r="O1993" s="140" t="s">
        <v>280</v>
      </c>
      <c r="P1993" s="205"/>
    </row>
    <row r="1994" s="61" customFormat="1" ht="71" spans="1:16">
      <c r="A1994" s="271"/>
      <c r="B1994" s="27"/>
      <c r="C1994" s="27"/>
      <c r="D1994" s="27"/>
      <c r="E1994" s="272"/>
      <c r="F1994" s="163" t="s">
        <v>5797</v>
      </c>
      <c r="G1994" s="41" t="s">
        <v>5798</v>
      </c>
      <c r="H1994" s="273" t="s">
        <v>5799</v>
      </c>
      <c r="I1994" s="163" t="s">
        <v>1335</v>
      </c>
      <c r="J1994" s="409" t="str">
        <f>INDEX(数据元说明!A:F,MATCH(I1994,数据元说明!C:C,0),2)</f>
        <v>010060</v>
      </c>
      <c r="K1994" s="133" t="str">
        <f>INDEX(数据元说明!A:F,MATCH(I1994,数据元说明!C:C,0),5)</f>
        <v>单位价格。</v>
      </c>
      <c r="L1994" s="31" t="str">
        <f>INDEX(数据元说明!A:F,MATCH(I1994,数据元说明!C:C,0),6)</f>
        <v>D17.4</v>
      </c>
      <c r="M1994" s="163" t="s">
        <v>5800</v>
      </c>
      <c r="N1994" s="33"/>
      <c r="O1994" s="99"/>
      <c r="P1994" s="41"/>
    </row>
    <row r="1995" s="61" customFormat="1" ht="88" spans="1:16">
      <c r="A1995" s="271"/>
      <c r="B1995" s="27"/>
      <c r="C1995" s="27"/>
      <c r="D1995" s="27"/>
      <c r="E1995" s="272"/>
      <c r="F1995" s="163" t="s">
        <v>5801</v>
      </c>
      <c r="G1995" s="41" t="s">
        <v>5802</v>
      </c>
      <c r="H1995" s="273" t="s">
        <v>5803</v>
      </c>
      <c r="I1995" s="163" t="s">
        <v>1335</v>
      </c>
      <c r="J1995" s="409" t="str">
        <f>INDEX(数据元说明!A:F,MATCH(I1995,数据元说明!C:C,0),2)</f>
        <v>010060</v>
      </c>
      <c r="K1995" s="133" t="str">
        <f>INDEX(数据元说明!A:F,MATCH(I1995,数据元说明!C:C,0),5)</f>
        <v>单位价格。</v>
      </c>
      <c r="L1995" s="31" t="str">
        <f>INDEX(数据元说明!A:F,MATCH(I1995,数据元说明!C:C,0),6)</f>
        <v>D17.4</v>
      </c>
      <c r="M1995" s="163" t="s">
        <v>5804</v>
      </c>
      <c r="N1995" s="33"/>
      <c r="O1995" s="99"/>
      <c r="P1995" s="41"/>
    </row>
    <row r="1996" s="81" customFormat="1" ht="53" spans="1:16">
      <c r="A1996" s="270"/>
      <c r="B1996" s="91"/>
      <c r="C1996" s="91"/>
      <c r="D1996" s="91"/>
      <c r="E1996" s="235"/>
      <c r="F1996" s="274" t="s">
        <v>5805</v>
      </c>
      <c r="G1996" s="275" t="s">
        <v>5806</v>
      </c>
      <c r="H1996" s="277" t="s">
        <v>5807</v>
      </c>
      <c r="I1996" s="224" t="s">
        <v>292</v>
      </c>
      <c r="J1996" s="136" t="str">
        <f>INDEX(数据元说明!A:F,MATCH(I1996,数据元说明!C:C,0),2)</f>
        <v>001003</v>
      </c>
      <c r="K1996" s="138" t="str">
        <f>INDEX(数据元说明!A:F,MATCH(I1996,数据元说明!C:C,0),5)</f>
        <v>百分比为单位，即1/100，保留两位小数。如4.5%则填报为4.50。</v>
      </c>
      <c r="L1996" s="136" t="str">
        <f>INDEX(数据元说明!A:F,MATCH(I1996,数据元说明!C:C,0),6)</f>
        <v>D20.2</v>
      </c>
      <c r="M1996" s="274" t="s">
        <v>5808</v>
      </c>
      <c r="N1996" s="139" t="s">
        <v>25</v>
      </c>
      <c r="O1996" s="139" t="s">
        <v>5227</v>
      </c>
      <c r="P1996" s="205"/>
    </row>
    <row r="1997" s="61" customFormat="1" ht="36" spans="1:16">
      <c r="A1997" s="271"/>
      <c r="B1997" s="27"/>
      <c r="C1997" s="27"/>
      <c r="D1997" s="27"/>
      <c r="E1997" s="272"/>
      <c r="F1997" s="163" t="s">
        <v>1413</v>
      </c>
      <c r="G1997" s="41" t="s">
        <v>5809</v>
      </c>
      <c r="H1997" s="273" t="s">
        <v>5810</v>
      </c>
      <c r="I1997" s="163" t="s">
        <v>1413</v>
      </c>
      <c r="J1997" s="409" t="str">
        <f>INDEX(数据元说明!A:F,MATCH(I1997,数据元说明!C:C,0),2)</f>
        <v>010079</v>
      </c>
      <c r="K1997" s="133" t="str">
        <f>INDEX(数据元说明!A:F,MATCH(I1997,数据元说明!C:C,0),5)</f>
        <v>公允价值，摊余成本。</v>
      </c>
      <c r="L1997" s="31" t="str">
        <f>INDEX(数据元说明!A:F,MATCH(I1997,数据元说明!C:C,0),6)</f>
        <v>C..30</v>
      </c>
      <c r="M1997" s="163" t="s">
        <v>5811</v>
      </c>
      <c r="N1997" s="33"/>
      <c r="O1997" s="99"/>
      <c r="P1997" s="41"/>
    </row>
    <row r="1998" s="81" customFormat="1" ht="30" customHeight="1" outlineLevel="1" spans="1:16">
      <c r="A1998" s="134"/>
      <c r="B1998" s="47"/>
      <c r="C1998" s="39"/>
      <c r="D1998" s="39"/>
      <c r="E1998" s="47"/>
      <c r="F1998" s="135" t="s">
        <v>449</v>
      </c>
      <c r="G1998" s="136" t="s">
        <v>1571</v>
      </c>
      <c r="H1998" s="277" t="s">
        <v>5812</v>
      </c>
      <c r="I1998" s="135" t="s">
        <v>449</v>
      </c>
      <c r="J1998" s="136" t="str">
        <f>INDEX(数据元说明!A:F,MATCH(I1998,数据元说明!C:C,0),2)</f>
        <v>001040</v>
      </c>
      <c r="K1998" s="138" t="str">
        <f>INDEX(数据元说明!A:F,MATCH(I1998,数据元说明!C:C,0),5)</f>
        <v>银行自定义。</v>
      </c>
      <c r="L1998" s="136" t="str">
        <f>INDEX(数据元说明!A:F,MATCH(I1998,数据元说明!C:C,0),6)</f>
        <v>C..600</v>
      </c>
      <c r="M1998" s="149" t="s">
        <v>1573</v>
      </c>
      <c r="N1998" s="139" t="s">
        <v>57</v>
      </c>
      <c r="O1998" s="173"/>
      <c r="P1998" s="173"/>
    </row>
    <row r="1999" s="81" customFormat="1" ht="94" customHeight="1" spans="1:16">
      <c r="A1999" s="134"/>
      <c r="B1999" s="47"/>
      <c r="C1999" s="39"/>
      <c r="D1999" s="39"/>
      <c r="E1999" s="47"/>
      <c r="F1999" s="135" t="s">
        <v>1574</v>
      </c>
      <c r="G1999" s="269" t="s">
        <v>1575</v>
      </c>
      <c r="H1999" s="277" t="s">
        <v>5813</v>
      </c>
      <c r="I1999" s="135" t="s">
        <v>302</v>
      </c>
      <c r="J1999" s="136" t="str">
        <f>INDEX(数据元说明!A:F,MATCH(I1999,数据元说明!C:C,0),2)</f>
        <v>001005</v>
      </c>
      <c r="K1999" s="138" t="str">
        <f>INDEX(数据元说明!A:F,MATCH(I1999,数据元说明!C:C,0),5)</f>
        <v>YYYYMMDD，默认值99991231。</v>
      </c>
      <c r="L1999" s="136" t="str">
        <f>INDEX(数据元说明!A:F,MATCH(I1999,数据元说明!C:C,0),6)</f>
        <v>C8</v>
      </c>
      <c r="M1999" s="138" t="s">
        <v>5372</v>
      </c>
      <c r="N1999" s="139" t="s">
        <v>57</v>
      </c>
      <c r="O1999" s="139"/>
      <c r="P1999" s="205"/>
    </row>
    <row r="2000" s="61" customFormat="1" ht="36" spans="1:16">
      <c r="A2000" s="125"/>
      <c r="B2000" s="19"/>
      <c r="C2000" s="19" t="s">
        <v>268</v>
      </c>
      <c r="D2000" s="24" t="s">
        <v>269</v>
      </c>
      <c r="E2000" s="126">
        <v>1207</v>
      </c>
      <c r="F2000" s="127"/>
      <c r="G2000" s="126" t="s">
        <v>4974</v>
      </c>
      <c r="H2000" s="126"/>
      <c r="I2000" s="127"/>
      <c r="J2000" s="126"/>
      <c r="K2000" s="283"/>
      <c r="L2000" s="126"/>
      <c r="M2000" s="128" t="str">
        <f>INDEX(表结构总览!E:H,MATCH(D2000,表结构总览!E:E,0),4)</f>
        <v>代销他行理财产品由银行机构在代理代销信息表中报送。</v>
      </c>
      <c r="N2000" s="198" t="s">
        <v>25</v>
      </c>
      <c r="O2000" s="198" t="s">
        <v>449</v>
      </c>
      <c r="P2000" s="206" t="s">
        <v>5814</v>
      </c>
    </row>
    <row r="2001" s="81" customFormat="1" ht="33" customHeight="1" spans="1:16">
      <c r="A2001" s="270"/>
      <c r="B2001" s="91"/>
      <c r="C2001" s="91"/>
      <c r="D2001" s="91"/>
      <c r="E2001" s="235"/>
      <c r="F2001" s="224" t="s">
        <v>4477</v>
      </c>
      <c r="G2001" s="205" t="s">
        <v>4478</v>
      </c>
      <c r="H2001" s="277" t="s">
        <v>5815</v>
      </c>
      <c r="I2001" s="274" t="s">
        <v>681</v>
      </c>
      <c r="J2001" s="136" t="str">
        <f>INDEX(数据元说明!A:F,MATCH(I2001,数据元说明!C:C,0),2)</f>
        <v>003028</v>
      </c>
      <c r="K2001" s="138" t="str">
        <f>INDEX(数据元说明!A:F,MATCH(I2001,数据元说明!C:C,0),5)</f>
        <v>合同号。</v>
      </c>
      <c r="L2001" s="136" t="str">
        <f>INDEX(数据元说明!A:F,MATCH(I2001,数据元说明!C:C,0),6)</f>
        <v>C..100</v>
      </c>
      <c r="M2001" s="274" t="s">
        <v>5816</v>
      </c>
      <c r="N2001" s="139" t="s">
        <v>25</v>
      </c>
      <c r="O2001" s="285" t="s">
        <v>1550</v>
      </c>
      <c r="P2001" s="205"/>
    </row>
    <row r="2002" s="87" customFormat="1" ht="30" customHeight="1" spans="1:16">
      <c r="A2002" s="141"/>
      <c r="B2002" s="142"/>
      <c r="C2002" s="39"/>
      <c r="D2002" s="40"/>
      <c r="E2002" s="47"/>
      <c r="F2002" s="135" t="s">
        <v>702</v>
      </c>
      <c r="G2002" s="136" t="s">
        <v>2370</v>
      </c>
      <c r="H2002" s="277" t="s">
        <v>5817</v>
      </c>
      <c r="I2002" s="135" t="s">
        <v>702</v>
      </c>
      <c r="J2002" s="136" t="str">
        <f>INDEX(数据元说明!A:F,MATCH(I2002,数据元说明!C:C,0),2)</f>
        <v>004001</v>
      </c>
      <c r="K2002" s="138" t="str">
        <f>INDEX(数据元说明!A:F,MATCH(I2002,数据元说明!C:C,0),5)</f>
        <v>唯一标识该笔交易的编号，银行自定义。可以是业务编号，也可以是交易系统中使用的时间戳，如：时间戳(纳秒)：1530027865231834600。</v>
      </c>
      <c r="L2002" s="136" t="str">
        <f>INDEX(数据元说明!A:F,MATCH(I2002,数据元说明!C:C,0),6)</f>
        <v>C..100</v>
      </c>
      <c r="M2002" s="138" t="s">
        <v>1587</v>
      </c>
      <c r="N2002" s="140" t="s">
        <v>57</v>
      </c>
      <c r="O2002" s="221"/>
      <c r="P2002" s="140"/>
    </row>
    <row r="2003" s="61" customFormat="1" spans="1:16">
      <c r="A2003" s="271"/>
      <c r="B2003" s="27"/>
      <c r="C2003" s="27"/>
      <c r="D2003" s="27"/>
      <c r="E2003" s="272"/>
      <c r="F2003" s="163" t="s">
        <v>1401</v>
      </c>
      <c r="G2003" s="41" t="s">
        <v>4799</v>
      </c>
      <c r="H2003" s="273" t="s">
        <v>5818</v>
      </c>
      <c r="I2003" s="163" t="s">
        <v>1401</v>
      </c>
      <c r="J2003" s="409" t="str">
        <f>INDEX(数据元说明!A:F,MATCH(I2003,数据元说明!C:C,0),2)</f>
        <v>010076</v>
      </c>
      <c r="K2003" s="133" t="str">
        <f>INDEX(数据元说明!A:F,MATCH(I2003,数据元说明!C:C,0),5)</f>
        <v>取自金融机构代码证前6位。</v>
      </c>
      <c r="L2003" s="31" t="str">
        <f>INDEX(数据元说明!A:F,MATCH(I2003,数据元说明!C:C,0),6)</f>
        <v>C..30</v>
      </c>
      <c r="M2003" s="286"/>
      <c r="N2003" s="33"/>
      <c r="O2003" s="99"/>
      <c r="P2003" s="41"/>
    </row>
    <row r="2004" s="81" customFormat="1" ht="31" customHeight="1" spans="1:16">
      <c r="A2004" s="270"/>
      <c r="B2004" s="91"/>
      <c r="C2004" s="91"/>
      <c r="D2004" s="91"/>
      <c r="E2004" s="235"/>
      <c r="F2004" s="274" t="s">
        <v>4658</v>
      </c>
      <c r="G2004" s="275" t="s">
        <v>4659</v>
      </c>
      <c r="H2004" s="277" t="s">
        <v>5819</v>
      </c>
      <c r="I2004" s="274" t="s">
        <v>282</v>
      </c>
      <c r="J2004" s="136" t="str">
        <f>INDEX(数据元说明!A:F,MATCH(I2004,数据元说明!C:C,0),2)</f>
        <v>001001</v>
      </c>
      <c r="K2004" s="138" t="str">
        <f>INDEX(数据元说明!A:F,MATCH(I2004,数据元说明!C:C,0),5)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004" s="136" t="str">
        <f>INDEX(数据元说明!A:F,MATCH(I2004,数据元说明!C:C,0),6)</f>
        <v>C..400</v>
      </c>
      <c r="M2004" s="274" t="s">
        <v>4994</v>
      </c>
      <c r="N2004" s="139" t="s">
        <v>25</v>
      </c>
      <c r="O2004" s="139" t="s">
        <v>280</v>
      </c>
      <c r="P2004" s="206"/>
    </row>
    <row r="2005" s="61" customFormat="1" ht="36" spans="1:16">
      <c r="A2005" s="271"/>
      <c r="B2005" s="27"/>
      <c r="C2005" s="27"/>
      <c r="D2005" s="27"/>
      <c r="E2005" s="272"/>
      <c r="F2005" s="163" t="s">
        <v>5820</v>
      </c>
      <c r="G2005" s="41" t="s">
        <v>5821</v>
      </c>
      <c r="H2005" s="273" t="s">
        <v>5822</v>
      </c>
      <c r="I2005" s="163" t="s">
        <v>570</v>
      </c>
      <c r="J2005" s="31" t="str">
        <f>INDEX(数据元说明!A:F,MATCH(I2005,数据元说明!C:C,0),2)</f>
        <v>003001</v>
      </c>
      <c r="K2005" s="133" t="str">
        <f>INDEX(数据元说明!A:F,MATCH(I2005,数据元说明!C:C,0),5)</f>
        <v>系统内最细一级的账号，无唯一性约束，不需要和序号、子序号等做拼接。</v>
      </c>
      <c r="L2005" s="31" t="str">
        <f>INDEX(数据元说明!A:F,MATCH(I2005,数据元说明!C:C,0),6)</f>
        <v>C..60</v>
      </c>
      <c r="M2005" s="163" t="s">
        <v>5823</v>
      </c>
      <c r="N2005" s="33"/>
      <c r="O2005" s="99"/>
      <c r="P2005" s="41"/>
    </row>
    <row r="2006" s="61" customFormat="1" ht="71" spans="1:16">
      <c r="A2006" s="271"/>
      <c r="B2006" s="27"/>
      <c r="C2006" s="27"/>
      <c r="D2006" s="27"/>
      <c r="E2006" s="272"/>
      <c r="F2006" s="163" t="s">
        <v>453</v>
      </c>
      <c r="G2006" s="41" t="s">
        <v>1680</v>
      </c>
      <c r="H2006" s="273" t="s">
        <v>5824</v>
      </c>
      <c r="I2006" s="163" t="s">
        <v>453</v>
      </c>
      <c r="J2006" s="31" t="str">
        <f>INDEX(数据元说明!A:F,MATCH(I2006,数据元说明!C:C,0),2)</f>
        <v>002001</v>
      </c>
      <c r="K2006" s="133" t="str">
        <f>INDEX(数据元说明!A:F,MATCH(I2006,数据元说明!C:C,0),5)</f>
        <v>银行自定义的唯一识别客户的标识。供应链融资的填写供应链融资编码。</v>
      </c>
      <c r="L2006" s="31" t="str">
        <f>INDEX(数据元说明!A:F,MATCH(I2006,数据元说明!C:C,0),6)</f>
        <v>C..60</v>
      </c>
      <c r="M2006" s="163" t="s">
        <v>2333</v>
      </c>
      <c r="N2006" s="33"/>
      <c r="O2006" s="99"/>
      <c r="P2006" s="41"/>
    </row>
    <row r="2007" s="81" customFormat="1" ht="36" spans="1:16">
      <c r="A2007" s="270"/>
      <c r="B2007" s="91"/>
      <c r="C2007" s="91"/>
      <c r="D2007" s="91"/>
      <c r="E2007" s="235"/>
      <c r="F2007" s="274" t="s">
        <v>1737</v>
      </c>
      <c r="G2007" s="275" t="s">
        <v>1738</v>
      </c>
      <c r="H2007" s="277" t="s">
        <v>5825</v>
      </c>
      <c r="I2007" s="274" t="s">
        <v>353</v>
      </c>
      <c r="J2007" s="136" t="str">
        <f>INDEX(数据元说明!A:F,MATCH(I2007,数据元说明!C:C,0),2)</f>
        <v>001017</v>
      </c>
      <c r="K2007" s="138" t="str">
        <f>INDEX(数据元说明!A:F,MATCH(I2007,数据元说明!C:C,0),5)</f>
        <v>姓名。</v>
      </c>
      <c r="L2007" s="136" t="str">
        <f>INDEX(数据元说明!A:F,MATCH(I2007,数据元说明!C:C,0),6)</f>
        <v>C..200</v>
      </c>
      <c r="M2007" s="287" t="s">
        <v>5826</v>
      </c>
      <c r="N2007" s="139" t="s">
        <v>25</v>
      </c>
      <c r="O2007" s="139" t="s">
        <v>280</v>
      </c>
      <c r="P2007" s="205"/>
    </row>
    <row r="2008" s="61" customFormat="1" spans="1:16">
      <c r="A2008" s="271"/>
      <c r="B2008" s="27"/>
      <c r="C2008" s="27"/>
      <c r="D2008" s="27"/>
      <c r="E2008" s="272"/>
      <c r="F2008" s="163" t="s">
        <v>5827</v>
      </c>
      <c r="G2008" s="41" t="s">
        <v>5828</v>
      </c>
      <c r="H2008" s="273" t="s">
        <v>5829</v>
      </c>
      <c r="I2008" s="163" t="s">
        <v>570</v>
      </c>
      <c r="J2008" s="31" t="str">
        <f>INDEX(数据元说明!A:F,MATCH(I2008,数据元说明!C:C,0),2)</f>
        <v>003001</v>
      </c>
      <c r="K2008" s="133" t="str">
        <f>INDEX(数据元说明!A:F,MATCH(I2008,数据元说明!C:C,0),5)</f>
        <v>系统内最细一级的账号，无唯一性约束，不需要和序号、子序号等做拼接。</v>
      </c>
      <c r="L2008" s="31" t="str">
        <f>INDEX(数据元说明!A:F,MATCH(I2008,数据元说明!C:C,0),6)</f>
        <v>C..60</v>
      </c>
      <c r="M2008" s="163"/>
      <c r="N2008" s="33"/>
      <c r="O2008" s="99"/>
      <c r="P2008" s="41"/>
    </row>
    <row r="2009" s="81" customFormat="1" ht="30" customHeight="1" spans="1:16">
      <c r="A2009" s="270"/>
      <c r="B2009" s="91"/>
      <c r="C2009" s="91"/>
      <c r="D2009" s="91"/>
      <c r="E2009" s="235"/>
      <c r="F2009" s="224" t="s">
        <v>5830</v>
      </c>
      <c r="G2009" s="205" t="s">
        <v>5831</v>
      </c>
      <c r="H2009" s="277" t="s">
        <v>5832</v>
      </c>
      <c r="I2009" s="224" t="s">
        <v>282</v>
      </c>
      <c r="J2009" s="136" t="str">
        <f>INDEX(数据元说明!A:F,MATCH(I2009,数据元说明!C:C,0),2)</f>
        <v>001001</v>
      </c>
      <c r="K2009" s="138" t="str">
        <f>INDEX(数据元说明!A:F,MATCH(I2009,数据元说明!C:C,0),5)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009" s="136" t="str">
        <f>INDEX(数据元说明!A:F,MATCH(I2009,数据元说明!C:C,0),6)</f>
        <v>C..400</v>
      </c>
      <c r="M2009" s="224" t="s">
        <v>5833</v>
      </c>
      <c r="N2009" s="139" t="s">
        <v>57</v>
      </c>
      <c r="O2009" s="140"/>
      <c r="P2009" s="205"/>
    </row>
    <row r="2010" s="61" customFormat="1" ht="106" spans="1:16">
      <c r="A2010" s="271"/>
      <c r="B2010" s="27"/>
      <c r="C2010" s="27"/>
      <c r="D2010" s="27"/>
      <c r="E2010" s="272"/>
      <c r="F2010" s="163" t="s">
        <v>5834</v>
      </c>
      <c r="G2010" s="41" t="s">
        <v>5835</v>
      </c>
      <c r="H2010" s="273" t="s">
        <v>5836</v>
      </c>
      <c r="I2010" s="163" t="s">
        <v>1194</v>
      </c>
      <c r="J2010" s="409" t="str">
        <f>INDEX(数据元说明!A:F,MATCH(I2010,数据元说明!C:C,0),2)</f>
        <v>010025</v>
      </c>
      <c r="K2010" s="133" t="str">
        <f>INDEX(数据元说明!A:F,MATCH(I2010,数据元说明!C:C,0),5)</f>
        <v>北京市，上海市，天津市，山东省，青岛市，黑龙江省，吉林省，辽宁省，大连市，江苏省，浙江省，宁波市，江西省，安徽省，福建省，厦门市，山西省，河南省，河北省，湖南省，湖北省，广东省，深圳市，广西壮族自治区，海南省，重庆市，四川省，云南省，贵州省，陕西省，甘肃省，青海省，内蒙古自治区，宁夏回族自治区，新疆维吾尔自治区，西藏自治区，香港，澳门，台湾，其他国家或地区。</v>
      </c>
      <c r="L2010" s="31" t="str">
        <f>INDEX(数据元说明!A:F,MATCH(I2010,数据元说明!C:C,0),6)</f>
        <v>C..2000</v>
      </c>
      <c r="M2010" s="163" t="s">
        <v>5837</v>
      </c>
      <c r="N2010" s="33"/>
      <c r="O2010" s="99"/>
      <c r="P2010" s="41"/>
    </row>
    <row r="2011" s="61" customFormat="1" spans="1:16">
      <c r="A2011" s="271"/>
      <c r="B2011" s="27"/>
      <c r="C2011" s="27"/>
      <c r="D2011" s="27"/>
      <c r="E2011" s="272"/>
      <c r="F2011" s="274" t="s">
        <v>5838</v>
      </c>
      <c r="G2011" s="275" t="s">
        <v>5839</v>
      </c>
      <c r="H2011" s="277" t="s">
        <v>5840</v>
      </c>
      <c r="I2011" s="274" t="s">
        <v>287</v>
      </c>
      <c r="J2011" s="136" t="str">
        <f>INDEX(数据元说明!A:F,MATCH(I2011,数据元说明!C:C,0),2)</f>
        <v>001002</v>
      </c>
      <c r="K2011" s="138" t="str">
        <f>INDEX(数据元说明!A:F,MATCH(I2011,数据元说明!C:C,0),5)</f>
        <v>是，否。</v>
      </c>
      <c r="L2011" s="136" t="str">
        <f>INDEX(数据元说明!A:F,MATCH(I2011,数据元说明!C:C,0),6)</f>
        <v>C3</v>
      </c>
      <c r="M2011" s="224" t="s">
        <v>5841</v>
      </c>
      <c r="N2011" s="139" t="s">
        <v>25</v>
      </c>
      <c r="O2011" s="139" t="s">
        <v>449</v>
      </c>
      <c r="P2011" s="41"/>
    </row>
    <row r="2012" s="61" customFormat="1" ht="31" customHeight="1" spans="1:16">
      <c r="A2012" s="271"/>
      <c r="B2012" s="27"/>
      <c r="C2012" s="27"/>
      <c r="D2012" s="27"/>
      <c r="E2012" s="272"/>
      <c r="F2012" s="274" t="s">
        <v>5842</v>
      </c>
      <c r="G2012" s="275" t="s">
        <v>5843</v>
      </c>
      <c r="H2012" s="277" t="s">
        <v>5844</v>
      </c>
      <c r="I2012" s="274" t="s">
        <v>282</v>
      </c>
      <c r="J2012" s="136" t="str">
        <f>INDEX(数据元说明!A:F,MATCH(I2012,数据元说明!C:C,0),2)</f>
        <v>001001</v>
      </c>
      <c r="K2012" s="138" t="str">
        <f>INDEX(数据元说明!A:F,MATCH(I2012,数据元说明!C:C,0),5)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012" s="136" t="str">
        <f>INDEX(数据元说明!A:F,MATCH(I2012,数据元说明!C:C,0),6)</f>
        <v>C..400</v>
      </c>
      <c r="M2012" s="224" t="s">
        <v>5841</v>
      </c>
      <c r="N2012" s="139" t="s">
        <v>25</v>
      </c>
      <c r="O2012" s="139" t="s">
        <v>1673</v>
      </c>
      <c r="P2012" s="205"/>
    </row>
    <row r="2013" s="61" customFormat="1" spans="1:16">
      <c r="A2013" s="271"/>
      <c r="B2013" s="27"/>
      <c r="C2013" s="27"/>
      <c r="D2013" s="27"/>
      <c r="E2013" s="272"/>
      <c r="F2013" s="163" t="s">
        <v>5845</v>
      </c>
      <c r="G2013" s="41" t="s">
        <v>5846</v>
      </c>
      <c r="H2013" s="273" t="s">
        <v>5847</v>
      </c>
      <c r="I2013" s="163" t="s">
        <v>1401</v>
      </c>
      <c r="J2013" s="409" t="str">
        <f>INDEX(数据元说明!A:F,MATCH(I2013,数据元说明!C:C,0),2)</f>
        <v>010076</v>
      </c>
      <c r="K2013" s="133" t="str">
        <f>INDEX(数据元说明!A:F,MATCH(I2013,数据元说明!C:C,0),5)</f>
        <v>取自金融机构代码证前6位。</v>
      </c>
      <c r="L2013" s="31" t="str">
        <f>INDEX(数据元说明!A:F,MATCH(I2013,数据元说明!C:C,0),6)</f>
        <v>C..30</v>
      </c>
      <c r="M2013" s="163" t="s">
        <v>5848</v>
      </c>
      <c r="N2013" s="33"/>
      <c r="O2013" s="99"/>
      <c r="P2013" s="41"/>
    </row>
    <row r="2014" s="61" customFormat="1" ht="141" spans="1:16">
      <c r="A2014" s="271"/>
      <c r="B2014" s="27"/>
      <c r="C2014" s="27"/>
      <c r="D2014" s="27"/>
      <c r="E2014" s="272"/>
      <c r="F2014" s="163" t="s">
        <v>5849</v>
      </c>
      <c r="G2014" s="41" t="s">
        <v>5850</v>
      </c>
      <c r="H2014" s="273" t="s">
        <v>5851</v>
      </c>
      <c r="I2014" s="163" t="s">
        <v>1477</v>
      </c>
      <c r="J2014" s="409" t="str">
        <f>INDEX(数据元说明!A:F,MATCH(I2014,数据元说明!C:C,0),2)</f>
        <v>010095</v>
      </c>
      <c r="K2014" s="133" t="str">
        <f>INDEX(数据元说明!A:F,MATCH(I2014,数据元说明!C:C,0),5)</f>
        <v>银保监会，北京银保监局，上海银保监局，贵州银保监局，宁夏银保监局，湖南银保监局，云南银保监局，福建银保监局，吉林银保监局，江苏银保监局，广东银保监局，青海银保监局，辽宁银保监局，湖北银保监局，海南银保监局，深圳银保监局，河南银保监局，甘肃银保监局，天津银保监局，山东银保监局，大连银保监局，宁波银保监局，广西银保监局，河北银保监局，西藏银保监局，浙江银保监局，四川银保监局，山西银保监局，安徽银保监局，重庆银保监局，黑龙江银保监局，陕西银保监局，江西银保监局，新疆银保监局，内蒙古银保监局，厦门银保监局，青岛银保监局</v>
      </c>
      <c r="L2014" s="31" t="str">
        <f>INDEX(数据元说明!A:F,MATCH(I2014,数据元说明!C:C,0),6)</f>
        <v>C..30</v>
      </c>
      <c r="M2014" s="163"/>
      <c r="N2014" s="33"/>
      <c r="O2014" s="99"/>
      <c r="P2014" s="41"/>
    </row>
    <row r="2015" s="81" customFormat="1" ht="36" spans="1:16">
      <c r="A2015" s="270"/>
      <c r="B2015" s="91"/>
      <c r="C2015" s="91"/>
      <c r="D2015" s="91"/>
      <c r="E2015" s="235"/>
      <c r="F2015" s="274" t="s">
        <v>4983</v>
      </c>
      <c r="G2015" s="275" t="s">
        <v>4984</v>
      </c>
      <c r="H2015" s="277" t="s">
        <v>5852</v>
      </c>
      <c r="I2015" s="274" t="s">
        <v>1121</v>
      </c>
      <c r="J2015" s="406" t="str">
        <f>INDEX(数据元说明!A:F,MATCH(I2015,数据元说明!C:C,0),2)</f>
        <v>010007</v>
      </c>
      <c r="K2015" s="138" t="str">
        <f>INDEX(数据元说明!A:F,MATCH(I2015,数据元说明!C:C,0),5)</f>
        <v>发行机构在发行登记时赋予理财产品的代码，该代码在发行机构内部具有唯一性。</v>
      </c>
      <c r="L2015" s="136" t="str">
        <f>INDEX(数据元说明!A:F,MATCH(I2015,数据元说明!C:C,0),6)</f>
        <v>C..200</v>
      </c>
      <c r="M2015" s="224"/>
      <c r="N2015" s="139" t="s">
        <v>25</v>
      </c>
      <c r="O2015" s="140" t="s">
        <v>280</v>
      </c>
      <c r="P2015" s="205"/>
    </row>
    <row r="2016" s="61" customFormat="1" spans="1:16">
      <c r="A2016" s="271"/>
      <c r="B2016" s="27"/>
      <c r="C2016" s="27"/>
      <c r="D2016" s="27"/>
      <c r="E2016" s="272"/>
      <c r="F2016" s="163" t="s">
        <v>5853</v>
      </c>
      <c r="G2016" s="41" t="s">
        <v>5854</v>
      </c>
      <c r="H2016" s="273" t="s">
        <v>5855</v>
      </c>
      <c r="I2016" s="163" t="s">
        <v>739</v>
      </c>
      <c r="J2016" s="31" t="str">
        <f>INDEX(数据元说明!A:F,MATCH(I2016,数据元说明!C:C,0),2)</f>
        <v>005001</v>
      </c>
      <c r="K2016" s="133" t="str">
        <f>INDEX(数据元说明!A:F,MATCH(I2016,数据元说明!C:C,0),5)</f>
        <v>银行内部产品中文名称，银行自定义。</v>
      </c>
      <c r="L2016" s="31" t="str">
        <f>INDEX(数据元说明!A:F,MATCH(I2016,数据元说明!C:C,0),6)</f>
        <v>C..200</v>
      </c>
      <c r="M2016" s="163" t="s">
        <v>4989</v>
      </c>
      <c r="N2016" s="33"/>
      <c r="O2016" s="99"/>
      <c r="P2016" s="41"/>
    </row>
    <row r="2017" s="61" customFormat="1" spans="1:16">
      <c r="A2017" s="271"/>
      <c r="B2017" s="27"/>
      <c r="C2017" s="27"/>
      <c r="D2017" s="27"/>
      <c r="E2017" s="272"/>
      <c r="F2017" s="201" t="s">
        <v>1141</v>
      </c>
      <c r="G2017" s="21" t="s">
        <v>4980</v>
      </c>
      <c r="H2017" s="273" t="s">
        <v>5856</v>
      </c>
      <c r="I2017" s="201" t="s">
        <v>1141</v>
      </c>
      <c r="J2017" s="409" t="str">
        <f>INDEX(数据元说明!A:F,MATCH(I2017,数据元说明!C:C,0),2)</f>
        <v>010012</v>
      </c>
      <c r="K2017" s="133" t="str">
        <f>INDEX(数据元说明!A:F,MATCH(I2017,数据元说明!C:C,0),5)</f>
        <v>登记机构赋予理财产品的标识码，该码具有唯一性。</v>
      </c>
      <c r="L2017" s="31" t="str">
        <f>INDEX(数据元说明!A:F,MATCH(I2017,数据元说明!C:C,0),6)</f>
        <v>C..30</v>
      </c>
      <c r="M2017" s="163"/>
      <c r="N2017" s="33"/>
      <c r="O2017" s="99"/>
      <c r="P2017" s="41"/>
    </row>
    <row r="2018" s="61" customFormat="1" ht="53" spans="1:16">
      <c r="A2018" s="271"/>
      <c r="B2018" s="27"/>
      <c r="C2018" s="27"/>
      <c r="D2018" s="27"/>
      <c r="E2018" s="272"/>
      <c r="F2018" s="163" t="s">
        <v>4481</v>
      </c>
      <c r="G2018" s="41" t="s">
        <v>4482</v>
      </c>
      <c r="H2018" s="273" t="s">
        <v>5857</v>
      </c>
      <c r="I2018" s="163" t="s">
        <v>1405</v>
      </c>
      <c r="J2018" s="409" t="str">
        <f>INDEX(数据元说明!A:F,MATCH(I2018,数据元说明!C:C,0),2)</f>
        <v>010077</v>
      </c>
      <c r="K2018" s="133" t="str">
        <f>INDEX(数据元说明!A:F,MATCH(I2018,数据元说明!C:C,0),5)</f>
        <v>募集期认购，存续期申购，存续期赎回，分红，红利再投资，质押融资首期，质押融资到期，冻结，解冻，交易过户转入，交易过户转出，非交易过户转入，非交易过户转出，份额强增，份额强减，到期兑付。</v>
      </c>
      <c r="L2018" s="31" t="str">
        <f>INDEX(数据元说明!A:F,MATCH(I2018,数据元说明!C:C,0),6)</f>
        <v>C..100</v>
      </c>
      <c r="M2018" s="163"/>
      <c r="N2018" s="33"/>
      <c r="O2018" s="99"/>
      <c r="P2018" s="41"/>
    </row>
    <row r="2019" s="61" customFormat="1" ht="53" spans="1:16">
      <c r="A2019" s="271"/>
      <c r="B2019" s="27"/>
      <c r="C2019" s="27"/>
      <c r="D2019" s="27"/>
      <c r="E2019" s="272"/>
      <c r="F2019" s="163" t="s">
        <v>624</v>
      </c>
      <c r="G2019" s="41" t="s">
        <v>1989</v>
      </c>
      <c r="H2019" s="273" t="s">
        <v>5858</v>
      </c>
      <c r="I2019" s="163" t="s">
        <v>624</v>
      </c>
      <c r="J2019" s="31" t="str">
        <f>INDEX(数据元说明!A:F,MATCH(I2019,数据元说明!C:C,0),2)</f>
        <v>003014</v>
      </c>
      <c r="K2019" s="133" t="str">
        <f>INDEX(数据元说明!A:F,MATCH(I2019,数据元说明!C:C,0),5)</f>
        <v>遵循《GB/T 12406 表示货币和资金的代码》的字母代码，如CNY。上述文件所列币种无法涵盖的，允许银行自定义填报。多个币种合计折算为人民币（本外币合计）的，填报为BWB。</v>
      </c>
      <c r="L2019" s="31" t="str">
        <f>INDEX(数据元说明!A:F,MATCH(I2019,数据元说明!C:C,0),6)</f>
        <v>C3</v>
      </c>
      <c r="M2019" s="163"/>
      <c r="N2019" s="33"/>
      <c r="O2019" s="99"/>
      <c r="P2019" s="41"/>
    </row>
    <row r="2020" s="61" customFormat="1" ht="53" spans="1:16">
      <c r="A2020" s="271"/>
      <c r="B2020" s="27"/>
      <c r="C2020" s="27"/>
      <c r="D2020" s="27"/>
      <c r="E2020" s="272"/>
      <c r="F2020" s="163" t="s">
        <v>5859</v>
      </c>
      <c r="G2020" s="41" t="s">
        <v>5860</v>
      </c>
      <c r="H2020" s="273" t="s">
        <v>5861</v>
      </c>
      <c r="I2020" s="163" t="s">
        <v>302</v>
      </c>
      <c r="J2020" s="31" t="str">
        <f>INDEX(数据元说明!A:F,MATCH(I2020,数据元说明!C:C,0),2)</f>
        <v>001005</v>
      </c>
      <c r="K2020" s="133" t="str">
        <f>INDEX(数据元说明!A:F,MATCH(I2020,数据元说明!C:C,0),5)</f>
        <v>YYYYMMDD，默认值99991231。</v>
      </c>
      <c r="L2020" s="31" t="str">
        <f>INDEX(数据元说明!A:F,MATCH(I2020,数据元说明!C:C,0),6)</f>
        <v>C8</v>
      </c>
      <c r="M2020" s="163" t="s">
        <v>5862</v>
      </c>
      <c r="N2020" s="33"/>
      <c r="O2020" s="99"/>
      <c r="P2020" s="41"/>
    </row>
    <row r="2021" s="61" customFormat="1" ht="53" spans="1:16">
      <c r="A2021" s="271"/>
      <c r="B2021" s="27"/>
      <c r="C2021" s="27"/>
      <c r="D2021" s="27"/>
      <c r="E2021" s="272"/>
      <c r="F2021" s="163" t="s">
        <v>5863</v>
      </c>
      <c r="G2021" s="41" t="s">
        <v>5864</v>
      </c>
      <c r="H2021" s="273" t="s">
        <v>5865</v>
      </c>
      <c r="I2021" s="163" t="s">
        <v>312</v>
      </c>
      <c r="J2021" s="31" t="str">
        <f>INDEX(数据元说明!A:F,MATCH(I2021,数据元说明!C:C,0),2)</f>
        <v>001007</v>
      </c>
      <c r="K2021" s="133" t="str">
        <f>INDEX(数据元说明!A:F,MATCH(I2021,数据元说明!C:C,0),5)</f>
        <v>24小时制时间，精确到秒。hhmmss，默认值000000。</v>
      </c>
      <c r="L2021" s="31" t="str">
        <f>INDEX(数据元说明!A:F,MATCH(I2021,数据元说明!C:C,0),6)</f>
        <v>C6</v>
      </c>
      <c r="M2021" s="163" t="s">
        <v>5866</v>
      </c>
      <c r="N2021" s="33"/>
      <c r="O2021" s="99"/>
      <c r="P2021" s="41"/>
    </row>
    <row r="2022" s="81" customFormat="1" spans="1:16">
      <c r="A2022" s="270"/>
      <c r="B2022" s="91"/>
      <c r="C2022" s="91"/>
      <c r="D2022" s="91"/>
      <c r="E2022" s="235"/>
      <c r="F2022" s="281" t="s">
        <v>5867</v>
      </c>
      <c r="G2022" s="275" t="s">
        <v>5868</v>
      </c>
      <c r="H2022" s="277" t="s">
        <v>5869</v>
      </c>
      <c r="I2022" s="274" t="s">
        <v>1240</v>
      </c>
      <c r="J2022" s="406" t="str">
        <f>INDEX(数据元说明!A:F,MATCH(I2022,数据元说明!C:C,0),2)</f>
        <v>010037</v>
      </c>
      <c r="K2022" s="138" t="str">
        <f>INDEX(数据元说明!A:F,MATCH(I2022,数据元说明!C:C,0),5)</f>
        <v>理财产品份额的单位价值。</v>
      </c>
      <c r="L2022" s="136" t="str">
        <f>INDEX(数据元说明!A:F,MATCH(I2022,数据元说明!C:C,0),6)</f>
        <v>D12.7</v>
      </c>
      <c r="M2022" s="224"/>
      <c r="N2022" s="139" t="s">
        <v>25</v>
      </c>
      <c r="O2022" s="139" t="s">
        <v>280</v>
      </c>
      <c r="P2022" s="205"/>
    </row>
    <row r="2023" s="81" customFormat="1" ht="53" spans="1:16">
      <c r="A2023" s="270"/>
      <c r="B2023" s="91"/>
      <c r="C2023" s="91"/>
      <c r="D2023" s="91"/>
      <c r="E2023" s="235"/>
      <c r="F2023" s="224" t="s">
        <v>5870</v>
      </c>
      <c r="G2023" s="205" t="s">
        <v>5871</v>
      </c>
      <c r="H2023" s="277" t="s">
        <v>5872</v>
      </c>
      <c r="I2023" s="224" t="s">
        <v>609</v>
      </c>
      <c r="J2023" s="136" t="str">
        <f>INDEX(数据元说明!A:F,MATCH(I2023,数据元说明!C:C,0),2)</f>
        <v>003010</v>
      </c>
      <c r="K2023" s="138" t="str">
        <f>INDEX(数据元说明!A:F,MATCH(I2023,数据元说明!C:C,0),5)</f>
        <v>与币种相对应金额。</v>
      </c>
      <c r="L2023" s="136" t="str">
        <f>INDEX(数据元说明!A:F,MATCH(I2023,数据元说明!C:C,0),6)</f>
        <v>D20.2</v>
      </c>
      <c r="M2023" s="274" t="s">
        <v>5873</v>
      </c>
      <c r="N2023" s="139" t="s">
        <v>25</v>
      </c>
      <c r="O2023" s="139" t="s">
        <v>3821</v>
      </c>
      <c r="P2023" s="205"/>
    </row>
    <row r="2024" s="61" customFormat="1" ht="36" spans="1:16">
      <c r="A2024" s="271"/>
      <c r="B2024" s="27"/>
      <c r="C2024" s="27"/>
      <c r="D2024" s="27"/>
      <c r="E2024" s="272"/>
      <c r="F2024" s="163" t="s">
        <v>5790</v>
      </c>
      <c r="G2024" s="41" t="s">
        <v>5791</v>
      </c>
      <c r="H2024" s="273" t="s">
        <v>5874</v>
      </c>
      <c r="I2024" s="163" t="s">
        <v>609</v>
      </c>
      <c r="J2024" s="31" t="str">
        <f>INDEX(数据元说明!A:F,MATCH(I2024,数据元说明!C:C,0),2)</f>
        <v>003010</v>
      </c>
      <c r="K2024" s="133" t="str">
        <f>INDEX(数据元说明!A:F,MATCH(I2024,数据元说明!C:C,0),5)</f>
        <v>与币种相对应金额。</v>
      </c>
      <c r="L2024" s="31" t="str">
        <f>INDEX(数据元说明!A:F,MATCH(I2024,数据元说明!C:C,0),6)</f>
        <v>D20.2</v>
      </c>
      <c r="M2024" s="163" t="s">
        <v>5875</v>
      </c>
      <c r="N2024" s="33"/>
      <c r="O2024" s="99"/>
      <c r="P2024" s="41"/>
    </row>
    <row r="2025" s="81" customFormat="1" ht="53" spans="1:16">
      <c r="A2025" s="270"/>
      <c r="B2025" s="91"/>
      <c r="C2025" s="91"/>
      <c r="D2025" s="91"/>
      <c r="E2025" s="235"/>
      <c r="F2025" s="224" t="s">
        <v>5876</v>
      </c>
      <c r="G2025" s="205" t="s">
        <v>5877</v>
      </c>
      <c r="H2025" s="277" t="s">
        <v>5878</v>
      </c>
      <c r="I2025" s="274" t="s">
        <v>1360</v>
      </c>
      <c r="J2025" s="406" t="str">
        <f>INDEX(数据元说明!A:F,MATCH(I2025,数据元说明!C:C,0),2)</f>
        <v>010066</v>
      </c>
      <c r="K2025" s="138" t="str">
        <f>INDEX(数据元说明!A:F,MATCH(I2025,数据元说明!C:C,0),5)</f>
        <v>产品份额或资产的数量。</v>
      </c>
      <c r="L2025" s="136" t="str">
        <f>INDEX(数据元说明!A:F,MATCH(I2025,数据元说明!C:C,0),6)</f>
        <v>D23.5</v>
      </c>
      <c r="M2025" s="224"/>
      <c r="N2025" s="139" t="s">
        <v>25</v>
      </c>
      <c r="O2025" s="139" t="s">
        <v>4168</v>
      </c>
      <c r="P2025" s="205"/>
    </row>
    <row r="2026" s="81" customFormat="1" ht="53" spans="1:16">
      <c r="A2026" s="270"/>
      <c r="B2026" s="91"/>
      <c r="C2026" s="91"/>
      <c r="D2026" s="91"/>
      <c r="E2026" s="235"/>
      <c r="F2026" s="224" t="s">
        <v>3538</v>
      </c>
      <c r="G2026" s="205" t="s">
        <v>3539</v>
      </c>
      <c r="H2026" s="277" t="s">
        <v>5879</v>
      </c>
      <c r="I2026" s="224" t="s">
        <v>609</v>
      </c>
      <c r="J2026" s="136" t="str">
        <f>INDEX(数据元说明!A:F,MATCH(I2026,数据元说明!C:C,0),2)</f>
        <v>003010</v>
      </c>
      <c r="K2026" s="138" t="str">
        <f>INDEX(数据元说明!A:F,MATCH(I2026,数据元说明!C:C,0),5)</f>
        <v>与币种相对应金额。</v>
      </c>
      <c r="L2026" s="136" t="str">
        <f>INDEX(数据元说明!A:F,MATCH(I2026,数据元说明!C:C,0),6)</f>
        <v>D20.2</v>
      </c>
      <c r="M2026" s="224"/>
      <c r="N2026" s="139" t="s">
        <v>25</v>
      </c>
      <c r="O2026" s="139" t="s">
        <v>3821</v>
      </c>
      <c r="P2026" s="205"/>
    </row>
    <row r="2027" s="81" customFormat="1" ht="71" spans="1:16">
      <c r="A2027" s="270"/>
      <c r="B2027" s="91"/>
      <c r="C2027" s="91"/>
      <c r="D2027" s="91"/>
      <c r="E2027" s="235"/>
      <c r="F2027" s="224" t="s">
        <v>710</v>
      </c>
      <c r="G2027" s="205" t="s">
        <v>2434</v>
      </c>
      <c r="H2027" s="277" t="s">
        <v>5880</v>
      </c>
      <c r="I2027" s="274" t="s">
        <v>710</v>
      </c>
      <c r="J2027" s="136" t="str">
        <f>INDEX(数据元说明!A:F,MATCH(I2027,数据元说明!C:C,0),2)</f>
        <v>004003</v>
      </c>
      <c r="K2027" s="138" t="str">
        <f>INDEX(数据元说明!A:F,MATCH(I2027,数据元说明!C:C,0),5)</f>
        <v>柜面，ATM，VTM，POS，网银，手机银行，银联交易，三方支付-银行自定义，其他-银行自定义。交易类型为三方支付的，以“三方支付-XX”填报，其中“XX”为第三方支付平台名称。如无法以枚举类型填报，则以“其他-XX”填报，其中“XX”为银行自定义类型。</v>
      </c>
      <c r="L2027" s="136" t="str">
        <f>INDEX(数据元说明!A:F,MATCH(I2027,数据元说明!C:C,0),6)</f>
        <v>C..60</v>
      </c>
      <c r="M2027" s="224" t="s">
        <v>5881</v>
      </c>
      <c r="N2027" s="139" t="s">
        <v>25</v>
      </c>
      <c r="O2027" s="139" t="s">
        <v>5882</v>
      </c>
      <c r="P2027" s="205"/>
    </row>
    <row r="2028" s="61" customFormat="1" ht="24" customHeight="1" spans="1:16">
      <c r="A2028" s="271"/>
      <c r="B2028" s="27"/>
      <c r="C2028" s="27"/>
      <c r="D2028" s="27"/>
      <c r="E2028" s="272"/>
      <c r="F2028" s="163" t="s">
        <v>2456</v>
      </c>
      <c r="G2028" s="41" t="s">
        <v>2457</v>
      </c>
      <c r="H2028" s="273" t="s">
        <v>5883</v>
      </c>
      <c r="I2028" s="163" t="s">
        <v>368</v>
      </c>
      <c r="J2028" s="31" t="str">
        <f>INDEX(数据元说明!A:F,MATCH(I2028,数据元说明!C:C,0),2)</f>
        <v>001021</v>
      </c>
      <c r="K2028" s="133" t="str">
        <f>INDEX(数据元说明!A:F,MATCH(I2028,数据元说明!C:C,0),5)</f>
        <v>柜员编号，银行自定义。</v>
      </c>
      <c r="L2028" s="31" t="str">
        <f>INDEX(数据元说明!A:F,MATCH(I2028,数据元说明!C:C,0),6)</f>
        <v>C..30</v>
      </c>
      <c r="M2028" s="224" t="s">
        <v>5884</v>
      </c>
      <c r="N2028" s="139" t="s">
        <v>25</v>
      </c>
      <c r="O2028" s="139" t="s">
        <v>1673</v>
      </c>
      <c r="P2028" s="41"/>
    </row>
    <row r="2029" s="81" customFormat="1" ht="30" customHeight="1" outlineLevel="1" spans="1:16">
      <c r="A2029" s="134"/>
      <c r="B2029" s="47"/>
      <c r="C2029" s="39"/>
      <c r="D2029" s="39"/>
      <c r="E2029" s="47"/>
      <c r="F2029" s="288" t="s">
        <v>449</v>
      </c>
      <c r="G2029" s="289" t="s">
        <v>1571</v>
      </c>
      <c r="H2029" s="277" t="s">
        <v>5885</v>
      </c>
      <c r="I2029" s="135" t="s">
        <v>449</v>
      </c>
      <c r="J2029" s="136" t="str">
        <f>INDEX(数据元说明!A:F,MATCH(I2029,数据元说明!C:C,0),2)</f>
        <v>001040</v>
      </c>
      <c r="K2029" s="138" t="str">
        <f>INDEX(数据元说明!A:F,MATCH(I2029,数据元说明!C:C,0),5)</f>
        <v>银行自定义。</v>
      </c>
      <c r="L2029" s="136" t="str">
        <f>INDEX(数据元说明!A:F,MATCH(I2029,数据元说明!C:C,0),6)</f>
        <v>C..600</v>
      </c>
      <c r="M2029" s="149" t="s">
        <v>1573</v>
      </c>
      <c r="N2029" s="139" t="s">
        <v>25</v>
      </c>
      <c r="O2029" s="139" t="s">
        <v>5886</v>
      </c>
      <c r="P2029" s="173"/>
    </row>
    <row r="2030" s="61" customFormat="1" ht="30" customHeight="1" spans="1:16">
      <c r="A2030" s="271"/>
      <c r="B2030" s="27"/>
      <c r="C2030" s="27"/>
      <c r="D2030" s="27"/>
      <c r="E2030" s="272"/>
      <c r="F2030" s="163" t="s">
        <v>1574</v>
      </c>
      <c r="G2030" s="41" t="s">
        <v>1575</v>
      </c>
      <c r="H2030" s="273" t="s">
        <v>5887</v>
      </c>
      <c r="I2030" s="163" t="s">
        <v>302</v>
      </c>
      <c r="J2030" s="31" t="str">
        <f>INDEX(数据元说明!A:F,MATCH(I2030,数据元说明!C:C,0),2)</f>
        <v>001005</v>
      </c>
      <c r="K2030" s="133" t="str">
        <f>INDEX(数据元说明!A:F,MATCH(I2030,数据元说明!C:C,0),5)</f>
        <v>YYYYMMDD，默认值99991231。</v>
      </c>
      <c r="L2030" s="31" t="str">
        <f>INDEX(数据元说明!A:F,MATCH(I2030,数据元说明!C:C,0),6)</f>
        <v>C8</v>
      </c>
      <c r="M2030" s="163" t="s">
        <v>2244</v>
      </c>
      <c r="N2030" s="33"/>
      <c r="O2030" s="99"/>
      <c r="P2030" s="41"/>
    </row>
    <row r="2031" s="83" customFormat="1" ht="56" customHeight="1" spans="1:16">
      <c r="A2031" s="188"/>
      <c r="B2031" s="190"/>
      <c r="C2031" s="190" t="s">
        <v>272</v>
      </c>
      <c r="D2031" s="191" t="s">
        <v>273</v>
      </c>
      <c r="E2031" s="192">
        <v>1208</v>
      </c>
      <c r="F2031" s="193"/>
      <c r="G2031" s="194" t="s">
        <v>4974</v>
      </c>
      <c r="H2031" s="192"/>
      <c r="I2031" s="193"/>
      <c r="J2031" s="194"/>
      <c r="K2031" s="290"/>
      <c r="L2031" s="194"/>
      <c r="M2031" s="195" t="str">
        <f>INDEX(表结构总览!E:H,MATCH(D2031,表结构总览!E:E,0),4)</f>
        <v>本行客户开立的理财分户账信息，报送本行理财产品账户信息，代销他行理财在他行数据源下报送。买入不同理财产品的，每个产品作为一条记录。如不设置理财账户的，对应填报其他相关信息。本表为状态表，每月逐客户（理财账号）、逐产品报送月底账户信息，若同一客户月内多次购买同一产品则将金额加总后作为一条记录。</v>
      </c>
      <c r="N2031" s="143" t="s">
        <v>57</v>
      </c>
      <c r="O2031" s="143"/>
      <c r="P2031" s="212"/>
    </row>
    <row r="2032" s="61" customFormat="1" ht="25" customHeight="1" spans="1:16">
      <c r="A2032" s="271"/>
      <c r="B2032" s="27"/>
      <c r="C2032" s="27"/>
      <c r="D2032" s="27"/>
      <c r="E2032" s="272"/>
      <c r="F2032" s="163" t="s">
        <v>1401</v>
      </c>
      <c r="G2032" s="41" t="s">
        <v>1520</v>
      </c>
      <c r="H2032" s="273" t="s">
        <v>5888</v>
      </c>
      <c r="I2032" s="163" t="s">
        <v>325</v>
      </c>
      <c r="J2032" s="31" t="str">
        <f>INDEX(数据元说明!A:F,MATCH(I2032,数据元说明!C:C,0),2)</f>
        <v>001010</v>
      </c>
      <c r="K2032" s="133" t="str">
        <f>INDEX(数据元说明!A:F,MATCH(I2032,数据元说明!C:C,0),5)</f>
        <v>12位人行支付行号或SWIFT行号。</v>
      </c>
      <c r="L2032" s="31" t="str">
        <f>INDEX(数据元说明!A:F,MATCH(I2032,数据元说明!C:C,0),6)</f>
        <v>C..30</v>
      </c>
      <c r="M2032" s="163" t="s">
        <v>1579</v>
      </c>
      <c r="N2032" s="33"/>
      <c r="O2032" s="99"/>
      <c r="P2032" s="41"/>
    </row>
    <row r="2033" s="61" customFormat="1" ht="25" customHeight="1" spans="1:16">
      <c r="A2033" s="271"/>
      <c r="B2033" s="27"/>
      <c r="C2033" s="27"/>
      <c r="D2033" s="27"/>
      <c r="E2033" s="272"/>
      <c r="F2033" s="163" t="s">
        <v>4658</v>
      </c>
      <c r="G2033" s="41" t="s">
        <v>1533</v>
      </c>
      <c r="H2033" s="273" t="s">
        <v>5889</v>
      </c>
      <c r="I2033" s="163" t="s">
        <v>282</v>
      </c>
      <c r="J2033" s="31" t="str">
        <f>INDEX(数据元说明!A:F,MATCH(I2033,数据元说明!C:C,0),2)</f>
        <v>001001</v>
      </c>
      <c r="K2033" s="133" t="str">
        <f>INDEX(数据元说明!A:F,MATCH(I2033,数据元说明!C:C,0),5)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033" s="31" t="str">
        <f>INDEX(数据元说明!A:F,MATCH(I2033,数据元说明!C:C,0),6)</f>
        <v>C..400</v>
      </c>
      <c r="M2033" s="163" t="s">
        <v>5890</v>
      </c>
      <c r="N2033" s="33"/>
      <c r="O2033" s="99"/>
      <c r="P2033" s="41"/>
    </row>
    <row r="2034" s="81" customFormat="1" ht="25" customHeight="1" spans="1:16">
      <c r="A2034" s="270"/>
      <c r="B2034" s="91"/>
      <c r="C2034" s="91"/>
      <c r="D2034" s="91"/>
      <c r="E2034" s="235"/>
      <c r="F2034" s="224" t="s">
        <v>5838</v>
      </c>
      <c r="G2034" s="205" t="s">
        <v>5839</v>
      </c>
      <c r="H2034" s="277" t="s">
        <v>5891</v>
      </c>
      <c r="I2034" s="224" t="s">
        <v>287</v>
      </c>
      <c r="J2034" s="136" t="str">
        <f>INDEX(数据元说明!A:F,MATCH(I2034,数据元说明!C:C,0),2)</f>
        <v>001002</v>
      </c>
      <c r="K2034" s="138" t="str">
        <f>INDEX(数据元说明!A:F,MATCH(I2034,数据元说明!C:C,0),5)</f>
        <v>是，否。</v>
      </c>
      <c r="L2034" s="136" t="str">
        <f>INDEX(数据元说明!A:F,MATCH(I2034,数据元说明!C:C,0),6)</f>
        <v>C3</v>
      </c>
      <c r="M2034" s="224" t="s">
        <v>5841</v>
      </c>
      <c r="N2034" s="139"/>
      <c r="O2034" s="140"/>
      <c r="P2034" s="205"/>
    </row>
    <row r="2035" s="81" customFormat="1" ht="25" customHeight="1" spans="1:16">
      <c r="A2035" s="270"/>
      <c r="B2035" s="91"/>
      <c r="C2035" s="91"/>
      <c r="D2035" s="91"/>
      <c r="E2035" s="235"/>
      <c r="F2035" s="224" t="s">
        <v>5845</v>
      </c>
      <c r="G2035" s="205" t="s">
        <v>5846</v>
      </c>
      <c r="H2035" s="277" t="s">
        <v>5892</v>
      </c>
      <c r="I2035" s="224" t="s">
        <v>1401</v>
      </c>
      <c r="J2035" s="406" t="str">
        <f>INDEX(数据元说明!A:F,MATCH(I2035,数据元说明!C:C,0),2)</f>
        <v>010076</v>
      </c>
      <c r="K2035" s="138" t="str">
        <f>INDEX(数据元说明!A:F,MATCH(I2035,数据元说明!C:C,0),5)</f>
        <v>取自金融机构代码证前6位。</v>
      </c>
      <c r="L2035" s="136" t="str">
        <f>INDEX(数据元说明!A:F,MATCH(I2035,数据元说明!C:C,0),6)</f>
        <v>C..30</v>
      </c>
      <c r="M2035" s="224" t="s">
        <v>5841</v>
      </c>
      <c r="N2035" s="139"/>
      <c r="O2035" s="140"/>
      <c r="P2035" s="205"/>
    </row>
    <row r="2036" s="81" customFormat="1" ht="25" customHeight="1" spans="1:16">
      <c r="A2036" s="270"/>
      <c r="B2036" s="91"/>
      <c r="C2036" s="91"/>
      <c r="D2036" s="91"/>
      <c r="E2036" s="235"/>
      <c r="F2036" s="224" t="s">
        <v>5842</v>
      </c>
      <c r="G2036" s="205" t="s">
        <v>5843</v>
      </c>
      <c r="H2036" s="277" t="s">
        <v>5893</v>
      </c>
      <c r="I2036" s="224" t="s">
        <v>282</v>
      </c>
      <c r="J2036" s="136" t="str">
        <f>INDEX(数据元说明!A:F,MATCH(I2036,数据元说明!C:C,0),2)</f>
        <v>001001</v>
      </c>
      <c r="K2036" s="138" t="str">
        <f>INDEX(数据元说明!A:F,MATCH(I2036,数据元说明!C:C,0),5)</f>
        <v>名称应与公章所使用的名称完全一致。银行机构以银保监会金融机构许可证登记名称为准。无独立金融机构许可证的机构，可在本名称中体现出机构特征。第三方支付平台填报第三方支付平台名称。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客户是境内涉密机构的，客户名称填报为“*********”。
（3）同业客户，经有关部门批准正式使用的客户全称，与客户公章所使用的名称完全一致。
（4）自然人，与有效证件上的姓名一致。
（5）境外客户，客户名称应尽量以中文翻译填报，如没有可填报英文名称。</v>
      </c>
      <c r="L2036" s="136" t="str">
        <f>INDEX(数据元说明!A:F,MATCH(I2036,数据元说明!C:C,0),6)</f>
        <v>C..400</v>
      </c>
      <c r="M2036" s="224" t="s">
        <v>5841</v>
      </c>
      <c r="N2036" s="139"/>
      <c r="O2036" s="140"/>
      <c r="P2036" s="205"/>
    </row>
    <row r="2037" s="61" customFormat="1" ht="25" customHeight="1" spans="1:16">
      <c r="A2037" s="271"/>
      <c r="B2037" s="27"/>
      <c r="C2037" s="27"/>
      <c r="D2037" s="27"/>
      <c r="E2037" s="272"/>
      <c r="F2037" s="163" t="s">
        <v>624</v>
      </c>
      <c r="G2037" s="41" t="s">
        <v>1989</v>
      </c>
      <c r="H2037" s="273" t="s">
        <v>5894</v>
      </c>
      <c r="I2037" s="163" t="s">
        <v>624</v>
      </c>
      <c r="J2037" s="31" t="str">
        <f>INDEX(数据元说明!A:F,MATCH(I2037,数据元说明!C:C,0),2)</f>
        <v>003014</v>
      </c>
      <c r="K2037" s="133" t="str">
        <f>INDEX(数据元说明!A:F,MATCH(I2037,数据元说明!C:C,0),5)</f>
        <v>遵循《GB/T 12406 表示货币和资金的代码》的字母代码，如CNY。上述文件所列币种无法涵盖的，允许银行自定义填报。多个币种合计折算为人民币（本外币合计）的，填报为BWB。</v>
      </c>
      <c r="L2037" s="31" t="str">
        <f>INDEX(数据元说明!A:F,MATCH(I2037,数据元说明!C:C,0),6)</f>
        <v>C3</v>
      </c>
      <c r="M2037" s="163" t="s">
        <v>5895</v>
      </c>
      <c r="N2037" s="33"/>
      <c r="O2037" s="99"/>
      <c r="P2037" s="41"/>
    </row>
    <row r="2038" s="61" customFormat="1" ht="25" customHeight="1" spans="1:16">
      <c r="A2038" s="271"/>
      <c r="B2038" s="27"/>
      <c r="C2038" s="27"/>
      <c r="D2038" s="27"/>
      <c r="E2038" s="272"/>
      <c r="F2038" s="163" t="s">
        <v>5820</v>
      </c>
      <c r="G2038" s="41" t="s">
        <v>5821</v>
      </c>
      <c r="H2038" s="273" t="s">
        <v>5896</v>
      </c>
      <c r="I2038" s="163" t="s">
        <v>570</v>
      </c>
      <c r="J2038" s="31" t="str">
        <f>INDEX(数据元说明!A:F,MATCH(I2038,数据元说明!C:C,0),2)</f>
        <v>003001</v>
      </c>
      <c r="K2038" s="133" t="str">
        <f>INDEX(数据元说明!A:F,MATCH(I2038,数据元说明!C:C,0),5)</f>
        <v>系统内最细一级的账号，无唯一性约束，不需要和序号、子序号等做拼接。</v>
      </c>
      <c r="L2038" s="31" t="str">
        <f>INDEX(数据元说明!A:F,MATCH(I2038,数据元说明!C:C,0),6)</f>
        <v>C..60</v>
      </c>
      <c r="M2038" s="224" t="s">
        <v>5897</v>
      </c>
      <c r="N2038" s="33"/>
      <c r="O2038" s="99"/>
      <c r="P2038" s="41"/>
    </row>
    <row r="2039" s="61" customFormat="1" ht="25" customHeight="1" spans="1:16">
      <c r="A2039" s="271"/>
      <c r="B2039" s="27"/>
      <c r="C2039" s="27"/>
      <c r="D2039" s="27"/>
      <c r="E2039" s="272"/>
      <c r="F2039" s="163" t="s">
        <v>453</v>
      </c>
      <c r="G2039" s="41" t="s">
        <v>1680</v>
      </c>
      <c r="H2039" s="273" t="s">
        <v>5898</v>
      </c>
      <c r="I2039" s="163" t="s">
        <v>453</v>
      </c>
      <c r="J2039" s="31" t="str">
        <f>INDEX(数据元说明!A:F,MATCH(I2039,数据元说明!C:C,0),2)</f>
        <v>002001</v>
      </c>
      <c r="K2039" s="133" t="str">
        <f>INDEX(数据元说明!A:F,MATCH(I2039,数据元说明!C:C,0),5)</f>
        <v>银行自定义的唯一识别客户的标识。供应链融资的填写供应链融资编码。</v>
      </c>
      <c r="L2039" s="31" t="str">
        <f>INDEX(数据元说明!A:F,MATCH(I2039,数据元说明!C:C,0),6)</f>
        <v>C..60</v>
      </c>
      <c r="M2039" s="163" t="s">
        <v>1697</v>
      </c>
      <c r="N2039" s="33"/>
      <c r="O2039" s="99"/>
      <c r="P2039" s="41"/>
    </row>
    <row r="2040" s="61" customFormat="1" ht="25" customHeight="1" spans="1:16">
      <c r="A2040" s="271"/>
      <c r="B2040" s="27"/>
      <c r="C2040" s="27"/>
      <c r="D2040" s="27"/>
      <c r="E2040" s="272"/>
      <c r="F2040" s="163" t="s">
        <v>1737</v>
      </c>
      <c r="G2040" s="41" t="s">
        <v>1738</v>
      </c>
      <c r="H2040" s="273" t="s">
        <v>5899</v>
      </c>
      <c r="I2040" s="163" t="s">
        <v>353</v>
      </c>
      <c r="J2040" s="31" t="str">
        <f>INDEX(数据元说明!A:F,MATCH(I2040,数据元说明!C:C,0),2)</f>
        <v>001017</v>
      </c>
      <c r="K2040" s="133" t="str">
        <f>INDEX(数据元说明!A:F,MATCH(I2040,数据元说明!C:C,0),5)</f>
        <v>姓名。</v>
      </c>
      <c r="L2040" s="31" t="str">
        <f>INDEX(数据元说明!A:F,MATCH(I2040,数据元说明!C:C,0),6)</f>
        <v>C..200</v>
      </c>
      <c r="M2040" s="163" t="s">
        <v>5900</v>
      </c>
      <c r="N2040" s="33"/>
      <c r="O2040" s="99"/>
      <c r="P2040" s="41"/>
    </row>
    <row r="2041" s="61" customFormat="1" ht="25" customHeight="1" spans="1:16">
      <c r="A2041" s="271"/>
      <c r="B2041" s="27"/>
      <c r="C2041" s="27"/>
      <c r="D2041" s="27"/>
      <c r="E2041" s="272"/>
      <c r="F2041" s="163" t="s">
        <v>5827</v>
      </c>
      <c r="G2041" s="41" t="s">
        <v>5828</v>
      </c>
      <c r="H2041" s="273" t="s">
        <v>5901</v>
      </c>
      <c r="I2041" s="163" t="s">
        <v>570</v>
      </c>
      <c r="J2041" s="31" t="str">
        <f>INDEX(数据元说明!A:F,MATCH(I2041,数据元说明!C:C,0),2)</f>
        <v>003001</v>
      </c>
      <c r="K2041" s="133" t="str">
        <f>INDEX(数据元说明!A:F,MATCH(I2041,数据元说明!C:C,0),5)</f>
        <v>系统内最细一级的账号，无唯一性约束，不需要和序号、子序号等做拼接。</v>
      </c>
      <c r="L2041" s="31" t="str">
        <f>INDEX(数据元说明!A:F,MATCH(I2041,数据元说明!C:C,0),6)</f>
        <v>C..60</v>
      </c>
      <c r="M2041" s="163" t="s">
        <v>1587</v>
      </c>
      <c r="N2041" s="33"/>
      <c r="O2041" s="99"/>
      <c r="P2041" s="41"/>
    </row>
    <row r="2042" s="81" customFormat="1" ht="26" customHeight="1" spans="1:16">
      <c r="A2042" s="270"/>
      <c r="B2042" s="91"/>
      <c r="C2042" s="91"/>
      <c r="D2042" s="91"/>
      <c r="E2042" s="235"/>
      <c r="F2042" s="224" t="s">
        <v>4983</v>
      </c>
      <c r="G2042" s="205" t="s">
        <v>4984</v>
      </c>
      <c r="H2042" s="277" t="s">
        <v>5902</v>
      </c>
      <c r="I2042" s="224" t="s">
        <v>1145</v>
      </c>
      <c r="J2042" s="406" t="str">
        <f>INDEX(数据元说明!A:F,MATCH(I2042,数据元说明!C:C,0),2)</f>
        <v>010013</v>
      </c>
      <c r="K2042" s="138" t="str">
        <f>INDEX(数据元说明!A:F,MATCH(I2042,数据元说明!C:C,0),5)</f>
        <v>发行机构在申报登记时赋予理财产品的代码，该代码在发行机构内部具有唯一性。</v>
      </c>
      <c r="L2042" s="136" t="str">
        <f>INDEX(数据元说明!A:F,MATCH(I2042,数据元说明!C:C,0),6)</f>
        <v>C..100</v>
      </c>
      <c r="M2042" s="224"/>
      <c r="N2042" s="139"/>
      <c r="O2042" s="140"/>
      <c r="P2042" s="205"/>
    </row>
    <row r="2043" s="61" customFormat="1" ht="24" customHeight="1" spans="1:16">
      <c r="A2043" s="271"/>
      <c r="B2043" s="27"/>
      <c r="C2043" s="27"/>
      <c r="D2043" s="27"/>
      <c r="E2043" s="272"/>
      <c r="F2043" s="163" t="s">
        <v>5853</v>
      </c>
      <c r="G2043" s="41" t="s">
        <v>5854</v>
      </c>
      <c r="H2043" s="273" t="s">
        <v>5903</v>
      </c>
      <c r="I2043" s="163" t="s">
        <v>739</v>
      </c>
      <c r="J2043" s="31" t="str">
        <f>INDEX(数据元说明!A:F,MATCH(I2043,数据元说明!C:C,0),2)</f>
        <v>005001</v>
      </c>
      <c r="K2043" s="133" t="str">
        <f>INDEX(数据元说明!A:F,MATCH(I2043,数据元说明!C:C,0),5)</f>
        <v>银行内部产品中文名称，银行自定义。</v>
      </c>
      <c r="L2043" s="31" t="str">
        <f>INDEX(数据元说明!A:F,MATCH(I2043,数据元说明!C:C,0),6)</f>
        <v>C..200</v>
      </c>
      <c r="M2043" s="163" t="s">
        <v>5904</v>
      </c>
      <c r="N2043" s="33"/>
      <c r="O2043" s="99"/>
      <c r="P2043" s="41"/>
    </row>
    <row r="2044" s="81" customFormat="1" ht="25" customHeight="1" spans="1:16">
      <c r="A2044" s="270"/>
      <c r="B2044" s="91"/>
      <c r="C2044" s="91"/>
      <c r="D2044" s="91"/>
      <c r="E2044" s="235"/>
      <c r="F2044" s="224" t="s">
        <v>1141</v>
      </c>
      <c r="G2044" s="205" t="s">
        <v>4980</v>
      </c>
      <c r="H2044" s="277" t="s">
        <v>5905</v>
      </c>
      <c r="I2044" s="224" t="s">
        <v>1141</v>
      </c>
      <c r="J2044" s="406" t="str">
        <f>INDEX(数据元说明!A:F,MATCH(I2044,数据元说明!C:C,0),2)</f>
        <v>010012</v>
      </c>
      <c r="K2044" s="138" t="str">
        <f>INDEX(数据元说明!A:F,MATCH(I2044,数据元说明!C:C,0),5)</f>
        <v>登记机构赋予理财产品的标识码，该码具有唯一性。</v>
      </c>
      <c r="L2044" s="136" t="str">
        <f>INDEX(数据元说明!A:F,MATCH(I2044,数据元说明!C:C,0),6)</f>
        <v>C..30</v>
      </c>
      <c r="M2044" s="224" t="s">
        <v>1587</v>
      </c>
      <c r="N2044" s="139"/>
      <c r="O2044" s="140"/>
      <c r="P2044" s="205"/>
    </row>
    <row r="2045" s="81" customFormat="1" ht="25" customHeight="1" spans="1:16">
      <c r="A2045" s="270"/>
      <c r="B2045" s="91"/>
      <c r="C2045" s="91"/>
      <c r="D2045" s="91"/>
      <c r="E2045" s="235"/>
      <c r="F2045" s="224" t="s">
        <v>5906</v>
      </c>
      <c r="G2045" s="205" t="s">
        <v>5907</v>
      </c>
      <c r="H2045" s="277" t="s">
        <v>5908</v>
      </c>
      <c r="I2045" s="224" t="s">
        <v>609</v>
      </c>
      <c r="J2045" s="136" t="str">
        <f>INDEX(数据元说明!A:F,MATCH(I2045,数据元说明!C:C,0),2)</f>
        <v>003010</v>
      </c>
      <c r="K2045" s="138" t="str">
        <f>INDEX(数据元说明!A:F,MATCH(I2045,数据元说明!C:C,0),5)</f>
        <v>与币种相对应金额。</v>
      </c>
      <c r="L2045" s="136" t="str">
        <f>INDEX(数据元说明!A:F,MATCH(I2045,数据元说明!C:C,0),6)</f>
        <v>D20.2</v>
      </c>
      <c r="M2045" s="224" t="s">
        <v>5909</v>
      </c>
      <c r="N2045" s="139"/>
      <c r="O2045" s="140"/>
      <c r="P2045" s="205"/>
    </row>
    <row r="2046" s="61" customFormat="1" ht="25" customHeight="1" spans="1:16">
      <c r="A2046" s="271"/>
      <c r="B2046" s="27"/>
      <c r="C2046" s="27"/>
      <c r="D2046" s="27"/>
      <c r="E2046" s="272"/>
      <c r="F2046" s="163" t="s">
        <v>4259</v>
      </c>
      <c r="G2046" s="41" t="s">
        <v>4563</v>
      </c>
      <c r="H2046" s="273" t="s">
        <v>5910</v>
      </c>
      <c r="I2046" s="163" t="s">
        <v>609</v>
      </c>
      <c r="J2046" s="31" t="str">
        <f>INDEX(数据元说明!A:F,MATCH(I2046,数据元说明!C:C,0),2)</f>
        <v>003010</v>
      </c>
      <c r="K2046" s="133" t="str">
        <f>INDEX(数据元说明!A:F,MATCH(I2046,数据元说明!C:C,0),5)</f>
        <v>与币种相对应金额。</v>
      </c>
      <c r="L2046" s="31" t="str">
        <f>INDEX(数据元说明!A:F,MATCH(I2046,数据元说明!C:C,0),6)</f>
        <v>D20.2</v>
      </c>
      <c r="M2046" s="163" t="s">
        <v>5911</v>
      </c>
      <c r="N2046" s="33"/>
      <c r="O2046" s="99"/>
      <c r="P2046" s="41"/>
    </row>
    <row r="2047" s="61" customFormat="1" ht="86" customHeight="1" spans="1:16">
      <c r="A2047" s="271"/>
      <c r="B2047" s="27"/>
      <c r="C2047" s="27"/>
      <c r="D2047" s="27"/>
      <c r="E2047" s="272"/>
      <c r="F2047" s="163" t="s">
        <v>4948</v>
      </c>
      <c r="G2047" s="41" t="s">
        <v>4949</v>
      </c>
      <c r="H2047" s="273" t="s">
        <v>5912</v>
      </c>
      <c r="I2047" s="163" t="s">
        <v>609</v>
      </c>
      <c r="J2047" s="31" t="str">
        <f>INDEX(数据元说明!A:F,MATCH(I2047,数据元说明!C:C,0),2)</f>
        <v>003010</v>
      </c>
      <c r="K2047" s="133" t="str">
        <f>INDEX(数据元说明!A:F,MATCH(I2047,数据元说明!C:C,0),5)</f>
        <v>与币种相对应金额。</v>
      </c>
      <c r="L2047" s="31" t="str">
        <f>INDEX(数据元说明!A:F,MATCH(I2047,数据元说明!C:C,0),6)</f>
        <v>D20.2</v>
      </c>
      <c r="M2047" s="163" t="s">
        <v>5913</v>
      </c>
      <c r="N2047" s="33"/>
      <c r="O2047" s="99"/>
      <c r="P2047" s="41"/>
    </row>
    <row r="2048" s="61" customFormat="1" ht="97" customHeight="1" spans="1:16">
      <c r="A2048" s="271"/>
      <c r="B2048" s="27"/>
      <c r="C2048" s="27"/>
      <c r="D2048" s="27"/>
      <c r="E2048" s="272"/>
      <c r="F2048" s="163" t="s">
        <v>4952</v>
      </c>
      <c r="G2048" s="41" t="s">
        <v>4953</v>
      </c>
      <c r="H2048" s="273" t="s">
        <v>5914</v>
      </c>
      <c r="I2048" s="163" t="s">
        <v>609</v>
      </c>
      <c r="J2048" s="31" t="str">
        <f>INDEX(数据元说明!A:F,MATCH(I2048,数据元说明!C:C,0),2)</f>
        <v>003010</v>
      </c>
      <c r="K2048" s="133" t="str">
        <f>INDEX(数据元说明!A:F,MATCH(I2048,数据元说明!C:C,0),5)</f>
        <v>与币种相对应金额。</v>
      </c>
      <c r="L2048" s="31" t="str">
        <f>INDEX(数据元说明!A:F,MATCH(I2048,数据元说明!C:C,0),6)</f>
        <v>D20.2</v>
      </c>
      <c r="M2048" s="274" t="s">
        <v>5915</v>
      </c>
      <c r="N2048" s="33"/>
      <c r="O2048" s="99"/>
      <c r="P2048" s="41"/>
    </row>
    <row r="2049" s="81" customFormat="1" ht="25" customHeight="1" spans="1:16">
      <c r="A2049" s="270"/>
      <c r="B2049" s="91"/>
      <c r="C2049" s="91"/>
      <c r="D2049" s="91"/>
      <c r="E2049" s="235"/>
      <c r="F2049" s="224" t="s">
        <v>4940</v>
      </c>
      <c r="G2049" s="205" t="s">
        <v>4941</v>
      </c>
      <c r="H2049" s="277" t="s">
        <v>5916</v>
      </c>
      <c r="I2049" s="224" t="s">
        <v>609</v>
      </c>
      <c r="J2049" s="136" t="str">
        <f>INDEX(数据元说明!A:F,MATCH(I2049,数据元说明!C:C,0),2)</f>
        <v>003010</v>
      </c>
      <c r="K2049" s="138" t="str">
        <f>INDEX(数据元说明!A:F,MATCH(I2049,数据元说明!C:C,0),5)</f>
        <v>与币种相对应金额。</v>
      </c>
      <c r="L2049" s="136" t="str">
        <f>INDEX(数据元说明!A:F,MATCH(I2049,数据元说明!C:C,0),6)</f>
        <v>D20.2</v>
      </c>
      <c r="M2049" s="224" t="s">
        <v>5917</v>
      </c>
      <c r="N2049" s="139"/>
      <c r="O2049" s="140"/>
      <c r="P2049" s="205"/>
    </row>
    <row r="2050" s="81" customFormat="1" ht="25" customHeight="1" spans="1:16">
      <c r="A2050" s="270"/>
      <c r="B2050" s="91"/>
      <c r="C2050" s="91"/>
      <c r="D2050" s="91"/>
      <c r="E2050" s="235"/>
      <c r="F2050" s="224" t="s">
        <v>5918</v>
      </c>
      <c r="G2050" s="205" t="s">
        <v>5919</v>
      </c>
      <c r="H2050" s="277" t="s">
        <v>5920</v>
      </c>
      <c r="I2050" s="224" t="s">
        <v>302</v>
      </c>
      <c r="J2050" s="136" t="str">
        <f>INDEX(数据元说明!A:F,MATCH(I2050,数据元说明!C:C,0),2)</f>
        <v>001005</v>
      </c>
      <c r="K2050" s="138" t="str">
        <f>INDEX(数据元说明!A:F,MATCH(I2050,数据元说明!C:C,0),5)</f>
        <v>YYYYMMDD，默认值99991231。</v>
      </c>
      <c r="L2050" s="136" t="str">
        <f>INDEX(数据元说明!A:F,MATCH(I2050,数据元说明!C:C,0),6)</f>
        <v>C8</v>
      </c>
      <c r="M2050" s="224" t="s">
        <v>5921</v>
      </c>
      <c r="N2050" s="139"/>
      <c r="O2050" s="140"/>
      <c r="P2050" s="205"/>
    </row>
    <row r="2051" s="81" customFormat="1" ht="25" customHeight="1" spans="1:16">
      <c r="A2051" s="270"/>
      <c r="B2051" s="91"/>
      <c r="C2051" s="91"/>
      <c r="D2051" s="91"/>
      <c r="E2051" s="235"/>
      <c r="F2051" s="224" t="s">
        <v>5922</v>
      </c>
      <c r="G2051" s="205" t="s">
        <v>5923</v>
      </c>
      <c r="H2051" s="277" t="s">
        <v>5924</v>
      </c>
      <c r="I2051" s="224" t="s">
        <v>302</v>
      </c>
      <c r="J2051" s="136" t="str">
        <f>INDEX(数据元说明!A:F,MATCH(I2051,数据元说明!C:C,0),2)</f>
        <v>001005</v>
      </c>
      <c r="K2051" s="138" t="str">
        <f>INDEX(数据元说明!A:F,MATCH(I2051,数据元说明!C:C,0),5)</f>
        <v>YYYYMMDD，默认值99991231。</v>
      </c>
      <c r="L2051" s="136" t="str">
        <f>INDEX(数据元说明!A:F,MATCH(I2051,数据元说明!C:C,0),6)</f>
        <v>C8</v>
      </c>
      <c r="M2051" s="224" t="s">
        <v>5925</v>
      </c>
      <c r="N2051" s="139"/>
      <c r="O2051" s="140"/>
      <c r="P2051" s="205"/>
    </row>
    <row r="2052" s="61" customFormat="1" ht="25" customHeight="1" spans="1:16">
      <c r="A2052" s="271"/>
      <c r="B2052" s="27"/>
      <c r="C2052" s="27"/>
      <c r="D2052" s="27"/>
      <c r="E2052" s="272"/>
      <c r="F2052" s="163" t="s">
        <v>2357</v>
      </c>
      <c r="G2052" s="41" t="s">
        <v>2358</v>
      </c>
      <c r="H2052" s="273" t="s">
        <v>5926</v>
      </c>
      <c r="I2052" s="163" t="s">
        <v>302</v>
      </c>
      <c r="J2052" s="31" t="str">
        <f>INDEX(数据元说明!A:F,MATCH(I2052,数据元说明!C:C,0),2)</f>
        <v>001005</v>
      </c>
      <c r="K2052" s="133" t="str">
        <f>INDEX(数据元说明!A:F,MATCH(I2052,数据元说明!C:C,0),5)</f>
        <v>YYYYMMDD，默认值99991231。</v>
      </c>
      <c r="L2052" s="31" t="str">
        <f>INDEX(数据元说明!A:F,MATCH(I2052,数据元说明!C:C,0),6)</f>
        <v>C8</v>
      </c>
      <c r="M2052" s="163" t="s">
        <v>5927</v>
      </c>
      <c r="N2052" s="33"/>
      <c r="O2052" s="99"/>
      <c r="P2052" s="41"/>
    </row>
    <row r="2053" s="81" customFormat="1" ht="25" customHeight="1" spans="1:16">
      <c r="A2053" s="270"/>
      <c r="B2053" s="91"/>
      <c r="C2053" s="91"/>
      <c r="D2053" s="91"/>
      <c r="E2053" s="235"/>
      <c r="F2053" s="224" t="s">
        <v>636</v>
      </c>
      <c r="G2053" s="205" t="s">
        <v>2366</v>
      </c>
      <c r="H2053" s="277" t="s">
        <v>5928</v>
      </c>
      <c r="I2053" s="224" t="s">
        <v>636</v>
      </c>
      <c r="J2053" s="136" t="str">
        <f>INDEX(数据元说明!A:F,MATCH(I2053,数据元说明!C:C,0),2)</f>
        <v>003017</v>
      </c>
      <c r="K2053" s="138" t="str">
        <f>INDEX(数据元说明!A:F,MATCH(I2053,数据元说明!C:C,0),5)</f>
        <v>正常，预销户，销户，逾期，冻结，止付，已转让，其他-银行自定义。无法以枚举类型填报的，以“其他-XX”填报，其中“XX”为银行自定义类型。</v>
      </c>
      <c r="L2053" s="136" t="str">
        <f>INDEX(数据元说明!A:F,MATCH(I2053,数据元说明!C:C,0),6)</f>
        <v>C..30</v>
      </c>
      <c r="M2053" s="224" t="s">
        <v>5929</v>
      </c>
      <c r="N2053" s="139"/>
      <c r="O2053" s="140"/>
      <c r="P2053" s="205"/>
    </row>
    <row r="2054" s="61" customFormat="1" ht="25" customHeight="1" spans="1:16">
      <c r="A2054" s="271"/>
      <c r="B2054" s="27"/>
      <c r="C2054" s="27"/>
      <c r="D2054" s="27"/>
      <c r="E2054" s="272"/>
      <c r="F2054" s="163" t="s">
        <v>1574</v>
      </c>
      <c r="G2054" s="41" t="s">
        <v>1575</v>
      </c>
      <c r="H2054" s="273" t="s">
        <v>5930</v>
      </c>
      <c r="I2054" s="163" t="s">
        <v>302</v>
      </c>
      <c r="J2054" s="31" t="str">
        <f>INDEX(数据元说明!A:F,MATCH(I2054,数据元说明!C:C,0),2)</f>
        <v>001005</v>
      </c>
      <c r="K2054" s="133" t="str">
        <f>INDEX(数据元说明!A:F,MATCH(I2054,数据元说明!C:C,0),5)</f>
        <v>YYYYMMDD，默认值99991231。</v>
      </c>
      <c r="L2054" s="31" t="str">
        <f>INDEX(数据元说明!A:F,MATCH(I2054,数据元说明!C:C,0),6)</f>
        <v>C8</v>
      </c>
      <c r="M2054" s="163" t="s">
        <v>1577</v>
      </c>
      <c r="N2054" s="33"/>
      <c r="O2054" s="99"/>
      <c r="P2054" s="41"/>
    </row>
    <row r="2055" ht="126" customHeight="1" spans="1:16">
      <c r="A2055" s="291" t="s">
        <v>5931</v>
      </c>
      <c r="B2055" s="292"/>
      <c r="C2055" s="292"/>
      <c r="D2055" s="292"/>
      <c r="E2055" s="292"/>
      <c r="F2055" s="293"/>
      <c r="G2055" s="292"/>
      <c r="H2055" s="293"/>
      <c r="I2055" s="293"/>
      <c r="J2055" s="292"/>
      <c r="K2055" s="293"/>
      <c r="L2055" s="292"/>
      <c r="M2055" s="293"/>
      <c r="N2055" s="294"/>
    </row>
  </sheetData>
  <autoFilter xmlns:etc="http://www.wps.cn/officeDocument/2017/etCustomData" ref="A4:P2055" etc:filterBottomFollowUsedRange="0">
    <extLst/>
  </autoFilter>
  <mergeCells count="18">
    <mergeCell ref="A2055:M2055"/>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A2:P3"/>
  </mergeCells>
  <printOptions horizontalCentered="1" verticalCentered="1"/>
  <pageMargins left="0.393055555555556" right="0.393055555555556" top="0.393055555555556" bottom="0.590277777777778" header="0" footer="0.393055555555556"/>
  <pageSetup paperSize="9" scale="41" fitToHeight="0" orientation="landscape" horizontalDpi="600"/>
  <headerFooter alignWithMargins="0">
    <oddFooter>&amp;C第 &amp;P 页，共 &amp;N 页</oddFooter>
  </headerFooter>
  <rowBreaks count="1" manualBreakCount="1">
    <brk id="542" max="15"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8"/>
  <sheetViews>
    <sheetView view="pageBreakPreview" zoomScaleNormal="100" topLeftCell="A19" workbookViewId="0">
      <selection activeCell="C60" sqref="C60"/>
    </sheetView>
  </sheetViews>
  <sheetFormatPr defaultColWidth="9" defaultRowHeight="17.6" outlineLevelCol="2"/>
  <cols>
    <col min="2" max="2" width="41.25" customWidth="1"/>
    <col min="3" max="3" width="42.125" customWidth="1"/>
  </cols>
  <sheetData>
    <row r="1" spans="1:3">
      <c r="A1" s="64" t="s">
        <v>5932</v>
      </c>
      <c r="B1" s="64"/>
      <c r="C1" s="64"/>
    </row>
    <row r="2" spans="1:3">
      <c r="A2" s="65"/>
      <c r="B2" s="65"/>
      <c r="C2" s="65"/>
    </row>
    <row r="3" spans="1:3">
      <c r="A3" s="66" t="s">
        <v>1206</v>
      </c>
      <c r="B3" s="67" t="s">
        <v>1210</v>
      </c>
      <c r="C3" s="68" t="s">
        <v>1214</v>
      </c>
    </row>
    <row r="4" spans="1:3">
      <c r="A4" s="69" t="s">
        <v>5933</v>
      </c>
      <c r="B4" s="70" t="s">
        <v>5934</v>
      </c>
      <c r="C4" s="71" t="s">
        <v>5935</v>
      </c>
    </row>
    <row r="5" spans="1:3">
      <c r="A5" s="69"/>
      <c r="B5" s="72"/>
      <c r="C5" s="71" t="s">
        <v>5936</v>
      </c>
    </row>
    <row r="6" spans="1:3">
      <c r="A6" s="69"/>
      <c r="B6" s="72"/>
      <c r="C6" s="71" t="s">
        <v>5937</v>
      </c>
    </row>
    <row r="7" spans="1:3">
      <c r="A7" s="69"/>
      <c r="B7" s="73"/>
      <c r="C7" s="71" t="s">
        <v>5938</v>
      </c>
    </row>
    <row r="8" spans="1:3">
      <c r="A8" s="69"/>
      <c r="B8" s="70" t="s">
        <v>5939</v>
      </c>
      <c r="C8" s="71" t="s">
        <v>5940</v>
      </c>
    </row>
    <row r="9" spans="1:3">
      <c r="A9" s="69"/>
      <c r="B9" s="72"/>
      <c r="C9" s="71" t="s">
        <v>5941</v>
      </c>
    </row>
    <row r="10" spans="1:3">
      <c r="A10" s="69"/>
      <c r="B10" s="72"/>
      <c r="C10" s="71" t="s">
        <v>5942</v>
      </c>
    </row>
    <row r="11" spans="1:3">
      <c r="A11" s="69"/>
      <c r="B11" s="73"/>
      <c r="C11" s="71" t="s">
        <v>5938</v>
      </c>
    </row>
    <row r="12" spans="1:3">
      <c r="A12" s="69"/>
      <c r="B12" s="71" t="s">
        <v>5943</v>
      </c>
      <c r="C12" s="71" t="s">
        <v>5944</v>
      </c>
    </row>
    <row r="13" spans="1:3">
      <c r="A13" s="69"/>
      <c r="B13" s="71"/>
      <c r="C13" s="71" t="s">
        <v>5945</v>
      </c>
    </row>
    <row r="14" spans="1:3">
      <c r="A14" s="69"/>
      <c r="B14" s="70" t="s">
        <v>5946</v>
      </c>
      <c r="C14" s="71" t="s">
        <v>5947</v>
      </c>
    </row>
    <row r="15" spans="1:3">
      <c r="A15" s="69"/>
      <c r="B15" s="73"/>
      <c r="C15" s="71" t="s">
        <v>5948</v>
      </c>
    </row>
    <row r="16" spans="1:3">
      <c r="A16" s="69"/>
      <c r="B16" s="71" t="s">
        <v>5949</v>
      </c>
      <c r="C16" s="71" t="s">
        <v>5950</v>
      </c>
    </row>
    <row r="17" spans="1:3">
      <c r="A17" s="69"/>
      <c r="B17" s="71"/>
      <c r="C17" s="71" t="s">
        <v>5951</v>
      </c>
    </row>
    <row r="18" spans="1:3">
      <c r="A18" s="69"/>
      <c r="B18" s="71" t="s">
        <v>5952</v>
      </c>
      <c r="C18" s="71" t="s">
        <v>5953</v>
      </c>
    </row>
    <row r="19" spans="1:3">
      <c r="A19" s="69"/>
      <c r="B19" s="71"/>
      <c r="C19" s="71" t="s">
        <v>5954</v>
      </c>
    </row>
    <row r="20" spans="1:3">
      <c r="A20" s="69"/>
      <c r="B20" s="71" t="s">
        <v>5955</v>
      </c>
      <c r="C20" s="71" t="s">
        <v>5956</v>
      </c>
    </row>
    <row r="21" spans="1:3">
      <c r="A21" s="69"/>
      <c r="B21" s="71"/>
      <c r="C21" s="71" t="s">
        <v>5957</v>
      </c>
    </row>
    <row r="22" spans="1:3">
      <c r="A22" s="69"/>
      <c r="B22" s="74" t="s">
        <v>5958</v>
      </c>
      <c r="C22" s="71" t="s">
        <v>5959</v>
      </c>
    </row>
    <row r="23" spans="1:3">
      <c r="A23" s="69"/>
      <c r="B23" s="74"/>
      <c r="C23" s="71" t="s">
        <v>5960</v>
      </c>
    </row>
    <row r="24" spans="1:3">
      <c r="A24" s="69"/>
      <c r="B24" s="75" t="s">
        <v>5961</v>
      </c>
      <c r="C24" s="71" t="s">
        <v>5962</v>
      </c>
    </row>
    <row r="25" spans="1:3">
      <c r="A25" s="69"/>
      <c r="B25" s="76"/>
      <c r="C25" s="71" t="s">
        <v>5963</v>
      </c>
    </row>
    <row r="26" spans="1:3">
      <c r="A26" s="69"/>
      <c r="B26" s="76"/>
      <c r="C26" s="71" t="s">
        <v>5964</v>
      </c>
    </row>
    <row r="27" spans="1:3">
      <c r="A27" s="69"/>
      <c r="B27" s="76"/>
      <c r="C27" s="70" t="s">
        <v>5938</v>
      </c>
    </row>
    <row r="28" customFormat="1" spans="1:3">
      <c r="A28" s="69"/>
      <c r="B28" s="74" t="s">
        <v>5965</v>
      </c>
      <c r="C28" s="70" t="s">
        <v>5966</v>
      </c>
    </row>
    <row r="29" spans="1:3">
      <c r="A29" s="77"/>
      <c r="B29" s="74"/>
      <c r="C29" s="78" t="s">
        <v>5967</v>
      </c>
    </row>
    <row r="30" spans="1:3">
      <c r="A30" s="79" t="s">
        <v>5968</v>
      </c>
      <c r="B30" s="72" t="s">
        <v>5969</v>
      </c>
      <c r="C30" s="73" t="s">
        <v>5970</v>
      </c>
    </row>
    <row r="31" spans="1:3">
      <c r="A31" s="77"/>
      <c r="B31" s="72"/>
      <c r="C31" s="71" t="s">
        <v>5971</v>
      </c>
    </row>
    <row r="32" spans="1:3">
      <c r="A32" s="77"/>
      <c r="B32" s="72"/>
      <c r="C32" s="71" t="s">
        <v>5972</v>
      </c>
    </row>
    <row r="33" spans="1:3">
      <c r="A33" s="77"/>
      <c r="B33" s="72"/>
      <c r="C33" s="71" t="s">
        <v>5973</v>
      </c>
    </row>
    <row r="34" spans="1:3">
      <c r="A34" s="77"/>
      <c r="B34" s="72"/>
      <c r="C34" s="71" t="s">
        <v>5974</v>
      </c>
    </row>
    <row r="35" spans="1:3">
      <c r="A35" s="77"/>
      <c r="B35" s="72"/>
      <c r="C35" s="71" t="s">
        <v>5975</v>
      </c>
    </row>
    <row r="36" spans="1:3">
      <c r="A36" s="77"/>
      <c r="B36" s="72"/>
      <c r="C36" s="71" t="s">
        <v>5976</v>
      </c>
    </row>
    <row r="37" spans="1:3">
      <c r="A37" s="77"/>
      <c r="B37" s="72"/>
      <c r="C37" s="71" t="s">
        <v>5977</v>
      </c>
    </row>
    <row r="38" spans="1:3">
      <c r="A38" s="77"/>
      <c r="B38" s="72"/>
      <c r="C38" s="71" t="s">
        <v>5978</v>
      </c>
    </row>
    <row r="39" spans="1:3">
      <c r="A39" s="77"/>
      <c r="B39" s="72"/>
      <c r="C39" s="71" t="s">
        <v>5979</v>
      </c>
    </row>
    <row r="40" spans="1:3">
      <c r="A40" s="77"/>
      <c r="B40" s="72"/>
      <c r="C40" s="71" t="s">
        <v>5980</v>
      </c>
    </row>
    <row r="41" spans="1:3">
      <c r="A41" s="77"/>
      <c r="B41" s="73"/>
      <c r="C41" s="71" t="s">
        <v>5938</v>
      </c>
    </row>
    <row r="42" spans="1:3">
      <c r="A42" s="77"/>
      <c r="B42" s="71" t="s">
        <v>5981</v>
      </c>
      <c r="C42" s="71" t="s">
        <v>5982</v>
      </c>
    </row>
    <row r="43" spans="1:3">
      <c r="A43" s="77"/>
      <c r="B43" s="71"/>
      <c r="C43" s="71" t="s">
        <v>5983</v>
      </c>
    </row>
    <row r="44" spans="1:3">
      <c r="A44" s="77"/>
      <c r="B44" s="71"/>
      <c r="C44" s="71" t="s">
        <v>5984</v>
      </c>
    </row>
    <row r="45" spans="1:3">
      <c r="A45" s="77"/>
      <c r="B45" s="71"/>
      <c r="C45" s="71" t="s">
        <v>5938</v>
      </c>
    </row>
    <row r="46" spans="1:3">
      <c r="A46" s="77"/>
      <c r="B46" s="71" t="s">
        <v>5985</v>
      </c>
      <c r="C46" s="71" t="s">
        <v>5986</v>
      </c>
    </row>
    <row r="47" spans="1:3">
      <c r="A47" s="77"/>
      <c r="B47" s="71"/>
      <c r="C47" s="71" t="s">
        <v>5987</v>
      </c>
    </row>
    <row r="48" spans="1:3">
      <c r="A48" s="77"/>
      <c r="B48" s="71"/>
      <c r="C48" s="71" t="s">
        <v>5988</v>
      </c>
    </row>
    <row r="49" spans="1:3">
      <c r="A49" s="77"/>
      <c r="B49" s="71"/>
      <c r="C49" s="71" t="s">
        <v>5989</v>
      </c>
    </row>
    <row r="50" spans="1:3">
      <c r="A50" s="77"/>
      <c r="B50" s="71"/>
      <c r="C50" s="71" t="s">
        <v>5990</v>
      </c>
    </row>
    <row r="51" spans="1:3">
      <c r="A51" s="77"/>
      <c r="B51" s="71"/>
      <c r="C51" s="71" t="s">
        <v>5938</v>
      </c>
    </row>
    <row r="52" spans="1:3">
      <c r="A52" s="77"/>
      <c r="B52" s="71" t="s">
        <v>5991</v>
      </c>
      <c r="C52" s="71" t="s">
        <v>5992</v>
      </c>
    </row>
    <row r="53" spans="1:3">
      <c r="A53" s="77"/>
      <c r="B53" s="71"/>
      <c r="C53" s="71" t="s">
        <v>5993</v>
      </c>
    </row>
    <row r="54" spans="1:3">
      <c r="A54" s="77"/>
      <c r="B54" s="71"/>
      <c r="C54" s="71" t="s">
        <v>5994</v>
      </c>
    </row>
    <row r="55" spans="1:3">
      <c r="A55" s="77"/>
      <c r="B55" s="71"/>
      <c r="C55" s="71" t="s">
        <v>5938</v>
      </c>
    </row>
    <row r="56" spans="1:3">
      <c r="A56" s="77"/>
      <c r="B56" s="71" t="s">
        <v>5995</v>
      </c>
      <c r="C56" s="71" t="s">
        <v>5996</v>
      </c>
    </row>
    <row r="57" spans="1:3">
      <c r="A57" s="77"/>
      <c r="B57" s="71"/>
      <c r="C57" s="71" t="s">
        <v>5997</v>
      </c>
    </row>
    <row r="58" spans="1:3">
      <c r="A58" s="77"/>
      <c r="B58" s="71"/>
      <c r="C58" s="71" t="s">
        <v>5998</v>
      </c>
    </row>
    <row r="59" spans="1:3">
      <c r="A59" s="77"/>
      <c r="B59" s="71"/>
      <c r="C59" s="71" t="s">
        <v>5999</v>
      </c>
    </row>
    <row r="60" spans="1:3">
      <c r="A60" s="77"/>
      <c r="B60" s="71"/>
      <c r="C60" s="71" t="s">
        <v>6000</v>
      </c>
    </row>
    <row r="61" spans="1:3">
      <c r="A61" s="77"/>
      <c r="B61" s="71"/>
      <c r="C61" s="71" t="s">
        <v>5938</v>
      </c>
    </row>
    <row r="62" spans="1:3">
      <c r="A62" s="77"/>
      <c r="B62" s="71" t="s">
        <v>6001</v>
      </c>
      <c r="C62" s="71" t="s">
        <v>6002</v>
      </c>
    </row>
    <row r="63" spans="1:3">
      <c r="A63" s="77"/>
      <c r="B63" s="71"/>
      <c r="C63" s="71" t="s">
        <v>6003</v>
      </c>
    </row>
    <row r="64" spans="1:3">
      <c r="A64" s="77"/>
      <c r="B64" s="71"/>
      <c r="C64" s="71" t="s">
        <v>6004</v>
      </c>
    </row>
    <row r="65" spans="1:3">
      <c r="A65" s="77"/>
      <c r="B65" s="71"/>
      <c r="C65" s="71" t="s">
        <v>6005</v>
      </c>
    </row>
    <row r="66" spans="1:3">
      <c r="A66" s="77"/>
      <c r="B66" s="71"/>
      <c r="C66" s="71" t="s">
        <v>6006</v>
      </c>
    </row>
    <row r="67" spans="1:3">
      <c r="A67" s="77"/>
      <c r="B67" s="71"/>
      <c r="C67" s="71" t="s">
        <v>5938</v>
      </c>
    </row>
    <row r="68" ht="41" customHeight="1" spans="1:3">
      <c r="A68" s="77" t="s">
        <v>6007</v>
      </c>
      <c r="B68" s="80" t="s">
        <v>6008</v>
      </c>
      <c r="C68" s="80" t="s">
        <v>6009</v>
      </c>
    </row>
  </sheetData>
  <mergeCells count="19">
    <mergeCell ref="A4:A29"/>
    <mergeCell ref="A30:A67"/>
    <mergeCell ref="B4:B7"/>
    <mergeCell ref="B8:B11"/>
    <mergeCell ref="B12:B13"/>
    <mergeCell ref="B14:B15"/>
    <mergeCell ref="B16:B17"/>
    <mergeCell ref="B18:B19"/>
    <mergeCell ref="B20:B21"/>
    <mergeCell ref="B22:B23"/>
    <mergeCell ref="B24:B27"/>
    <mergeCell ref="B28:B29"/>
    <mergeCell ref="B30:B41"/>
    <mergeCell ref="B42:B45"/>
    <mergeCell ref="B46:B51"/>
    <mergeCell ref="B52:B55"/>
    <mergeCell ref="B56:B61"/>
    <mergeCell ref="B62:B67"/>
    <mergeCell ref="A1:C2"/>
  </mergeCell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4"/>
  <sheetViews>
    <sheetView workbookViewId="0">
      <selection activeCell="J6" sqref="J6"/>
    </sheetView>
  </sheetViews>
  <sheetFormatPr defaultColWidth="9" defaultRowHeight="17.6"/>
  <cols>
    <col min="1" max="1" width="15.75" style="2" customWidth="1"/>
    <col min="2" max="2" width="27.375" style="2" customWidth="1"/>
    <col min="3" max="3" width="20.625" style="2" customWidth="1"/>
    <col min="4" max="4" width="11.5" style="2" customWidth="1"/>
    <col min="5" max="5" width="19.375" style="2" customWidth="1"/>
    <col min="6" max="6" width="11.5" style="2" customWidth="1"/>
    <col min="7" max="7" width="32.75" style="2" customWidth="1"/>
    <col min="8" max="8" width="7.875" style="2" customWidth="1"/>
    <col min="9" max="9" width="11.125" style="2" customWidth="1"/>
    <col min="10" max="10" width="24.25" style="2" customWidth="1"/>
    <col min="11" max="16384" width="9" style="2"/>
  </cols>
  <sheetData>
    <row r="1" s="1" customFormat="1" spans="1:10">
      <c r="A1" s="8" t="s">
        <v>6010</v>
      </c>
      <c r="B1" s="9"/>
      <c r="C1" s="9"/>
      <c r="D1" s="9"/>
      <c r="E1" s="9"/>
      <c r="F1" s="9"/>
      <c r="G1" s="9"/>
      <c r="H1" s="9"/>
      <c r="I1" s="9"/>
      <c r="J1" s="10"/>
    </row>
    <row r="2" s="1" customFormat="1" spans="1:10">
      <c r="A2" s="11"/>
      <c r="B2" s="12"/>
      <c r="C2" s="12"/>
      <c r="D2" s="12"/>
      <c r="E2" s="12"/>
      <c r="F2" s="12"/>
      <c r="G2" s="12"/>
      <c r="H2" s="12"/>
      <c r="I2" s="12"/>
      <c r="J2" s="13"/>
    </row>
    <row r="3" s="1" customFormat="1" spans="1:10">
      <c r="A3" s="14" t="s">
        <v>1512</v>
      </c>
      <c r="B3" s="15" t="s">
        <v>20</v>
      </c>
      <c r="C3" s="16" t="s">
        <v>1513</v>
      </c>
      <c r="D3" s="15" t="s">
        <v>1514</v>
      </c>
      <c r="E3" s="15" t="s">
        <v>1516</v>
      </c>
      <c r="F3" s="15" t="s">
        <v>277</v>
      </c>
      <c r="G3" s="15" t="s">
        <v>275</v>
      </c>
      <c r="H3" s="15" t="s">
        <v>280</v>
      </c>
      <c r="I3" s="16" t="s">
        <v>1517</v>
      </c>
      <c r="J3" s="17" t="s">
        <v>6011</v>
      </c>
    </row>
    <row r="4" s="1" customFormat="1" spans="1:10">
      <c r="A4" s="14"/>
      <c r="B4" s="15"/>
      <c r="C4" s="15"/>
      <c r="D4" s="15"/>
      <c r="E4" s="15"/>
      <c r="F4" s="15"/>
      <c r="G4" s="15"/>
      <c r="H4" s="15"/>
      <c r="I4" s="16"/>
      <c r="J4" s="18"/>
    </row>
    <row r="5" s="1" customFormat="1" ht="18" spans="1:10">
      <c r="A5" s="19"/>
      <c r="B5" s="20" t="s">
        <v>6012</v>
      </c>
      <c r="C5" s="15"/>
      <c r="D5" s="15"/>
      <c r="E5" s="15"/>
      <c r="F5" s="15"/>
      <c r="G5" s="15"/>
      <c r="H5" s="15"/>
      <c r="I5" s="16"/>
      <c r="J5" s="18"/>
    </row>
    <row r="6" s="1" customFormat="1" ht="159" spans="1:10">
      <c r="A6" s="14"/>
      <c r="B6" s="15"/>
      <c r="C6" s="16" t="s">
        <v>6013</v>
      </c>
      <c r="D6" s="15"/>
      <c r="E6" s="15"/>
      <c r="F6" s="15"/>
      <c r="G6" s="15"/>
      <c r="H6" s="15"/>
      <c r="I6" s="21" t="s">
        <v>6014</v>
      </c>
      <c r="J6" s="22" t="s">
        <v>6015</v>
      </c>
    </row>
    <row r="7" s="1" customFormat="1" ht="46" customHeight="1" spans="1:10">
      <c r="A7" s="14"/>
      <c r="B7" s="15"/>
      <c r="C7" s="15" t="s">
        <v>6016</v>
      </c>
      <c r="D7" s="16" t="s">
        <v>6017</v>
      </c>
      <c r="E7" s="15" t="s">
        <v>333</v>
      </c>
      <c r="F7" s="15" t="s">
        <v>328</v>
      </c>
      <c r="G7" s="15" t="s">
        <v>335</v>
      </c>
      <c r="H7" s="15" t="s">
        <v>323</v>
      </c>
      <c r="I7" s="21" t="s">
        <v>6014</v>
      </c>
      <c r="J7" s="23" t="s">
        <v>6018</v>
      </c>
    </row>
    <row r="8" s="1" customFormat="1" ht="36" spans="1:10">
      <c r="A8" s="19"/>
      <c r="B8" s="20" t="s">
        <v>6019</v>
      </c>
      <c r="C8" s="15"/>
      <c r="D8" s="15"/>
      <c r="E8" s="15"/>
      <c r="F8" s="15"/>
      <c r="G8" s="15"/>
      <c r="H8" s="15"/>
      <c r="I8" s="16"/>
      <c r="J8" s="18"/>
    </row>
    <row r="9" s="1" customFormat="1" ht="66" customHeight="1" spans="1:10">
      <c r="A9" s="14"/>
      <c r="B9" s="16"/>
      <c r="C9" s="16" t="s">
        <v>6020</v>
      </c>
      <c r="D9" s="15" t="s">
        <v>6021</v>
      </c>
      <c r="E9" s="15" t="s">
        <v>6020</v>
      </c>
      <c r="F9" s="412" t="s">
        <v>1213</v>
      </c>
      <c r="G9" s="15" t="s">
        <v>6022</v>
      </c>
      <c r="H9" s="15" t="s">
        <v>622</v>
      </c>
      <c r="I9" s="21" t="s">
        <v>6014</v>
      </c>
      <c r="J9" s="23" t="s">
        <v>6023</v>
      </c>
    </row>
    <row r="10" s="1" customFormat="1" ht="66" customHeight="1" spans="1:10">
      <c r="A10" s="14"/>
      <c r="B10" s="16"/>
      <c r="C10" s="16" t="s">
        <v>751</v>
      </c>
      <c r="D10" s="15" t="s">
        <v>6024</v>
      </c>
      <c r="E10" s="15" t="s">
        <v>751</v>
      </c>
      <c r="F10" s="15" t="s">
        <v>746</v>
      </c>
      <c r="G10" s="15" t="s">
        <v>753</v>
      </c>
      <c r="H10" s="15" t="s">
        <v>754</v>
      </c>
      <c r="I10" s="21" t="s">
        <v>6014</v>
      </c>
      <c r="J10" s="23" t="s">
        <v>6023</v>
      </c>
    </row>
    <row r="11" s="1" customFormat="1" ht="66" customHeight="1" spans="1:10">
      <c r="A11" s="14"/>
      <c r="B11" s="16"/>
      <c r="C11" s="16" t="s">
        <v>6025</v>
      </c>
      <c r="D11" s="15" t="s">
        <v>6026</v>
      </c>
      <c r="E11" s="15" t="s">
        <v>287</v>
      </c>
      <c r="F11" s="15" t="s">
        <v>286</v>
      </c>
      <c r="G11" s="15" t="s">
        <v>289</v>
      </c>
      <c r="H11" s="15" t="s">
        <v>6027</v>
      </c>
      <c r="I11" s="21" t="s">
        <v>6014</v>
      </c>
      <c r="J11" s="23" t="s">
        <v>6028</v>
      </c>
    </row>
    <row r="12" s="1" customFormat="1" spans="1:10">
      <c r="A12" s="19" t="s">
        <v>21</v>
      </c>
      <c r="B12" s="24" t="s">
        <v>22</v>
      </c>
      <c r="C12" s="25"/>
      <c r="D12" s="15"/>
      <c r="E12" s="15"/>
      <c r="F12" s="15"/>
      <c r="G12" s="15"/>
      <c r="H12" s="15"/>
      <c r="I12" s="16"/>
      <c r="J12" s="18"/>
    </row>
    <row r="13" s="1" customFormat="1" ht="36" spans="1:10">
      <c r="A13" s="14"/>
      <c r="B13" s="15"/>
      <c r="C13" s="16" t="s">
        <v>6029</v>
      </c>
      <c r="D13" s="15" t="s">
        <v>6030</v>
      </c>
      <c r="E13" s="15" t="s">
        <v>312</v>
      </c>
      <c r="F13" s="15" t="s">
        <v>311</v>
      </c>
      <c r="G13" s="15" t="s">
        <v>314</v>
      </c>
      <c r="H13" s="15" t="s">
        <v>6031</v>
      </c>
      <c r="I13" s="21" t="s">
        <v>6014</v>
      </c>
      <c r="J13" s="23" t="s">
        <v>6032</v>
      </c>
    </row>
    <row r="14" s="1" customFormat="1" ht="36" spans="1:10">
      <c r="A14" s="14"/>
      <c r="B14" s="15"/>
      <c r="C14" s="16" t="s">
        <v>6033</v>
      </c>
      <c r="D14" s="15" t="s">
        <v>6034</v>
      </c>
      <c r="E14" s="15" t="s">
        <v>312</v>
      </c>
      <c r="F14" s="15" t="s">
        <v>311</v>
      </c>
      <c r="G14" s="15" t="s">
        <v>314</v>
      </c>
      <c r="H14" s="15" t="s">
        <v>6031</v>
      </c>
      <c r="I14" s="21" t="s">
        <v>6014</v>
      </c>
      <c r="J14" s="23" t="s">
        <v>6032</v>
      </c>
    </row>
    <row r="15" s="1" customFormat="1" ht="36" spans="1:10">
      <c r="A15" s="14"/>
      <c r="B15" s="15"/>
      <c r="C15" s="16" t="s">
        <v>341</v>
      </c>
      <c r="D15" s="15" t="s">
        <v>6035</v>
      </c>
      <c r="E15" s="15" t="s">
        <v>341</v>
      </c>
      <c r="F15" s="15" t="s">
        <v>336</v>
      </c>
      <c r="G15" s="15" t="s">
        <v>343</v>
      </c>
      <c r="H15" s="15" t="s">
        <v>310</v>
      </c>
      <c r="I15" s="21" t="s">
        <v>6014</v>
      </c>
      <c r="J15" s="23" t="s">
        <v>6036</v>
      </c>
    </row>
    <row r="16" s="1" customFormat="1" ht="36" spans="1:10">
      <c r="A16" s="14"/>
      <c r="B16" s="15"/>
      <c r="C16" s="16" t="s">
        <v>6037</v>
      </c>
      <c r="D16" s="15" t="s">
        <v>6038</v>
      </c>
      <c r="E16" s="15" t="s">
        <v>6037</v>
      </c>
      <c r="F16" s="15" t="s">
        <v>340</v>
      </c>
      <c r="G16" s="15" t="s">
        <v>6039</v>
      </c>
      <c r="H16" s="15" t="s">
        <v>323</v>
      </c>
      <c r="I16" s="21" t="s">
        <v>6014</v>
      </c>
      <c r="J16" s="23" t="s">
        <v>6040</v>
      </c>
    </row>
    <row r="17" s="1" customFormat="1" spans="1:10">
      <c r="A17" s="19" t="s">
        <v>26</v>
      </c>
      <c r="B17" s="24" t="s">
        <v>27</v>
      </c>
      <c r="C17" s="16"/>
      <c r="D17" s="15"/>
      <c r="E17" s="15"/>
      <c r="F17" s="15"/>
      <c r="G17" s="15"/>
      <c r="H17" s="15"/>
      <c r="I17" s="21"/>
      <c r="J17" s="21"/>
    </row>
    <row r="18" s="1" customFormat="1" ht="36" spans="1:10">
      <c r="A18" s="14"/>
      <c r="B18" s="15"/>
      <c r="C18" s="16" t="s">
        <v>362</v>
      </c>
      <c r="D18" s="15" t="s">
        <v>1781</v>
      </c>
      <c r="E18" s="15" t="s">
        <v>362</v>
      </c>
      <c r="F18" s="15" t="s">
        <v>361</v>
      </c>
      <c r="G18" s="15" t="s">
        <v>360</v>
      </c>
      <c r="H18" s="15" t="s">
        <v>385</v>
      </c>
      <c r="I18" s="21" t="s">
        <v>6014</v>
      </c>
      <c r="J18" s="23" t="s">
        <v>6041</v>
      </c>
    </row>
    <row r="19" s="1" customFormat="1" ht="36" spans="1:10">
      <c r="A19" s="14"/>
      <c r="B19" s="15"/>
      <c r="C19" s="16" t="s">
        <v>6037</v>
      </c>
      <c r="D19" s="15" t="s">
        <v>6038</v>
      </c>
      <c r="E19" s="15" t="s">
        <v>6037</v>
      </c>
      <c r="F19" s="15" t="s">
        <v>340</v>
      </c>
      <c r="G19" s="15" t="s">
        <v>6039</v>
      </c>
      <c r="H19" s="15" t="s">
        <v>323</v>
      </c>
      <c r="I19" s="21" t="s">
        <v>6014</v>
      </c>
      <c r="J19" s="23" t="s">
        <v>6040</v>
      </c>
    </row>
    <row r="20" s="1" customFormat="1" spans="1:10">
      <c r="A20" s="19" t="s">
        <v>6042</v>
      </c>
      <c r="B20" s="24" t="s">
        <v>6043</v>
      </c>
      <c r="C20" s="16"/>
      <c r="D20" s="15"/>
      <c r="E20" s="15"/>
      <c r="F20" s="15"/>
      <c r="G20" s="15"/>
      <c r="H20" s="15"/>
      <c r="I20" s="21"/>
      <c r="J20" s="21"/>
    </row>
    <row r="21" s="1" customFormat="1" ht="36" spans="1:10">
      <c r="A21" s="14"/>
      <c r="B21" s="15"/>
      <c r="C21" s="16" t="s">
        <v>6044</v>
      </c>
      <c r="D21" s="15" t="s">
        <v>6045</v>
      </c>
      <c r="E21" s="15" t="s">
        <v>353</v>
      </c>
      <c r="F21" s="15" t="s">
        <v>348</v>
      </c>
      <c r="G21" s="15" t="s">
        <v>355</v>
      </c>
      <c r="H21" s="15" t="s">
        <v>518</v>
      </c>
      <c r="I21" s="21" t="s">
        <v>6014</v>
      </c>
      <c r="J21" s="23" t="s">
        <v>6046</v>
      </c>
    </row>
    <row r="22" s="1" customFormat="1" ht="33" customHeight="1" spans="1:10">
      <c r="A22" s="14"/>
      <c r="B22" s="15"/>
      <c r="C22" s="16" t="s">
        <v>6047</v>
      </c>
      <c r="D22" s="15" t="s">
        <v>6048</v>
      </c>
      <c r="E22" s="15" t="s">
        <v>457</v>
      </c>
      <c r="F22" s="15" t="s">
        <v>456</v>
      </c>
      <c r="G22" s="15" t="s">
        <v>6049</v>
      </c>
      <c r="H22" s="15" t="s">
        <v>385</v>
      </c>
      <c r="I22" s="21" t="s">
        <v>6014</v>
      </c>
      <c r="J22" s="23" t="s">
        <v>6046</v>
      </c>
    </row>
    <row r="23" s="1" customFormat="1" ht="53" spans="1:10">
      <c r="A23" s="14"/>
      <c r="B23" s="15"/>
      <c r="C23" s="16" t="s">
        <v>6050</v>
      </c>
      <c r="D23" s="15" t="s">
        <v>6051</v>
      </c>
      <c r="E23" s="15" t="s">
        <v>461</v>
      </c>
      <c r="F23" s="15" t="s">
        <v>460</v>
      </c>
      <c r="G23" s="15" t="s">
        <v>6052</v>
      </c>
      <c r="H23" s="15" t="s">
        <v>464</v>
      </c>
      <c r="I23" s="21" t="s">
        <v>6014</v>
      </c>
      <c r="J23" s="23" t="s">
        <v>6046</v>
      </c>
    </row>
    <row r="24" spans="1:10">
      <c r="A24" s="19" t="s">
        <v>6053</v>
      </c>
      <c r="B24" s="24" t="s">
        <v>6054</v>
      </c>
      <c r="C24" s="21"/>
      <c r="D24" s="21"/>
      <c r="E24" s="21"/>
      <c r="F24" s="21"/>
      <c r="G24" s="21"/>
      <c r="H24" s="21"/>
      <c r="I24" s="21"/>
      <c r="J24" s="21"/>
    </row>
    <row r="25" ht="36" spans="1:10">
      <c r="A25" s="25"/>
      <c r="B25" s="26"/>
      <c r="C25" s="21" t="s">
        <v>6055</v>
      </c>
      <c r="D25" s="21" t="s">
        <v>6056</v>
      </c>
      <c r="E25" s="21" t="s">
        <v>6055</v>
      </c>
      <c r="F25" s="21" t="s">
        <v>456</v>
      </c>
      <c r="G25" s="21" t="s">
        <v>6057</v>
      </c>
      <c r="H25" s="21" t="s">
        <v>356</v>
      </c>
      <c r="I25" s="21" t="s">
        <v>6014</v>
      </c>
      <c r="J25" s="23" t="s">
        <v>6032</v>
      </c>
    </row>
    <row r="26" ht="53" spans="1:10">
      <c r="A26" s="21"/>
      <c r="B26" s="21"/>
      <c r="C26" s="21" t="s">
        <v>6058</v>
      </c>
      <c r="D26" s="27" t="s">
        <v>6059</v>
      </c>
      <c r="E26" s="21" t="s">
        <v>453</v>
      </c>
      <c r="F26" s="413" t="s">
        <v>452</v>
      </c>
      <c r="G26" s="21" t="s">
        <v>455</v>
      </c>
      <c r="H26" s="27" t="s">
        <v>385</v>
      </c>
      <c r="I26" s="21" t="s">
        <v>6014</v>
      </c>
      <c r="J26" s="23" t="s">
        <v>6032</v>
      </c>
    </row>
    <row r="27" ht="36" spans="1:10">
      <c r="A27" s="21"/>
      <c r="B27" s="21"/>
      <c r="C27" s="28" t="s">
        <v>6060</v>
      </c>
      <c r="D27" s="29" t="s">
        <v>6061</v>
      </c>
      <c r="E27" s="28" t="s">
        <v>6060</v>
      </c>
      <c r="F27" s="29" t="s">
        <v>469</v>
      </c>
      <c r="G27" s="30" t="s">
        <v>6062</v>
      </c>
      <c r="H27" s="27" t="s">
        <v>518</v>
      </c>
      <c r="I27" s="21" t="s">
        <v>6014</v>
      </c>
      <c r="J27" s="23" t="s">
        <v>6032</v>
      </c>
    </row>
    <row r="28" ht="29" customHeight="1" spans="1:10">
      <c r="A28" s="21"/>
      <c r="B28" s="21"/>
      <c r="C28" s="28" t="s">
        <v>6063</v>
      </c>
      <c r="D28" s="29" t="s">
        <v>6064</v>
      </c>
      <c r="E28" s="28" t="s">
        <v>316</v>
      </c>
      <c r="F28" s="29" t="s">
        <v>311</v>
      </c>
      <c r="G28" s="30" t="s">
        <v>6065</v>
      </c>
      <c r="H28" s="27" t="s">
        <v>285</v>
      </c>
      <c r="I28" s="21" t="s">
        <v>6014</v>
      </c>
      <c r="J28" s="23" t="s">
        <v>6032</v>
      </c>
    </row>
    <row r="29" ht="36" spans="1:10">
      <c r="A29" s="21"/>
      <c r="B29" s="21"/>
      <c r="C29" s="28" t="s">
        <v>6066</v>
      </c>
      <c r="D29" s="29" t="s">
        <v>6067</v>
      </c>
      <c r="E29" s="28" t="s">
        <v>320</v>
      </c>
      <c r="F29" s="29" t="s">
        <v>324</v>
      </c>
      <c r="G29" s="30" t="s">
        <v>377</v>
      </c>
      <c r="H29" s="27" t="s">
        <v>323</v>
      </c>
      <c r="I29" s="21" t="s">
        <v>6014</v>
      </c>
      <c r="J29" s="23" t="s">
        <v>6068</v>
      </c>
    </row>
    <row r="30" ht="36" spans="1:10">
      <c r="A30" s="21"/>
      <c r="B30" s="21"/>
      <c r="C30" s="28" t="s">
        <v>6069</v>
      </c>
      <c r="D30" s="29" t="s">
        <v>6070</v>
      </c>
      <c r="E30" s="28" t="s">
        <v>320</v>
      </c>
      <c r="F30" s="29" t="s">
        <v>324</v>
      </c>
      <c r="G30" s="30" t="s">
        <v>377</v>
      </c>
      <c r="H30" s="27" t="s">
        <v>323</v>
      </c>
      <c r="I30" s="21" t="s">
        <v>6014</v>
      </c>
      <c r="J30" s="23" t="s">
        <v>6068</v>
      </c>
    </row>
    <row r="31" ht="36" spans="1:10">
      <c r="A31" s="21"/>
      <c r="B31" s="21"/>
      <c r="C31" s="28" t="s">
        <v>6071</v>
      </c>
      <c r="D31" s="29" t="s">
        <v>6072</v>
      </c>
      <c r="E31" s="28" t="s">
        <v>609</v>
      </c>
      <c r="F31" s="29" t="s">
        <v>612</v>
      </c>
      <c r="G31" s="30" t="s">
        <v>611</v>
      </c>
      <c r="H31" s="27" t="s">
        <v>295</v>
      </c>
      <c r="I31" s="21" t="s">
        <v>6014</v>
      </c>
      <c r="J31" s="23" t="s">
        <v>6073</v>
      </c>
    </row>
    <row r="32" ht="36" spans="1:10">
      <c r="A32" s="21"/>
      <c r="B32" s="21"/>
      <c r="C32" s="28" t="s">
        <v>6074</v>
      </c>
      <c r="D32" s="29" t="s">
        <v>6075</v>
      </c>
      <c r="E32" s="28" t="s">
        <v>353</v>
      </c>
      <c r="F32" s="29" t="s">
        <v>348</v>
      </c>
      <c r="G32" s="30" t="s">
        <v>355</v>
      </c>
      <c r="H32" s="27" t="s">
        <v>356</v>
      </c>
      <c r="I32" s="21" t="s">
        <v>6014</v>
      </c>
      <c r="J32" s="23" t="s">
        <v>6076</v>
      </c>
    </row>
    <row r="33" ht="36" spans="1:10">
      <c r="A33" s="21"/>
      <c r="B33" s="21"/>
      <c r="C33" s="28" t="s">
        <v>6077</v>
      </c>
      <c r="D33" s="29" t="s">
        <v>6078</v>
      </c>
      <c r="E33" s="28" t="s">
        <v>320</v>
      </c>
      <c r="F33" s="29" t="s">
        <v>315</v>
      </c>
      <c r="G33" s="30" t="s">
        <v>322</v>
      </c>
      <c r="H33" s="27" t="s">
        <v>323</v>
      </c>
      <c r="I33" s="21" t="s">
        <v>6014</v>
      </c>
      <c r="J33" s="23" t="s">
        <v>6076</v>
      </c>
    </row>
    <row r="34" ht="36" spans="1:10">
      <c r="A34" s="21"/>
      <c r="B34" s="21"/>
      <c r="C34" s="28" t="s">
        <v>6079</v>
      </c>
      <c r="D34" s="29" t="s">
        <v>6080</v>
      </c>
      <c r="E34" s="28" t="s">
        <v>320</v>
      </c>
      <c r="F34" s="29" t="s">
        <v>315</v>
      </c>
      <c r="G34" s="30" t="s">
        <v>322</v>
      </c>
      <c r="H34" s="27" t="s">
        <v>323</v>
      </c>
      <c r="I34" s="21" t="s">
        <v>6014</v>
      </c>
      <c r="J34" s="23" t="s">
        <v>6076</v>
      </c>
    </row>
    <row r="35" ht="28" customHeight="1" spans="1:10">
      <c r="A35" s="21"/>
      <c r="B35" s="21"/>
      <c r="C35" s="28" t="s">
        <v>6081</v>
      </c>
      <c r="D35" s="29" t="s">
        <v>6082</v>
      </c>
      <c r="E35" s="28" t="s">
        <v>457</v>
      </c>
      <c r="F35" s="29" t="s">
        <v>456</v>
      </c>
      <c r="G35" s="30" t="s">
        <v>6083</v>
      </c>
      <c r="H35" s="27" t="s">
        <v>385</v>
      </c>
      <c r="I35" s="21" t="s">
        <v>6014</v>
      </c>
      <c r="J35" s="23" t="s">
        <v>6076</v>
      </c>
    </row>
    <row r="36" ht="28" customHeight="1" spans="1:10">
      <c r="A36" s="21"/>
      <c r="B36" s="21"/>
      <c r="C36" s="28" t="s">
        <v>491</v>
      </c>
      <c r="D36" s="29" t="s">
        <v>6084</v>
      </c>
      <c r="E36" s="28" t="s">
        <v>491</v>
      </c>
      <c r="F36" s="29" t="s">
        <v>490</v>
      </c>
      <c r="G36" s="30" t="s">
        <v>360</v>
      </c>
      <c r="H36" s="27" t="s">
        <v>285</v>
      </c>
      <c r="I36" s="21" t="s">
        <v>6014</v>
      </c>
      <c r="J36" s="23" t="s">
        <v>6032</v>
      </c>
    </row>
    <row r="37" ht="53" spans="1:10">
      <c r="A37" s="19" t="s">
        <v>6085</v>
      </c>
      <c r="B37" s="24" t="s">
        <v>6086</v>
      </c>
      <c r="C37" s="21" t="s">
        <v>6087</v>
      </c>
      <c r="D37" s="27" t="s">
        <v>6088</v>
      </c>
      <c r="E37" s="21" t="s">
        <v>461</v>
      </c>
      <c r="F37" s="27" t="s">
        <v>460</v>
      </c>
      <c r="G37" s="21" t="s">
        <v>6052</v>
      </c>
      <c r="H37" s="27" t="s">
        <v>464</v>
      </c>
      <c r="I37" s="21"/>
      <c r="J37" s="21"/>
    </row>
    <row r="38" s="2" customFormat="1" ht="31" customHeight="1" spans="1:10">
      <c r="A38" s="25"/>
      <c r="B38" s="26"/>
      <c r="C38" s="21" t="s">
        <v>6089</v>
      </c>
      <c r="D38" s="27" t="s">
        <v>6090</v>
      </c>
      <c r="E38" s="21" t="s">
        <v>282</v>
      </c>
      <c r="F38" s="27" t="s">
        <v>281</v>
      </c>
      <c r="G38" s="21" t="s">
        <v>6091</v>
      </c>
      <c r="H38" s="27" t="s">
        <v>285</v>
      </c>
      <c r="I38" s="21" t="s">
        <v>6014</v>
      </c>
      <c r="J38" s="23" t="s">
        <v>6092</v>
      </c>
    </row>
    <row r="39" s="2" customFormat="1" ht="33" customHeight="1" spans="1:10">
      <c r="A39" s="25"/>
      <c r="B39" s="26"/>
      <c r="C39" s="21" t="s">
        <v>6093</v>
      </c>
      <c r="D39" s="27" t="s">
        <v>6094</v>
      </c>
      <c r="E39" s="21" t="s">
        <v>316</v>
      </c>
      <c r="F39" s="27" t="s">
        <v>311</v>
      </c>
      <c r="G39" s="21" t="s">
        <v>6065</v>
      </c>
      <c r="H39" s="27" t="s">
        <v>285</v>
      </c>
      <c r="I39" s="21" t="s">
        <v>6014</v>
      </c>
      <c r="J39" s="23" t="s">
        <v>6092</v>
      </c>
    </row>
    <row r="40" s="2" customFormat="1" ht="36" spans="1:10">
      <c r="A40" s="25"/>
      <c r="B40" s="26"/>
      <c r="C40" s="21" t="s">
        <v>6095</v>
      </c>
      <c r="D40" s="27" t="s">
        <v>6096</v>
      </c>
      <c r="E40" s="21" t="s">
        <v>320</v>
      </c>
      <c r="F40" s="27" t="s">
        <v>315</v>
      </c>
      <c r="G40" s="21" t="s">
        <v>377</v>
      </c>
      <c r="H40" s="27" t="s">
        <v>323</v>
      </c>
      <c r="I40" s="21" t="s">
        <v>6014</v>
      </c>
      <c r="J40" s="23" t="s">
        <v>6092</v>
      </c>
    </row>
    <row r="41" spans="1:10">
      <c r="A41" s="19" t="s">
        <v>29</v>
      </c>
      <c r="B41" s="24" t="s">
        <v>30</v>
      </c>
      <c r="C41" s="21"/>
      <c r="D41" s="27"/>
      <c r="E41" s="21"/>
      <c r="F41" s="27"/>
      <c r="G41" s="21"/>
      <c r="H41" s="27"/>
      <c r="I41" s="21"/>
      <c r="J41" s="21"/>
    </row>
    <row r="42" ht="36" spans="1:10">
      <c r="A42" s="25"/>
      <c r="B42" s="26"/>
      <c r="C42" s="21" t="s">
        <v>6097</v>
      </c>
      <c r="D42" s="31" t="s">
        <v>5598</v>
      </c>
      <c r="E42" s="32" t="s">
        <v>325</v>
      </c>
      <c r="F42" s="31" t="s">
        <v>328</v>
      </c>
      <c r="G42" s="33" t="s">
        <v>6098</v>
      </c>
      <c r="H42" s="27" t="s">
        <v>323</v>
      </c>
      <c r="I42" s="21" t="s">
        <v>6014</v>
      </c>
      <c r="J42" s="23" t="s">
        <v>6032</v>
      </c>
    </row>
    <row r="43" ht="53" spans="1:10">
      <c r="A43" s="25"/>
      <c r="B43" s="26"/>
      <c r="C43" s="21" t="s">
        <v>6099</v>
      </c>
      <c r="D43" s="31" t="s">
        <v>6100</v>
      </c>
      <c r="E43" s="32" t="s">
        <v>6099</v>
      </c>
      <c r="F43" s="31" t="s">
        <v>386</v>
      </c>
      <c r="G43" s="33" t="s">
        <v>6101</v>
      </c>
      <c r="H43" s="27" t="s">
        <v>323</v>
      </c>
      <c r="I43" s="21" t="s">
        <v>6014</v>
      </c>
      <c r="J43" s="23" t="s">
        <v>6102</v>
      </c>
    </row>
    <row r="44" ht="36" spans="1:10">
      <c r="A44" s="25"/>
      <c r="B44" s="26"/>
      <c r="C44" s="21" t="s">
        <v>375</v>
      </c>
      <c r="D44" s="31" t="s">
        <v>6103</v>
      </c>
      <c r="E44" s="32" t="s">
        <v>375</v>
      </c>
      <c r="F44" s="31" t="s">
        <v>371</v>
      </c>
      <c r="G44" s="33" t="s">
        <v>377</v>
      </c>
      <c r="H44" s="27" t="s">
        <v>323</v>
      </c>
      <c r="I44" s="21" t="s">
        <v>6014</v>
      </c>
      <c r="J44" s="23" t="s">
        <v>6104</v>
      </c>
    </row>
    <row r="45" spans="1:10">
      <c r="A45" s="19" t="s">
        <v>6105</v>
      </c>
      <c r="B45" s="24" t="s">
        <v>6106</v>
      </c>
      <c r="C45" s="21"/>
      <c r="D45" s="27"/>
      <c r="E45" s="21"/>
      <c r="F45" s="27"/>
      <c r="G45" s="21"/>
      <c r="H45" s="27"/>
      <c r="I45" s="21"/>
      <c r="J45" s="21"/>
    </row>
    <row r="46" ht="36" spans="1:10">
      <c r="A46" s="25"/>
      <c r="B46" s="26"/>
      <c r="C46" s="21" t="s">
        <v>6107</v>
      </c>
      <c r="D46" s="27" t="s">
        <v>6108</v>
      </c>
      <c r="E46" s="21" t="s">
        <v>6055</v>
      </c>
      <c r="F46" s="27" t="s">
        <v>456</v>
      </c>
      <c r="G46" s="21" t="s">
        <v>6057</v>
      </c>
      <c r="H46" s="27" t="s">
        <v>385</v>
      </c>
      <c r="I46" s="21" t="s">
        <v>6014</v>
      </c>
      <c r="J46" s="23" t="s">
        <v>6032</v>
      </c>
    </row>
    <row r="47" ht="36" spans="1:10">
      <c r="A47" s="25"/>
      <c r="B47" s="26"/>
      <c r="C47" s="21" t="s">
        <v>6109</v>
      </c>
      <c r="D47" s="27" t="s">
        <v>6110</v>
      </c>
      <c r="E47" s="21" t="s">
        <v>287</v>
      </c>
      <c r="F47" s="27" t="s">
        <v>286</v>
      </c>
      <c r="G47" s="21" t="s">
        <v>289</v>
      </c>
      <c r="H47" s="27" t="s">
        <v>6027</v>
      </c>
      <c r="I47" s="21" t="s">
        <v>6014</v>
      </c>
      <c r="J47" s="23" t="s">
        <v>6111</v>
      </c>
    </row>
    <row r="48" ht="36" spans="1:10">
      <c r="A48" s="25"/>
      <c r="B48" s="26"/>
      <c r="C48" s="21" t="s">
        <v>6112</v>
      </c>
      <c r="D48" s="27" t="s">
        <v>6113</v>
      </c>
      <c r="E48" s="21" t="s">
        <v>6114</v>
      </c>
      <c r="F48" s="27" t="s">
        <v>536</v>
      </c>
      <c r="G48" s="21" t="s">
        <v>6115</v>
      </c>
      <c r="H48" s="27" t="s">
        <v>783</v>
      </c>
      <c r="I48" s="21" t="s">
        <v>6014</v>
      </c>
      <c r="J48" s="23" t="s">
        <v>6116</v>
      </c>
    </row>
    <row r="49" ht="71" spans="1:10">
      <c r="A49" s="25"/>
      <c r="B49" s="26"/>
      <c r="C49" s="21" t="s">
        <v>6117</v>
      </c>
      <c r="D49" s="27" t="s">
        <v>6118</v>
      </c>
      <c r="E49" s="21" t="s">
        <v>6117</v>
      </c>
      <c r="F49" s="27" t="s">
        <v>541</v>
      </c>
      <c r="G49" s="21" t="s">
        <v>508</v>
      </c>
      <c r="H49" s="27" t="s">
        <v>783</v>
      </c>
      <c r="I49" s="21" t="s">
        <v>6014</v>
      </c>
      <c r="J49" s="23" t="s">
        <v>6116</v>
      </c>
    </row>
    <row r="50" ht="71" spans="1:10">
      <c r="A50" s="25"/>
      <c r="B50" s="26"/>
      <c r="C50" s="21" t="s">
        <v>6119</v>
      </c>
      <c r="D50" s="27" t="s">
        <v>6120</v>
      </c>
      <c r="E50" s="21" t="s">
        <v>6119</v>
      </c>
      <c r="F50" s="27" t="s">
        <v>545</v>
      </c>
      <c r="G50" s="21" t="s">
        <v>508</v>
      </c>
      <c r="H50" s="27" t="s">
        <v>356</v>
      </c>
      <c r="I50" s="21" t="s">
        <v>6014</v>
      </c>
      <c r="J50" s="23" t="s">
        <v>6116</v>
      </c>
    </row>
    <row r="51" ht="71" spans="1:10">
      <c r="A51" s="25"/>
      <c r="B51" s="26"/>
      <c r="C51" s="21" t="s">
        <v>506</v>
      </c>
      <c r="D51" s="27" t="s">
        <v>1529</v>
      </c>
      <c r="E51" s="21" t="s">
        <v>506</v>
      </c>
      <c r="F51" s="27" t="s">
        <v>509</v>
      </c>
      <c r="G51" s="21" t="s">
        <v>508</v>
      </c>
      <c r="H51" s="27" t="s">
        <v>385</v>
      </c>
      <c r="I51" s="21" t="s">
        <v>6014</v>
      </c>
      <c r="J51" s="23" t="s">
        <v>6121</v>
      </c>
    </row>
    <row r="52" ht="36" spans="1:10">
      <c r="A52" s="25"/>
      <c r="B52" s="26"/>
      <c r="C52" s="21" t="s">
        <v>6122</v>
      </c>
      <c r="D52" s="27" t="s">
        <v>6123</v>
      </c>
      <c r="E52" s="21" t="s">
        <v>302</v>
      </c>
      <c r="F52" s="27" t="s">
        <v>296</v>
      </c>
      <c r="G52" s="21" t="s">
        <v>304</v>
      </c>
      <c r="H52" s="27" t="s">
        <v>305</v>
      </c>
      <c r="I52" s="21" t="s">
        <v>6014</v>
      </c>
      <c r="J52" s="23" t="s">
        <v>6121</v>
      </c>
    </row>
    <row r="53" ht="53" spans="1:10">
      <c r="A53" s="25"/>
      <c r="B53" s="26"/>
      <c r="C53" s="21" t="s">
        <v>2034</v>
      </c>
      <c r="D53" s="27" t="s">
        <v>2035</v>
      </c>
      <c r="E53" s="21" t="s">
        <v>453</v>
      </c>
      <c r="F53" s="27" t="s">
        <v>452</v>
      </c>
      <c r="G53" s="21" t="s">
        <v>455</v>
      </c>
      <c r="H53" s="27" t="s">
        <v>356</v>
      </c>
      <c r="I53" s="21" t="s">
        <v>6014</v>
      </c>
      <c r="J53" s="23" t="s">
        <v>6124</v>
      </c>
    </row>
    <row r="54" ht="53" spans="1:10">
      <c r="A54" s="25"/>
      <c r="B54" s="26"/>
      <c r="C54" s="21" t="s">
        <v>6125</v>
      </c>
      <c r="D54" s="27" t="s">
        <v>6126</v>
      </c>
      <c r="E54" s="21" t="s">
        <v>609</v>
      </c>
      <c r="F54" s="27" t="s">
        <v>612</v>
      </c>
      <c r="G54" s="21" t="s">
        <v>658</v>
      </c>
      <c r="H54" s="27" t="s">
        <v>295</v>
      </c>
      <c r="I54" s="21" t="s">
        <v>6014</v>
      </c>
      <c r="J54" s="23" t="s">
        <v>6127</v>
      </c>
    </row>
    <row r="55" ht="53" spans="1:10">
      <c r="A55" s="25"/>
      <c r="B55" s="26"/>
      <c r="C55" s="21" t="s">
        <v>6128</v>
      </c>
      <c r="D55" s="27" t="s">
        <v>6129</v>
      </c>
      <c r="E55" s="21" t="s">
        <v>609</v>
      </c>
      <c r="F55" s="27" t="s">
        <v>612</v>
      </c>
      <c r="G55" s="21" t="s">
        <v>658</v>
      </c>
      <c r="H55" s="27" t="s">
        <v>295</v>
      </c>
      <c r="I55" s="21" t="s">
        <v>6014</v>
      </c>
      <c r="J55" s="23" t="s">
        <v>6127</v>
      </c>
    </row>
    <row r="56" ht="53" spans="1:10">
      <c r="A56" s="25"/>
      <c r="B56" s="26"/>
      <c r="C56" s="21" t="s">
        <v>6130</v>
      </c>
      <c r="D56" s="27" t="s">
        <v>6131</v>
      </c>
      <c r="E56" s="21" t="s">
        <v>609</v>
      </c>
      <c r="F56" s="27" t="s">
        <v>612</v>
      </c>
      <c r="G56" s="21" t="s">
        <v>658</v>
      </c>
      <c r="H56" s="27" t="s">
        <v>295</v>
      </c>
      <c r="I56" s="21" t="s">
        <v>6014</v>
      </c>
      <c r="J56" s="23" t="s">
        <v>6127</v>
      </c>
    </row>
    <row r="57" ht="53" spans="1:10">
      <c r="A57" s="25"/>
      <c r="B57" s="26"/>
      <c r="C57" s="21" t="s">
        <v>624</v>
      </c>
      <c r="D57" s="27" t="s">
        <v>1989</v>
      </c>
      <c r="E57" s="21" t="s">
        <v>624</v>
      </c>
      <c r="F57" s="27" t="s">
        <v>631</v>
      </c>
      <c r="G57" s="21" t="s">
        <v>6132</v>
      </c>
      <c r="H57" s="27" t="s">
        <v>420</v>
      </c>
      <c r="I57" s="21" t="s">
        <v>6014</v>
      </c>
      <c r="J57" s="23" t="s">
        <v>6127</v>
      </c>
    </row>
    <row r="58" ht="36" spans="1:10">
      <c r="A58" s="25"/>
      <c r="B58" s="26"/>
      <c r="C58" s="21" t="s">
        <v>6133</v>
      </c>
      <c r="D58" s="27" t="s">
        <v>6134</v>
      </c>
      <c r="E58" s="21" t="s">
        <v>6133</v>
      </c>
      <c r="F58" s="27" t="s">
        <v>553</v>
      </c>
      <c r="G58" s="21" t="s">
        <v>6135</v>
      </c>
      <c r="H58" s="27" t="s">
        <v>527</v>
      </c>
      <c r="I58" s="21" t="s">
        <v>6014</v>
      </c>
      <c r="J58" s="23" t="s">
        <v>6032</v>
      </c>
    </row>
    <row r="59" ht="36" spans="1:10">
      <c r="A59" s="21"/>
      <c r="B59" s="21"/>
      <c r="C59" s="21" t="s">
        <v>520</v>
      </c>
      <c r="D59" s="27" t="s">
        <v>6136</v>
      </c>
      <c r="E59" s="21" t="s">
        <v>520</v>
      </c>
      <c r="F59" s="27" t="s">
        <v>532</v>
      </c>
      <c r="G59" s="21" t="s">
        <v>6137</v>
      </c>
      <c r="H59" s="27" t="s">
        <v>323</v>
      </c>
      <c r="I59" s="21" t="s">
        <v>6014</v>
      </c>
      <c r="J59" s="21"/>
    </row>
    <row r="60" customFormat="1" spans="1:10">
      <c r="A60" s="19" t="s">
        <v>6138</v>
      </c>
      <c r="B60" s="24" t="s">
        <v>6139</v>
      </c>
      <c r="C60" s="34"/>
      <c r="D60" s="27"/>
      <c r="E60" s="21"/>
      <c r="F60" s="27"/>
      <c r="G60" s="21"/>
      <c r="H60" s="27"/>
      <c r="I60" s="21"/>
      <c r="J60" s="21"/>
    </row>
    <row r="61" customFormat="1" ht="36" spans="1:10">
      <c r="A61" s="21"/>
      <c r="B61" s="21"/>
      <c r="C61" s="21" t="s">
        <v>520</v>
      </c>
      <c r="D61" s="27" t="s">
        <v>6136</v>
      </c>
      <c r="E61" s="21" t="s">
        <v>520</v>
      </c>
      <c r="F61" s="27" t="s">
        <v>523</v>
      </c>
      <c r="G61" s="21" t="s">
        <v>522</v>
      </c>
      <c r="H61" s="27" t="s">
        <v>310</v>
      </c>
      <c r="I61" s="21" t="s">
        <v>6014</v>
      </c>
      <c r="J61" s="23" t="s">
        <v>6140</v>
      </c>
    </row>
    <row r="62" customFormat="1" ht="36" spans="1:10">
      <c r="A62" s="21"/>
      <c r="B62" s="21"/>
      <c r="C62" s="21" t="s">
        <v>6141</v>
      </c>
      <c r="D62" s="27" t="s">
        <v>6142</v>
      </c>
      <c r="E62" s="21" t="s">
        <v>302</v>
      </c>
      <c r="F62" s="27" t="s">
        <v>296</v>
      </c>
      <c r="G62" s="21" t="s">
        <v>304</v>
      </c>
      <c r="H62" s="27" t="s">
        <v>305</v>
      </c>
      <c r="I62" s="21" t="s">
        <v>6014</v>
      </c>
      <c r="J62" s="23" t="s">
        <v>6032</v>
      </c>
    </row>
    <row r="63" customFormat="1" spans="1:10">
      <c r="A63" s="19" t="s">
        <v>84</v>
      </c>
      <c r="B63" s="24" t="s">
        <v>85</v>
      </c>
      <c r="C63" s="34"/>
      <c r="D63" s="27"/>
      <c r="E63" s="21"/>
      <c r="F63" s="27"/>
      <c r="G63" s="21"/>
      <c r="H63" s="27"/>
      <c r="I63" s="35"/>
      <c r="J63" s="35"/>
    </row>
    <row r="64" customFormat="1" ht="36" spans="1:10">
      <c r="A64" s="21"/>
      <c r="B64" s="21"/>
      <c r="C64" s="21" t="s">
        <v>6143</v>
      </c>
      <c r="D64" s="27" t="s">
        <v>6144</v>
      </c>
      <c r="E64" s="21" t="s">
        <v>6143</v>
      </c>
      <c r="F64" s="27" t="s">
        <v>726</v>
      </c>
      <c r="G64" s="21" t="s">
        <v>6145</v>
      </c>
      <c r="H64" s="27" t="s">
        <v>385</v>
      </c>
      <c r="I64" s="21" t="s">
        <v>6014</v>
      </c>
      <c r="J64" s="23" t="s">
        <v>6146</v>
      </c>
    </row>
    <row r="65" customFormat="1" ht="36" spans="1:10">
      <c r="A65" s="21"/>
      <c r="B65" s="21"/>
      <c r="C65" s="21" t="s">
        <v>6147</v>
      </c>
      <c r="D65" s="27" t="s">
        <v>6148</v>
      </c>
      <c r="E65" s="21" t="s">
        <v>6147</v>
      </c>
      <c r="F65" s="27" t="s">
        <v>730</v>
      </c>
      <c r="G65" s="21" t="s">
        <v>6149</v>
      </c>
      <c r="H65" s="27" t="s">
        <v>6027</v>
      </c>
      <c r="I65" s="21" t="s">
        <v>6014</v>
      </c>
      <c r="J65" s="23" t="s">
        <v>6146</v>
      </c>
    </row>
    <row r="66" customFormat="1" ht="45" customHeight="1" spans="1:10">
      <c r="A66" s="21"/>
      <c r="B66" s="21"/>
      <c r="C66" s="21" t="s">
        <v>595</v>
      </c>
      <c r="D66" s="27" t="s">
        <v>4384</v>
      </c>
      <c r="E66" s="21" t="s">
        <v>595</v>
      </c>
      <c r="F66" s="27" t="s">
        <v>581</v>
      </c>
      <c r="G66" s="21" t="s">
        <v>597</v>
      </c>
      <c r="H66" s="27" t="s">
        <v>552</v>
      </c>
      <c r="I66" s="21" t="s">
        <v>6014</v>
      </c>
      <c r="J66" s="23" t="s">
        <v>6150</v>
      </c>
    </row>
    <row r="67" customFormat="1" spans="1:10">
      <c r="A67" s="19" t="s">
        <v>6151</v>
      </c>
      <c r="B67" s="24" t="s">
        <v>88</v>
      </c>
      <c r="C67" s="34"/>
      <c r="D67" s="27"/>
      <c r="E67" s="21"/>
      <c r="F67" s="27"/>
      <c r="G67" s="21"/>
      <c r="H67" s="27"/>
      <c r="I67" s="21"/>
      <c r="J67" s="21"/>
    </row>
    <row r="68" customFormat="1" spans="1:10">
      <c r="A68" s="21"/>
      <c r="B68" s="21"/>
      <c r="C68" s="21"/>
      <c r="D68" s="27"/>
      <c r="E68" s="21"/>
      <c r="F68" s="27"/>
      <c r="G68" s="21"/>
      <c r="H68" s="27"/>
      <c r="I68" s="21"/>
      <c r="J68" s="21"/>
    </row>
    <row r="69" customFormat="1" spans="1:10">
      <c r="A69" s="19" t="s">
        <v>90</v>
      </c>
      <c r="B69" s="24" t="s">
        <v>91</v>
      </c>
      <c r="C69" s="21"/>
      <c r="D69" s="27"/>
      <c r="E69" s="21"/>
      <c r="F69" s="27"/>
      <c r="G69" s="21"/>
      <c r="H69" s="27"/>
      <c r="I69" s="21"/>
      <c r="J69" s="21"/>
    </row>
    <row r="70" customFormat="1" ht="36" spans="1:10">
      <c r="A70" s="21"/>
      <c r="B70" s="21"/>
      <c r="C70" s="21" t="s">
        <v>6143</v>
      </c>
      <c r="D70" s="27" t="s">
        <v>6144</v>
      </c>
      <c r="E70" s="21" t="s">
        <v>6143</v>
      </c>
      <c r="F70" s="27" t="s">
        <v>726</v>
      </c>
      <c r="G70" s="21" t="s">
        <v>6145</v>
      </c>
      <c r="H70" s="27" t="s">
        <v>385</v>
      </c>
      <c r="I70" s="21" t="s">
        <v>6014</v>
      </c>
      <c r="J70" s="23" t="s">
        <v>6152</v>
      </c>
    </row>
    <row r="71" customFormat="1" ht="36" spans="1:10">
      <c r="A71" s="21"/>
      <c r="B71" s="21"/>
      <c r="C71" s="21" t="s">
        <v>6147</v>
      </c>
      <c r="D71" s="27" t="s">
        <v>6148</v>
      </c>
      <c r="E71" s="21" t="s">
        <v>6147</v>
      </c>
      <c r="F71" s="27" t="s">
        <v>730</v>
      </c>
      <c r="G71" s="21" t="s">
        <v>6149</v>
      </c>
      <c r="H71" s="27" t="s">
        <v>6027</v>
      </c>
      <c r="I71" s="21" t="s">
        <v>6014</v>
      </c>
      <c r="J71" s="23" t="s">
        <v>6152</v>
      </c>
    </row>
    <row r="72" customFormat="1" ht="45" customHeight="1" spans="1:10">
      <c r="A72" s="21"/>
      <c r="B72" s="21"/>
      <c r="C72" s="21" t="s">
        <v>595</v>
      </c>
      <c r="D72" s="27" t="s">
        <v>4384</v>
      </c>
      <c r="E72" s="21" t="s">
        <v>595</v>
      </c>
      <c r="F72" s="27" t="s">
        <v>581</v>
      </c>
      <c r="G72" s="21" t="s">
        <v>597</v>
      </c>
      <c r="H72" s="27" t="s">
        <v>552</v>
      </c>
      <c r="I72" s="21" t="s">
        <v>6014</v>
      </c>
      <c r="J72" s="23" t="s">
        <v>6150</v>
      </c>
    </row>
    <row r="73" customFormat="1" spans="1:10">
      <c r="A73" s="19" t="s">
        <v>6153</v>
      </c>
      <c r="B73" s="24" t="s">
        <v>94</v>
      </c>
      <c r="C73" s="21"/>
      <c r="D73" s="27"/>
      <c r="E73" s="21"/>
      <c r="F73" s="27"/>
      <c r="G73" s="21"/>
      <c r="H73" s="27"/>
      <c r="I73" s="21"/>
      <c r="J73" s="21"/>
    </row>
    <row r="74" customFormat="1" spans="1:10">
      <c r="A74" s="21"/>
      <c r="B74" s="21"/>
      <c r="C74" s="21"/>
      <c r="D74" s="27"/>
      <c r="E74" s="21"/>
      <c r="F74" s="27"/>
      <c r="G74" s="21"/>
      <c r="H74" s="27"/>
      <c r="I74" s="21"/>
      <c r="J74" s="21"/>
    </row>
    <row r="75" customFormat="1" spans="1:10">
      <c r="A75" s="19" t="s">
        <v>96</v>
      </c>
      <c r="B75" s="24" t="s">
        <v>97</v>
      </c>
      <c r="C75" s="21"/>
      <c r="D75" s="27"/>
      <c r="E75" s="21"/>
      <c r="F75" s="27"/>
      <c r="G75" s="21"/>
      <c r="H75" s="27"/>
      <c r="I75" s="21"/>
      <c r="J75" s="21"/>
    </row>
    <row r="76" customFormat="1" ht="45" customHeight="1" spans="1:10">
      <c r="A76" s="21"/>
      <c r="B76" s="21"/>
      <c r="C76" s="21" t="s">
        <v>595</v>
      </c>
      <c r="D76" s="27" t="s">
        <v>4384</v>
      </c>
      <c r="E76" s="21" t="s">
        <v>595</v>
      </c>
      <c r="F76" s="27" t="s">
        <v>581</v>
      </c>
      <c r="G76" s="21" t="s">
        <v>597</v>
      </c>
      <c r="H76" s="27" t="s">
        <v>552</v>
      </c>
      <c r="I76" s="21" t="s">
        <v>6014</v>
      </c>
      <c r="J76" s="23" t="s">
        <v>6150</v>
      </c>
    </row>
    <row r="77" customFormat="1" spans="1:10">
      <c r="A77" s="19" t="s">
        <v>6154</v>
      </c>
      <c r="B77" s="24" t="s">
        <v>100</v>
      </c>
      <c r="C77" s="21"/>
      <c r="D77" s="27"/>
      <c r="E77" s="21"/>
      <c r="F77" s="27"/>
      <c r="G77" s="21"/>
      <c r="H77" s="27"/>
      <c r="I77" s="21"/>
      <c r="J77" s="21"/>
    </row>
    <row r="78" s="3" customFormat="1" ht="53" spans="1:10">
      <c r="A78" s="25"/>
      <c r="B78" s="26"/>
      <c r="C78" s="21" t="s">
        <v>2443</v>
      </c>
      <c r="D78" s="27" t="s">
        <v>2444</v>
      </c>
      <c r="E78" s="21" t="s">
        <v>353</v>
      </c>
      <c r="F78" s="27" t="s">
        <v>361</v>
      </c>
      <c r="G78" s="21" t="s">
        <v>355</v>
      </c>
      <c r="H78" s="27" t="s">
        <v>385</v>
      </c>
      <c r="I78" s="21" t="s">
        <v>6014</v>
      </c>
      <c r="J78" s="23" t="s">
        <v>6155</v>
      </c>
    </row>
    <row r="79" s="3" customFormat="1" ht="124" spans="1:10">
      <c r="A79" s="25"/>
      <c r="B79" s="26"/>
      <c r="C79" s="21" t="s">
        <v>2447</v>
      </c>
      <c r="D79" s="27" t="s">
        <v>2448</v>
      </c>
      <c r="E79" s="21" t="s">
        <v>457</v>
      </c>
      <c r="F79" s="27" t="s">
        <v>460</v>
      </c>
      <c r="G79" s="21" t="s">
        <v>6156</v>
      </c>
      <c r="H79" s="27" t="s">
        <v>464</v>
      </c>
      <c r="I79" s="21" t="s">
        <v>6014</v>
      </c>
      <c r="J79" s="23" t="s">
        <v>6155</v>
      </c>
    </row>
    <row r="80" s="3" customFormat="1" ht="53" spans="1:10">
      <c r="A80" s="25"/>
      <c r="B80" s="26"/>
      <c r="C80" s="21" t="s">
        <v>2451</v>
      </c>
      <c r="D80" s="27" t="s">
        <v>2452</v>
      </c>
      <c r="E80" s="21" t="s">
        <v>461</v>
      </c>
      <c r="F80" s="27" t="s">
        <v>465</v>
      </c>
      <c r="G80" s="21" t="s">
        <v>6052</v>
      </c>
      <c r="H80" s="27" t="s">
        <v>518</v>
      </c>
      <c r="I80" s="21" t="s">
        <v>6014</v>
      </c>
      <c r="J80" s="23" t="s">
        <v>6155</v>
      </c>
    </row>
    <row r="81" customFormat="1" spans="1:10">
      <c r="A81" s="19" t="s">
        <v>102</v>
      </c>
      <c r="B81" s="24" t="s">
        <v>103</v>
      </c>
      <c r="C81" s="36"/>
      <c r="D81" s="27"/>
      <c r="E81" s="21"/>
      <c r="F81" s="27"/>
      <c r="G81" s="21"/>
      <c r="H81" s="27"/>
      <c r="I81" s="21"/>
      <c r="J81" s="21"/>
    </row>
    <row r="82" customFormat="1" ht="45" customHeight="1" spans="1:10">
      <c r="A82" s="21"/>
      <c r="B82" s="21"/>
      <c r="C82" s="21" t="s">
        <v>595</v>
      </c>
      <c r="D82" s="27" t="s">
        <v>4384</v>
      </c>
      <c r="E82" s="21" t="s">
        <v>595</v>
      </c>
      <c r="F82" s="27" t="s">
        <v>581</v>
      </c>
      <c r="G82" s="21" t="s">
        <v>597</v>
      </c>
      <c r="H82" s="27" t="s">
        <v>552</v>
      </c>
      <c r="I82" s="21" t="s">
        <v>6014</v>
      </c>
      <c r="J82" s="23" t="s">
        <v>6150</v>
      </c>
    </row>
    <row r="83" customFormat="1" spans="1:10">
      <c r="A83" s="19" t="s">
        <v>6157</v>
      </c>
      <c r="B83" s="24" t="s">
        <v>106</v>
      </c>
      <c r="C83" s="21"/>
      <c r="D83" s="27"/>
      <c r="E83" s="21"/>
      <c r="F83" s="27"/>
      <c r="G83" s="21"/>
      <c r="H83" s="27"/>
      <c r="I83" s="21"/>
      <c r="J83" s="21"/>
    </row>
    <row r="84" customFormat="1" ht="53" spans="1:10">
      <c r="A84" s="21"/>
      <c r="B84" s="21"/>
      <c r="C84" s="21" t="s">
        <v>2443</v>
      </c>
      <c r="D84" s="27" t="s">
        <v>2444</v>
      </c>
      <c r="E84" s="21" t="s">
        <v>353</v>
      </c>
      <c r="F84" s="27" t="s">
        <v>361</v>
      </c>
      <c r="G84" s="21" t="s">
        <v>355</v>
      </c>
      <c r="H84" s="27" t="s">
        <v>385</v>
      </c>
      <c r="I84" s="21" t="s">
        <v>6014</v>
      </c>
      <c r="J84" s="23" t="s">
        <v>6155</v>
      </c>
    </row>
    <row r="85" customFormat="1" ht="124" spans="1:10">
      <c r="A85" s="21"/>
      <c r="B85" s="21"/>
      <c r="C85" s="21" t="s">
        <v>2447</v>
      </c>
      <c r="D85" s="27" t="s">
        <v>2448</v>
      </c>
      <c r="E85" s="21" t="s">
        <v>457</v>
      </c>
      <c r="F85" s="27" t="s">
        <v>460</v>
      </c>
      <c r="G85" s="21" t="s">
        <v>6156</v>
      </c>
      <c r="H85" s="27" t="s">
        <v>464</v>
      </c>
      <c r="I85" s="21" t="s">
        <v>6014</v>
      </c>
      <c r="J85" s="23" t="s">
        <v>6155</v>
      </c>
    </row>
    <row r="86" customFormat="1" ht="53" spans="1:10">
      <c r="A86" s="21"/>
      <c r="B86" s="21"/>
      <c r="C86" s="21" t="s">
        <v>2451</v>
      </c>
      <c r="D86" s="27" t="s">
        <v>2452</v>
      </c>
      <c r="E86" s="21" t="s">
        <v>461</v>
      </c>
      <c r="F86" s="27" t="s">
        <v>465</v>
      </c>
      <c r="G86" s="21" t="s">
        <v>6052</v>
      </c>
      <c r="H86" s="27" t="s">
        <v>518</v>
      </c>
      <c r="I86" s="21" t="s">
        <v>6014</v>
      </c>
      <c r="J86" s="23" t="s">
        <v>6155</v>
      </c>
    </row>
    <row r="87" customFormat="1" spans="1:10">
      <c r="A87" s="19" t="s">
        <v>108</v>
      </c>
      <c r="B87" s="24" t="s">
        <v>109</v>
      </c>
      <c r="C87" s="21"/>
      <c r="D87" s="27"/>
      <c r="E87" s="21"/>
      <c r="F87" s="27"/>
      <c r="G87" s="21"/>
      <c r="H87" s="27"/>
      <c r="I87" s="21"/>
      <c r="J87" s="21"/>
    </row>
    <row r="88" customFormat="1" ht="45" customHeight="1" spans="1:10">
      <c r="A88" s="21"/>
      <c r="B88" s="21"/>
      <c r="C88" s="21" t="s">
        <v>595</v>
      </c>
      <c r="D88" s="27" t="s">
        <v>4384</v>
      </c>
      <c r="E88" s="21" t="s">
        <v>595</v>
      </c>
      <c r="F88" s="27" t="s">
        <v>581</v>
      </c>
      <c r="G88" s="21" t="s">
        <v>597</v>
      </c>
      <c r="H88" s="27" t="s">
        <v>552</v>
      </c>
      <c r="I88" s="21" t="s">
        <v>6014</v>
      </c>
      <c r="J88" s="23" t="s">
        <v>6150</v>
      </c>
    </row>
    <row r="89" customFormat="1" ht="45" customHeight="1" spans="1:10">
      <c r="A89" s="21"/>
      <c r="B89" s="21"/>
      <c r="C89" s="21" t="s">
        <v>669</v>
      </c>
      <c r="D89" s="27" t="s">
        <v>6158</v>
      </c>
      <c r="E89" s="21" t="s">
        <v>669</v>
      </c>
      <c r="F89" s="27" t="s">
        <v>676</v>
      </c>
      <c r="G89" s="21" t="s">
        <v>671</v>
      </c>
      <c r="H89" s="27" t="s">
        <v>385</v>
      </c>
      <c r="I89" s="21" t="s">
        <v>6014</v>
      </c>
      <c r="J89" s="23" t="s">
        <v>6159</v>
      </c>
    </row>
    <row r="90" customFormat="1" spans="1:10">
      <c r="A90" s="19" t="s">
        <v>6160</v>
      </c>
      <c r="B90" s="24" t="s">
        <v>112</v>
      </c>
      <c r="C90" s="21"/>
      <c r="D90" s="27"/>
      <c r="E90" s="21"/>
      <c r="F90" s="27"/>
      <c r="G90" s="21"/>
      <c r="H90" s="27"/>
      <c r="I90" s="21"/>
      <c r="J90" s="21"/>
    </row>
    <row r="91" customFormat="1" spans="1:10">
      <c r="A91" s="21"/>
      <c r="B91" s="21"/>
      <c r="C91" s="21"/>
      <c r="D91" s="27"/>
      <c r="E91" s="21"/>
      <c r="F91" s="27"/>
      <c r="G91" s="21"/>
      <c r="H91" s="27"/>
      <c r="I91" s="21"/>
      <c r="J91" s="21"/>
    </row>
    <row r="92" customFormat="1" spans="1:10">
      <c r="A92" s="37" t="s">
        <v>114</v>
      </c>
      <c r="B92" s="38" t="s">
        <v>115</v>
      </c>
      <c r="C92" s="21"/>
      <c r="D92" s="27"/>
      <c r="E92" s="21"/>
      <c r="F92" s="27"/>
      <c r="G92" s="21"/>
      <c r="H92" s="27"/>
      <c r="I92" s="21"/>
      <c r="J92" s="21"/>
    </row>
    <row r="93" customFormat="1" ht="18" customHeight="1" spans="1:10">
      <c r="A93" s="39"/>
      <c r="B93" s="40"/>
      <c r="C93" s="21" t="s">
        <v>595</v>
      </c>
      <c r="D93" s="27" t="s">
        <v>4384</v>
      </c>
      <c r="E93" s="21" t="s">
        <v>595</v>
      </c>
      <c r="F93" s="27" t="s">
        <v>581</v>
      </c>
      <c r="G93" s="21" t="s">
        <v>597</v>
      </c>
      <c r="H93" s="27" t="s">
        <v>552</v>
      </c>
      <c r="I93" s="21" t="s">
        <v>6014</v>
      </c>
      <c r="J93" s="23" t="s">
        <v>6161</v>
      </c>
    </row>
    <row r="94" customFormat="1" ht="36" spans="1:10">
      <c r="A94" s="21"/>
      <c r="B94" s="21"/>
      <c r="C94" s="21" t="s">
        <v>6162</v>
      </c>
      <c r="D94" s="27" t="s">
        <v>6163</v>
      </c>
      <c r="E94" s="21" t="s">
        <v>6162</v>
      </c>
      <c r="F94" s="27" t="s">
        <v>6164</v>
      </c>
      <c r="G94" s="21" t="s">
        <v>6165</v>
      </c>
      <c r="H94" s="41">
        <v>0</v>
      </c>
      <c r="I94" s="21" t="s">
        <v>6014</v>
      </c>
      <c r="J94" s="23" t="s">
        <v>6166</v>
      </c>
    </row>
    <row r="95" customFormat="1" ht="36" spans="1:10">
      <c r="A95" s="42"/>
      <c r="B95" s="43"/>
      <c r="C95" s="42" t="s">
        <v>6167</v>
      </c>
      <c r="D95" s="43" t="s">
        <v>2757</v>
      </c>
      <c r="E95" s="44" t="s">
        <v>660</v>
      </c>
      <c r="F95" s="43" t="s">
        <v>680</v>
      </c>
      <c r="G95" s="21" t="s">
        <v>6022</v>
      </c>
      <c r="H95" s="27" t="s">
        <v>385</v>
      </c>
      <c r="I95" s="21" t="s">
        <v>6014</v>
      </c>
      <c r="J95" s="23" t="s">
        <v>6032</v>
      </c>
    </row>
    <row r="96" customFormat="1" ht="36" spans="1:10">
      <c r="A96" s="42"/>
      <c r="B96" s="43"/>
      <c r="C96" s="42" t="s">
        <v>6168</v>
      </c>
      <c r="D96" s="43" t="s">
        <v>6169</v>
      </c>
      <c r="E96" s="44" t="s">
        <v>613</v>
      </c>
      <c r="F96" s="43" t="s">
        <v>615</v>
      </c>
      <c r="G96" s="21" t="s">
        <v>658</v>
      </c>
      <c r="H96" s="27" t="s">
        <v>295</v>
      </c>
      <c r="I96" s="21" t="s">
        <v>6014</v>
      </c>
      <c r="J96" s="23" t="s">
        <v>6170</v>
      </c>
    </row>
    <row r="97" customFormat="1" ht="36" spans="1:10">
      <c r="A97" s="42"/>
      <c r="B97" s="43"/>
      <c r="C97" s="42" t="s">
        <v>6171</v>
      </c>
      <c r="D97" s="43" t="s">
        <v>6172</v>
      </c>
      <c r="E97" s="44" t="s">
        <v>613</v>
      </c>
      <c r="F97" s="43" t="s">
        <v>615</v>
      </c>
      <c r="G97" s="21" t="s">
        <v>658</v>
      </c>
      <c r="H97" s="27" t="s">
        <v>295</v>
      </c>
      <c r="I97" s="21" t="s">
        <v>6014</v>
      </c>
      <c r="J97" s="23" t="s">
        <v>6170</v>
      </c>
    </row>
    <row r="98" customFormat="1" ht="53" spans="1:10">
      <c r="A98" s="42"/>
      <c r="B98" s="43"/>
      <c r="C98" s="42" t="s">
        <v>4275</v>
      </c>
      <c r="D98" s="43" t="s">
        <v>4276</v>
      </c>
      <c r="E98" s="44" t="s">
        <v>613</v>
      </c>
      <c r="F98" s="43" t="s">
        <v>615</v>
      </c>
      <c r="G98" s="21" t="s">
        <v>658</v>
      </c>
      <c r="H98" s="27" t="s">
        <v>295</v>
      </c>
      <c r="I98" s="21" t="s">
        <v>6014</v>
      </c>
      <c r="J98" s="23" t="s">
        <v>6173</v>
      </c>
    </row>
    <row r="99" customFormat="1" ht="36" spans="1:10">
      <c r="A99" s="42"/>
      <c r="B99" s="43"/>
      <c r="C99" s="42" t="s">
        <v>3004</v>
      </c>
      <c r="D99" s="43" t="s">
        <v>3005</v>
      </c>
      <c r="E99" s="44" t="s">
        <v>613</v>
      </c>
      <c r="F99" s="43" t="s">
        <v>615</v>
      </c>
      <c r="G99" s="21" t="s">
        <v>658</v>
      </c>
      <c r="H99" s="27" t="s">
        <v>295</v>
      </c>
      <c r="I99" s="21" t="s">
        <v>6014</v>
      </c>
      <c r="J99" s="23" t="s">
        <v>6174</v>
      </c>
    </row>
    <row r="100" customFormat="1" ht="53" spans="1:10">
      <c r="A100" s="42"/>
      <c r="B100" s="43"/>
      <c r="C100" s="42" t="s">
        <v>6175</v>
      </c>
      <c r="D100" s="43" t="s">
        <v>6176</v>
      </c>
      <c r="E100" s="44" t="s">
        <v>6175</v>
      </c>
      <c r="F100" s="43" t="s">
        <v>885</v>
      </c>
      <c r="G100" s="21" t="s">
        <v>6177</v>
      </c>
      <c r="H100" s="27" t="s">
        <v>833</v>
      </c>
      <c r="I100" s="21" t="s">
        <v>6014</v>
      </c>
      <c r="J100" s="23" t="s">
        <v>6178</v>
      </c>
    </row>
    <row r="101" customFormat="1" ht="36" spans="1:10">
      <c r="A101" s="42"/>
      <c r="B101" s="43"/>
      <c r="C101" s="42" t="s">
        <v>4967</v>
      </c>
      <c r="D101" s="43" t="s">
        <v>2232</v>
      </c>
      <c r="E101" s="44" t="s">
        <v>302</v>
      </c>
      <c r="F101" s="43" t="s">
        <v>301</v>
      </c>
      <c r="G101" s="21" t="s">
        <v>304</v>
      </c>
      <c r="H101" s="27" t="s">
        <v>310</v>
      </c>
      <c r="I101" s="21" t="s">
        <v>6014</v>
      </c>
      <c r="J101" s="23" t="s">
        <v>6179</v>
      </c>
    </row>
    <row r="102" s="4" customFormat="1" ht="36" spans="1:10">
      <c r="A102" s="45"/>
      <c r="B102" s="46"/>
      <c r="C102" s="42" t="s">
        <v>4271</v>
      </c>
      <c r="D102" s="43" t="s">
        <v>4272</v>
      </c>
      <c r="E102" s="44" t="s">
        <v>302</v>
      </c>
      <c r="F102" s="43" t="s">
        <v>301</v>
      </c>
      <c r="G102" s="21" t="s">
        <v>304</v>
      </c>
      <c r="H102" s="27" t="s">
        <v>310</v>
      </c>
      <c r="I102" s="21" t="s">
        <v>6014</v>
      </c>
      <c r="J102" s="23" t="s">
        <v>6174</v>
      </c>
    </row>
    <row r="103" customFormat="1" ht="53" spans="1:10">
      <c r="A103" s="42"/>
      <c r="B103" s="43"/>
      <c r="C103" s="42" t="s">
        <v>3041</v>
      </c>
      <c r="D103" s="43" t="s">
        <v>3042</v>
      </c>
      <c r="E103" s="44" t="s">
        <v>570</v>
      </c>
      <c r="F103" s="43" t="s">
        <v>569</v>
      </c>
      <c r="G103" s="21" t="s">
        <v>572</v>
      </c>
      <c r="H103" s="27" t="s">
        <v>385</v>
      </c>
      <c r="I103" s="21" t="s">
        <v>6014</v>
      </c>
      <c r="J103" s="23" t="s">
        <v>6174</v>
      </c>
    </row>
    <row r="104" customFormat="1" ht="53" spans="1:10">
      <c r="A104" s="42"/>
      <c r="B104" s="43"/>
      <c r="C104" s="42" t="s">
        <v>3023</v>
      </c>
      <c r="D104" s="43" t="s">
        <v>3024</v>
      </c>
      <c r="E104" s="44" t="s">
        <v>570</v>
      </c>
      <c r="F104" s="43" t="s">
        <v>569</v>
      </c>
      <c r="G104" s="21" t="s">
        <v>572</v>
      </c>
      <c r="H104" s="27" t="s">
        <v>385</v>
      </c>
      <c r="I104" s="21" t="s">
        <v>6014</v>
      </c>
      <c r="J104" s="23" t="s">
        <v>6174</v>
      </c>
    </row>
    <row r="105" customFormat="1" ht="36" spans="1:10">
      <c r="A105" s="42"/>
      <c r="B105" s="43"/>
      <c r="C105" s="42" t="s">
        <v>6180</v>
      </c>
      <c r="D105" s="43" t="s">
        <v>6181</v>
      </c>
      <c r="E105" s="44" t="s">
        <v>353</v>
      </c>
      <c r="F105" s="43" t="s">
        <v>361</v>
      </c>
      <c r="G105" s="21" t="s">
        <v>355</v>
      </c>
      <c r="H105" s="27" t="s">
        <v>385</v>
      </c>
      <c r="I105" s="21" t="s">
        <v>6014</v>
      </c>
      <c r="J105" s="23" t="s">
        <v>6174</v>
      </c>
    </row>
    <row r="106" customFormat="1" spans="1:10">
      <c r="A106" s="37" t="s">
        <v>6182</v>
      </c>
      <c r="B106" s="38" t="s">
        <v>118</v>
      </c>
      <c r="C106" s="21"/>
      <c r="D106" s="27"/>
      <c r="E106" s="21"/>
      <c r="F106" s="27"/>
      <c r="G106" s="21"/>
      <c r="H106" s="27"/>
      <c r="I106" s="21"/>
      <c r="J106" s="21"/>
    </row>
    <row r="107" customFormat="1" spans="1:10">
      <c r="A107" s="21"/>
      <c r="B107" s="21"/>
      <c r="C107" s="21"/>
      <c r="D107" s="27"/>
      <c r="E107" s="21"/>
      <c r="F107" s="27"/>
      <c r="G107" s="21"/>
      <c r="H107" s="27"/>
      <c r="I107" s="21"/>
      <c r="J107" s="21"/>
    </row>
    <row r="108" customFormat="1" spans="1:10">
      <c r="A108" s="37" t="s">
        <v>120</v>
      </c>
      <c r="B108" s="38" t="s">
        <v>121</v>
      </c>
      <c r="C108" s="21"/>
      <c r="D108" s="27"/>
      <c r="E108" s="21"/>
      <c r="F108" s="27"/>
      <c r="G108" s="21"/>
      <c r="H108" s="27"/>
      <c r="I108" s="21"/>
      <c r="J108" s="21"/>
    </row>
    <row r="109" customFormat="1" ht="20" customHeight="1" spans="1:10">
      <c r="A109" s="39"/>
      <c r="B109" s="40"/>
      <c r="C109" s="21" t="s">
        <v>595</v>
      </c>
      <c r="D109" s="27" t="s">
        <v>4384</v>
      </c>
      <c r="E109" s="21" t="s">
        <v>595</v>
      </c>
      <c r="F109" s="27" t="s">
        <v>581</v>
      </c>
      <c r="G109" s="21" t="s">
        <v>597</v>
      </c>
      <c r="H109" s="27" t="s">
        <v>552</v>
      </c>
      <c r="I109" s="21" t="s">
        <v>6014</v>
      </c>
      <c r="J109" s="23" t="s">
        <v>6161</v>
      </c>
    </row>
    <row r="110" customFormat="1" ht="36" spans="1:10">
      <c r="A110" s="21"/>
      <c r="B110" s="21"/>
      <c r="C110" s="42" t="s">
        <v>6167</v>
      </c>
      <c r="D110" s="43" t="s">
        <v>2757</v>
      </c>
      <c r="E110" s="44" t="s">
        <v>660</v>
      </c>
      <c r="F110" s="43" t="s">
        <v>680</v>
      </c>
      <c r="G110" s="21" t="s">
        <v>6022</v>
      </c>
      <c r="H110" s="27" t="s">
        <v>385</v>
      </c>
      <c r="I110" s="21" t="s">
        <v>6014</v>
      </c>
      <c r="J110" s="23" t="s">
        <v>6032</v>
      </c>
    </row>
    <row r="111" customFormat="1" ht="36" spans="1:10">
      <c r="A111" s="21"/>
      <c r="B111" s="21"/>
      <c r="C111" s="42" t="s">
        <v>6168</v>
      </c>
      <c r="D111" s="43" t="s">
        <v>6169</v>
      </c>
      <c r="E111" s="44" t="s">
        <v>613</v>
      </c>
      <c r="F111" s="43" t="s">
        <v>615</v>
      </c>
      <c r="G111" s="21" t="s">
        <v>658</v>
      </c>
      <c r="H111" s="27" t="s">
        <v>295</v>
      </c>
      <c r="I111" s="21" t="s">
        <v>6014</v>
      </c>
      <c r="J111" s="23" t="s">
        <v>6170</v>
      </c>
    </row>
    <row r="112" customFormat="1" ht="36" spans="1:10">
      <c r="A112" s="21"/>
      <c r="B112" s="21"/>
      <c r="C112" s="42" t="s">
        <v>6171</v>
      </c>
      <c r="D112" s="43" t="s">
        <v>6172</v>
      </c>
      <c r="E112" s="44" t="s">
        <v>613</v>
      </c>
      <c r="F112" s="43" t="s">
        <v>615</v>
      </c>
      <c r="G112" s="21" t="s">
        <v>658</v>
      </c>
      <c r="H112" s="27" t="s">
        <v>295</v>
      </c>
      <c r="I112" s="21" t="s">
        <v>6014</v>
      </c>
      <c r="J112" s="23" t="s">
        <v>6170</v>
      </c>
    </row>
    <row r="113" customFormat="1" ht="53" spans="1:10">
      <c r="A113" s="21"/>
      <c r="B113" s="21"/>
      <c r="C113" s="42" t="s">
        <v>4275</v>
      </c>
      <c r="D113" s="43" t="s">
        <v>4276</v>
      </c>
      <c r="E113" s="44" t="s">
        <v>613</v>
      </c>
      <c r="F113" s="43" t="s">
        <v>615</v>
      </c>
      <c r="G113" s="21" t="s">
        <v>658</v>
      </c>
      <c r="H113" s="27" t="s">
        <v>295</v>
      </c>
      <c r="I113" s="21" t="s">
        <v>6014</v>
      </c>
      <c r="J113" s="23" t="s">
        <v>6173</v>
      </c>
    </row>
    <row r="114" customFormat="1" ht="36" spans="1:10">
      <c r="A114" s="21"/>
      <c r="B114" s="21"/>
      <c r="C114" s="42" t="s">
        <v>3004</v>
      </c>
      <c r="D114" s="43" t="s">
        <v>3005</v>
      </c>
      <c r="E114" s="44" t="s">
        <v>613</v>
      </c>
      <c r="F114" s="43" t="s">
        <v>615</v>
      </c>
      <c r="G114" s="21" t="s">
        <v>658</v>
      </c>
      <c r="H114" s="27" t="s">
        <v>295</v>
      </c>
      <c r="I114" s="21" t="s">
        <v>6014</v>
      </c>
      <c r="J114" s="23" t="s">
        <v>6174</v>
      </c>
    </row>
    <row r="115" customFormat="1" ht="53" spans="1:10">
      <c r="A115" s="21"/>
      <c r="B115" s="21"/>
      <c r="C115" s="42" t="s">
        <v>6175</v>
      </c>
      <c r="D115" s="43" t="s">
        <v>6176</v>
      </c>
      <c r="E115" s="44" t="s">
        <v>6175</v>
      </c>
      <c r="F115" s="43" t="s">
        <v>885</v>
      </c>
      <c r="G115" s="21" t="s">
        <v>6177</v>
      </c>
      <c r="H115" s="27" t="s">
        <v>833</v>
      </c>
      <c r="I115" s="21" t="s">
        <v>6014</v>
      </c>
      <c r="J115" s="23" t="s">
        <v>6178</v>
      </c>
    </row>
    <row r="116" customFormat="1" ht="36" spans="1:10">
      <c r="A116" s="21"/>
      <c r="B116" s="21"/>
      <c r="C116" s="42" t="s">
        <v>4967</v>
      </c>
      <c r="D116" s="43" t="s">
        <v>2232</v>
      </c>
      <c r="E116" s="44" t="s">
        <v>302</v>
      </c>
      <c r="F116" s="43" t="s">
        <v>301</v>
      </c>
      <c r="G116" s="21" t="s">
        <v>304</v>
      </c>
      <c r="H116" s="27" t="s">
        <v>310</v>
      </c>
      <c r="I116" s="21" t="s">
        <v>6014</v>
      </c>
      <c r="J116" s="23" t="s">
        <v>6179</v>
      </c>
    </row>
    <row r="117" customFormat="1" ht="36" spans="1:10">
      <c r="A117" s="21"/>
      <c r="B117" s="21"/>
      <c r="C117" s="42" t="s">
        <v>4271</v>
      </c>
      <c r="D117" s="43" t="s">
        <v>4272</v>
      </c>
      <c r="E117" s="44" t="s">
        <v>302</v>
      </c>
      <c r="F117" s="43" t="s">
        <v>301</v>
      </c>
      <c r="G117" s="21" t="s">
        <v>304</v>
      </c>
      <c r="H117" s="27" t="s">
        <v>310</v>
      </c>
      <c r="I117" s="21" t="s">
        <v>6014</v>
      </c>
      <c r="J117" s="23" t="s">
        <v>6174</v>
      </c>
    </row>
    <row r="118" customFormat="1" ht="53" spans="1:10">
      <c r="A118" s="21"/>
      <c r="B118" s="21"/>
      <c r="C118" s="42" t="s">
        <v>3041</v>
      </c>
      <c r="D118" s="43" t="s">
        <v>3042</v>
      </c>
      <c r="E118" s="44" t="s">
        <v>570</v>
      </c>
      <c r="F118" s="43" t="s">
        <v>569</v>
      </c>
      <c r="G118" s="21" t="s">
        <v>572</v>
      </c>
      <c r="H118" s="27" t="s">
        <v>385</v>
      </c>
      <c r="I118" s="21" t="s">
        <v>6014</v>
      </c>
      <c r="J118" s="23" t="s">
        <v>6174</v>
      </c>
    </row>
    <row r="119" customFormat="1" ht="53" spans="1:10">
      <c r="A119" s="21"/>
      <c r="B119" s="21"/>
      <c r="C119" s="42" t="s">
        <v>3023</v>
      </c>
      <c r="D119" s="43" t="s">
        <v>3024</v>
      </c>
      <c r="E119" s="44" t="s">
        <v>570</v>
      </c>
      <c r="F119" s="43" t="s">
        <v>569</v>
      </c>
      <c r="G119" s="21" t="s">
        <v>572</v>
      </c>
      <c r="H119" s="27" t="s">
        <v>385</v>
      </c>
      <c r="I119" s="21" t="s">
        <v>6014</v>
      </c>
      <c r="J119" s="23" t="s">
        <v>6174</v>
      </c>
    </row>
    <row r="120" customFormat="1" ht="36" spans="1:10">
      <c r="A120" s="21"/>
      <c r="B120" s="21"/>
      <c r="C120" s="42" t="s">
        <v>6180</v>
      </c>
      <c r="D120" s="43" t="s">
        <v>6181</v>
      </c>
      <c r="E120" s="44" t="s">
        <v>353</v>
      </c>
      <c r="F120" s="43" t="s">
        <v>361</v>
      </c>
      <c r="G120" s="21" t="s">
        <v>355</v>
      </c>
      <c r="H120" s="27" t="s">
        <v>385</v>
      </c>
      <c r="I120" s="21" t="s">
        <v>6014</v>
      </c>
      <c r="J120" s="23" t="s">
        <v>6174</v>
      </c>
    </row>
    <row r="121" customFormat="1" spans="1:10">
      <c r="A121" s="37" t="s">
        <v>6183</v>
      </c>
      <c r="B121" s="38" t="s">
        <v>124</v>
      </c>
      <c r="C121" s="21"/>
      <c r="D121" s="27"/>
      <c r="E121" s="21"/>
      <c r="F121" s="27"/>
      <c r="G121" s="21"/>
      <c r="H121" s="27"/>
      <c r="I121" s="21"/>
      <c r="J121" s="21"/>
    </row>
    <row r="122" customFormat="1" ht="53" spans="1:10">
      <c r="A122" s="21"/>
      <c r="B122" s="21"/>
      <c r="C122" s="21" t="s">
        <v>2443</v>
      </c>
      <c r="D122" s="27" t="s">
        <v>2444</v>
      </c>
      <c r="E122" s="21" t="s">
        <v>353</v>
      </c>
      <c r="F122" s="27" t="s">
        <v>361</v>
      </c>
      <c r="G122" s="21" t="s">
        <v>355</v>
      </c>
      <c r="H122" s="27" t="s">
        <v>385</v>
      </c>
      <c r="I122" s="21" t="s">
        <v>6014</v>
      </c>
      <c r="J122" s="23" t="s">
        <v>6155</v>
      </c>
    </row>
    <row r="123" customFormat="1" ht="124" spans="1:10">
      <c r="A123" s="21"/>
      <c r="B123" s="21"/>
      <c r="C123" s="21" t="s">
        <v>2447</v>
      </c>
      <c r="D123" s="27" t="s">
        <v>2448</v>
      </c>
      <c r="E123" s="21" t="s">
        <v>457</v>
      </c>
      <c r="F123" s="27" t="s">
        <v>460</v>
      </c>
      <c r="G123" s="21" t="s">
        <v>6156</v>
      </c>
      <c r="H123" s="27" t="s">
        <v>464</v>
      </c>
      <c r="I123" s="21" t="s">
        <v>6014</v>
      </c>
      <c r="J123" s="23" t="s">
        <v>6155</v>
      </c>
    </row>
    <row r="124" customFormat="1" ht="53" spans="1:10">
      <c r="A124" s="21"/>
      <c r="B124" s="21"/>
      <c r="C124" s="21" t="s">
        <v>2451</v>
      </c>
      <c r="D124" s="27" t="s">
        <v>2452</v>
      </c>
      <c r="E124" s="21" t="s">
        <v>461</v>
      </c>
      <c r="F124" s="27" t="s">
        <v>465</v>
      </c>
      <c r="G124" s="21" t="s">
        <v>6052</v>
      </c>
      <c r="H124" s="27" t="s">
        <v>518</v>
      </c>
      <c r="I124" s="21" t="s">
        <v>6014</v>
      </c>
      <c r="J124" s="23" t="s">
        <v>6155</v>
      </c>
    </row>
    <row r="125" customFormat="1" spans="1:10">
      <c r="A125" s="37" t="s">
        <v>6184</v>
      </c>
      <c r="B125" s="38" t="s">
        <v>6185</v>
      </c>
      <c r="C125" s="47"/>
      <c r="D125" s="31"/>
      <c r="E125" s="21"/>
      <c r="F125" s="27"/>
      <c r="G125" s="21"/>
      <c r="H125" s="27"/>
      <c r="I125" s="21"/>
      <c r="J125" s="21"/>
    </row>
    <row r="126" customFormat="1" ht="124" spans="1:10">
      <c r="A126" s="39"/>
      <c r="B126" s="40"/>
      <c r="C126" s="31" t="s">
        <v>6186</v>
      </c>
      <c r="D126" s="31" t="s">
        <v>3637</v>
      </c>
      <c r="E126" s="21" t="s">
        <v>6186</v>
      </c>
      <c r="F126" s="27" t="s">
        <v>897</v>
      </c>
      <c r="G126" s="21" t="s">
        <v>6187</v>
      </c>
      <c r="H126" s="27" t="s">
        <v>443</v>
      </c>
      <c r="I126" s="21" t="s">
        <v>6014</v>
      </c>
      <c r="J126" s="23" t="s">
        <v>6188</v>
      </c>
    </row>
    <row r="127" customFormat="1" ht="36" spans="1:10">
      <c r="A127" s="39"/>
      <c r="B127" s="40"/>
      <c r="C127" s="21" t="s">
        <v>6162</v>
      </c>
      <c r="D127" s="27" t="s">
        <v>6163</v>
      </c>
      <c r="E127" s="21" t="s">
        <v>6162</v>
      </c>
      <c r="F127" s="27" t="s">
        <v>6164</v>
      </c>
      <c r="G127" s="21" t="s">
        <v>6165</v>
      </c>
      <c r="H127" s="41">
        <v>0</v>
      </c>
      <c r="I127" s="21" t="s">
        <v>6014</v>
      </c>
      <c r="J127" s="23" t="s">
        <v>6166</v>
      </c>
    </row>
    <row r="128" customFormat="1" ht="36" spans="1:10">
      <c r="A128" s="21"/>
      <c r="B128" s="21"/>
      <c r="C128" s="21" t="s">
        <v>6175</v>
      </c>
      <c r="D128" s="21" t="s">
        <v>6176</v>
      </c>
      <c r="E128" s="21" t="s">
        <v>6175</v>
      </c>
      <c r="F128" s="27" t="s">
        <v>885</v>
      </c>
      <c r="G128" s="21" t="s">
        <v>6177</v>
      </c>
      <c r="H128" s="27" t="s">
        <v>833</v>
      </c>
      <c r="I128" s="21" t="s">
        <v>6014</v>
      </c>
      <c r="J128" s="23" t="s">
        <v>6189</v>
      </c>
    </row>
    <row r="129" customFormat="1" ht="53" spans="1:10">
      <c r="A129" s="21"/>
      <c r="B129" s="21"/>
      <c r="C129" s="21" t="s">
        <v>6190</v>
      </c>
      <c r="D129" s="21" t="s">
        <v>6191</v>
      </c>
      <c r="E129" s="21" t="s">
        <v>287</v>
      </c>
      <c r="F129" s="27" t="s">
        <v>286</v>
      </c>
      <c r="G129" s="21" t="s">
        <v>289</v>
      </c>
      <c r="H129" s="27" t="s">
        <v>6027</v>
      </c>
      <c r="I129" s="21" t="s">
        <v>6014</v>
      </c>
      <c r="J129" s="23" t="s">
        <v>6192</v>
      </c>
    </row>
    <row r="130" customFormat="1" ht="36" spans="1:10">
      <c r="A130" s="21"/>
      <c r="B130" s="21"/>
      <c r="C130" s="21" t="s">
        <v>6193</v>
      </c>
      <c r="D130" s="21" t="s">
        <v>6194</v>
      </c>
      <c r="E130" s="21" t="s">
        <v>302</v>
      </c>
      <c r="F130" s="27" t="s">
        <v>296</v>
      </c>
      <c r="G130" s="21" t="s">
        <v>304</v>
      </c>
      <c r="H130" s="27" t="s">
        <v>305</v>
      </c>
      <c r="I130" s="21" t="s">
        <v>6014</v>
      </c>
      <c r="J130" s="23" t="s">
        <v>6195</v>
      </c>
    </row>
    <row r="131" customFormat="1" ht="71" spans="1:10">
      <c r="A131" s="21"/>
      <c r="B131" s="21"/>
      <c r="C131" s="21" t="s">
        <v>3542</v>
      </c>
      <c r="D131" s="21" t="s">
        <v>3543</v>
      </c>
      <c r="E131" s="21" t="s">
        <v>292</v>
      </c>
      <c r="F131" s="27" t="s">
        <v>291</v>
      </c>
      <c r="G131" s="21" t="s">
        <v>6196</v>
      </c>
      <c r="H131" s="27" t="s">
        <v>295</v>
      </c>
      <c r="I131" s="21" t="s">
        <v>6014</v>
      </c>
      <c r="J131" s="23" t="s">
        <v>6197</v>
      </c>
    </row>
    <row r="132" customFormat="1" ht="71" spans="1:10">
      <c r="A132" s="21"/>
      <c r="B132" s="21"/>
      <c r="C132" s="21" t="s">
        <v>3546</v>
      </c>
      <c r="D132" s="21" t="s">
        <v>3547</v>
      </c>
      <c r="E132" s="21" t="s">
        <v>624</v>
      </c>
      <c r="F132" s="27" t="s">
        <v>631</v>
      </c>
      <c r="G132" s="21" t="s">
        <v>6132</v>
      </c>
      <c r="H132" s="27" t="s">
        <v>290</v>
      </c>
      <c r="I132" s="21" t="s">
        <v>6014</v>
      </c>
      <c r="J132" s="23" t="s">
        <v>6197</v>
      </c>
    </row>
    <row r="133" customFormat="1" ht="71" spans="1:10">
      <c r="A133" s="21"/>
      <c r="B133" s="21"/>
      <c r="C133" s="21" t="s">
        <v>3550</v>
      </c>
      <c r="D133" s="21" t="s">
        <v>3551</v>
      </c>
      <c r="E133" s="21" t="s">
        <v>609</v>
      </c>
      <c r="F133" s="27" t="s">
        <v>612</v>
      </c>
      <c r="G133" s="21" t="s">
        <v>658</v>
      </c>
      <c r="H133" s="27" t="s">
        <v>295</v>
      </c>
      <c r="I133" s="21" t="s">
        <v>6014</v>
      </c>
      <c r="J133" s="23" t="s">
        <v>6197</v>
      </c>
    </row>
    <row r="134" customFormat="1" ht="71" spans="1:10">
      <c r="A134" s="21"/>
      <c r="B134" s="21"/>
      <c r="C134" s="21" t="s">
        <v>3554</v>
      </c>
      <c r="D134" s="21" t="s">
        <v>3555</v>
      </c>
      <c r="E134" s="21" t="s">
        <v>570</v>
      </c>
      <c r="F134" s="27" t="s">
        <v>569</v>
      </c>
      <c r="G134" s="21" t="s">
        <v>572</v>
      </c>
      <c r="H134" s="27" t="s">
        <v>385</v>
      </c>
      <c r="I134" s="21" t="s">
        <v>6014</v>
      </c>
      <c r="J134" s="23" t="s">
        <v>6197</v>
      </c>
    </row>
    <row r="135" customFormat="1" ht="36" spans="1:10">
      <c r="A135" s="21"/>
      <c r="B135" s="21"/>
      <c r="C135" s="21" t="s">
        <v>714</v>
      </c>
      <c r="D135" s="21" t="s">
        <v>2431</v>
      </c>
      <c r="E135" s="21" t="s">
        <v>714</v>
      </c>
      <c r="F135" s="27" t="s">
        <v>726</v>
      </c>
      <c r="G135" s="21" t="s">
        <v>716</v>
      </c>
      <c r="H135" s="27" t="s">
        <v>285</v>
      </c>
      <c r="I135" s="21" t="s">
        <v>6014</v>
      </c>
      <c r="J135" s="23" t="s">
        <v>6198</v>
      </c>
    </row>
    <row r="136" customFormat="1" ht="141" spans="1:10">
      <c r="A136" s="21"/>
      <c r="B136" s="21"/>
      <c r="C136" s="21" t="s">
        <v>6199</v>
      </c>
      <c r="D136" s="21" t="s">
        <v>6200</v>
      </c>
      <c r="E136" s="21" t="s">
        <v>710</v>
      </c>
      <c r="F136" s="27" t="s">
        <v>709</v>
      </c>
      <c r="G136" s="21" t="s">
        <v>6201</v>
      </c>
      <c r="H136" s="27" t="s">
        <v>385</v>
      </c>
      <c r="I136" s="21" t="s">
        <v>6014</v>
      </c>
      <c r="J136" s="23" t="s">
        <v>6202</v>
      </c>
    </row>
    <row r="137" customFormat="1" ht="15" customHeight="1" spans="1:10">
      <c r="A137" s="19" t="s">
        <v>6203</v>
      </c>
      <c r="B137" s="24" t="s">
        <v>6204</v>
      </c>
      <c r="C137" s="34" t="s">
        <v>6205</v>
      </c>
      <c r="D137" s="35"/>
      <c r="E137" s="21"/>
      <c r="F137" s="27"/>
      <c r="G137" s="21"/>
      <c r="H137" s="27"/>
      <c r="I137" s="21"/>
      <c r="J137" s="21"/>
    </row>
    <row r="138" customFormat="1" ht="45" customHeight="1" spans="1:10">
      <c r="A138" s="25"/>
      <c r="B138" s="26"/>
      <c r="C138" s="31" t="s">
        <v>6186</v>
      </c>
      <c r="D138" s="31" t="s">
        <v>3637</v>
      </c>
      <c r="E138" s="21" t="s">
        <v>6186</v>
      </c>
      <c r="F138" s="27" t="s">
        <v>897</v>
      </c>
      <c r="G138" s="21" t="s">
        <v>6187</v>
      </c>
      <c r="H138" s="27" t="s">
        <v>443</v>
      </c>
      <c r="I138" s="21" t="s">
        <v>6014</v>
      </c>
      <c r="J138" s="23" t="s">
        <v>6188</v>
      </c>
    </row>
    <row r="139" customFormat="1" ht="45" customHeight="1" spans="1:10">
      <c r="A139" s="25"/>
      <c r="B139" s="26"/>
      <c r="C139" s="21" t="s">
        <v>6193</v>
      </c>
      <c r="D139" s="21" t="s">
        <v>6194</v>
      </c>
      <c r="E139" s="21" t="s">
        <v>302</v>
      </c>
      <c r="F139" s="27" t="s">
        <v>296</v>
      </c>
      <c r="G139" s="21" t="s">
        <v>304</v>
      </c>
      <c r="H139" s="27" t="s">
        <v>305</v>
      </c>
      <c r="I139" s="21" t="s">
        <v>6014</v>
      </c>
      <c r="J139" s="23" t="s">
        <v>6195</v>
      </c>
    </row>
    <row r="140" customFormat="1" ht="15" customHeight="1" spans="1:10">
      <c r="A140" s="21"/>
      <c r="B140" s="21"/>
      <c r="C140" s="21" t="s">
        <v>3542</v>
      </c>
      <c r="D140" s="21" t="s">
        <v>3543</v>
      </c>
      <c r="E140" s="21" t="s">
        <v>292</v>
      </c>
      <c r="F140" s="27" t="s">
        <v>291</v>
      </c>
      <c r="G140" s="21" t="s">
        <v>6196</v>
      </c>
      <c r="H140" s="27" t="s">
        <v>295</v>
      </c>
      <c r="I140" s="21" t="s">
        <v>6014</v>
      </c>
      <c r="J140" s="23" t="s">
        <v>6197</v>
      </c>
    </row>
    <row r="141" customFormat="1" ht="15" customHeight="1" spans="1:10">
      <c r="A141" s="21"/>
      <c r="B141" s="21"/>
      <c r="C141" s="21" t="s">
        <v>3546</v>
      </c>
      <c r="D141" s="21" t="s">
        <v>3547</v>
      </c>
      <c r="E141" s="21" t="s">
        <v>624</v>
      </c>
      <c r="F141" s="27" t="s">
        <v>631</v>
      </c>
      <c r="G141" s="21" t="s">
        <v>6132</v>
      </c>
      <c r="H141" s="27" t="s">
        <v>290</v>
      </c>
      <c r="I141" s="21" t="s">
        <v>6014</v>
      </c>
      <c r="J141" s="23" t="s">
        <v>6197</v>
      </c>
    </row>
    <row r="142" customFormat="1" ht="15" customHeight="1" spans="1:10">
      <c r="A142" s="21"/>
      <c r="B142" s="21"/>
      <c r="C142" s="21" t="s">
        <v>3550</v>
      </c>
      <c r="D142" s="21" t="s">
        <v>3551</v>
      </c>
      <c r="E142" s="21" t="s">
        <v>609</v>
      </c>
      <c r="F142" s="27" t="s">
        <v>612</v>
      </c>
      <c r="G142" s="21" t="s">
        <v>658</v>
      </c>
      <c r="H142" s="27" t="s">
        <v>295</v>
      </c>
      <c r="I142" s="21" t="s">
        <v>6014</v>
      </c>
      <c r="J142" s="23" t="s">
        <v>6197</v>
      </c>
    </row>
    <row r="143" customFormat="1" ht="15" customHeight="1" spans="1:10">
      <c r="A143" s="21"/>
      <c r="B143" s="21"/>
      <c r="C143" s="21" t="s">
        <v>3554</v>
      </c>
      <c r="D143" s="21" t="s">
        <v>3555</v>
      </c>
      <c r="E143" s="21" t="s">
        <v>570</v>
      </c>
      <c r="F143" s="27" t="s">
        <v>569</v>
      </c>
      <c r="G143" s="21" t="s">
        <v>572</v>
      </c>
      <c r="H143" s="27" t="s">
        <v>385</v>
      </c>
      <c r="I143" s="21" t="s">
        <v>6014</v>
      </c>
      <c r="J143" s="23" t="s">
        <v>6197</v>
      </c>
    </row>
    <row r="144" customFormat="1" ht="36" spans="1:10">
      <c r="A144" s="21"/>
      <c r="B144" s="21"/>
      <c r="C144" s="21" t="s">
        <v>6175</v>
      </c>
      <c r="D144" s="21" t="s">
        <v>6176</v>
      </c>
      <c r="E144" s="21" t="s">
        <v>6175</v>
      </c>
      <c r="F144" s="27" t="s">
        <v>885</v>
      </c>
      <c r="G144" s="21" t="s">
        <v>6177</v>
      </c>
      <c r="H144" s="27" t="s">
        <v>833</v>
      </c>
      <c r="I144" s="21" t="s">
        <v>6014</v>
      </c>
      <c r="J144" s="23" t="s">
        <v>6206</v>
      </c>
    </row>
    <row r="145" customFormat="1" ht="36" spans="1:10">
      <c r="A145" s="21"/>
      <c r="B145" s="21"/>
      <c r="C145" s="21" t="s">
        <v>714</v>
      </c>
      <c r="D145" s="21" t="s">
        <v>2431</v>
      </c>
      <c r="E145" s="21" t="s">
        <v>714</v>
      </c>
      <c r="F145" s="27" t="s">
        <v>726</v>
      </c>
      <c r="G145" s="21" t="s">
        <v>716</v>
      </c>
      <c r="H145" s="27" t="s">
        <v>285</v>
      </c>
      <c r="I145" s="21" t="s">
        <v>6014</v>
      </c>
      <c r="J145" s="23" t="s">
        <v>6198</v>
      </c>
    </row>
    <row r="146" customFormat="1" ht="141" spans="1:10">
      <c r="A146" s="21"/>
      <c r="B146" s="21"/>
      <c r="C146" s="21" t="s">
        <v>6199</v>
      </c>
      <c r="D146" s="21" t="s">
        <v>6200</v>
      </c>
      <c r="E146" s="21" t="s">
        <v>710</v>
      </c>
      <c r="F146" s="27" t="s">
        <v>709</v>
      </c>
      <c r="G146" s="21" t="s">
        <v>6201</v>
      </c>
      <c r="H146" s="27" t="s">
        <v>385</v>
      </c>
      <c r="I146" s="21" t="s">
        <v>6014</v>
      </c>
      <c r="J146" s="23" t="s">
        <v>6202</v>
      </c>
    </row>
    <row r="147" customFormat="1" spans="1:10">
      <c r="A147" s="19" t="s">
        <v>128</v>
      </c>
      <c r="B147" s="19" t="s">
        <v>129</v>
      </c>
      <c r="C147" s="24" t="s">
        <v>6207</v>
      </c>
      <c r="D147" s="21"/>
      <c r="E147" s="21"/>
      <c r="F147" s="27"/>
      <c r="G147" s="21"/>
      <c r="H147" s="27"/>
      <c r="I147" s="21"/>
      <c r="J147" s="21"/>
    </row>
    <row r="148" customFormat="1" ht="36" spans="1:10">
      <c r="A148" s="21"/>
      <c r="B148" s="21"/>
      <c r="C148" s="21" t="s">
        <v>6208</v>
      </c>
      <c r="D148" s="21" t="s">
        <v>6209</v>
      </c>
      <c r="E148" s="21" t="s">
        <v>6208</v>
      </c>
      <c r="F148" s="27" t="s">
        <v>742</v>
      </c>
      <c r="G148" s="21" t="s">
        <v>6210</v>
      </c>
      <c r="H148" s="27" t="s">
        <v>518</v>
      </c>
      <c r="I148" s="21" t="s">
        <v>6014</v>
      </c>
      <c r="J148" s="23" t="s">
        <v>6211</v>
      </c>
    </row>
    <row r="149" customFormat="1" ht="36" spans="1:10">
      <c r="A149" s="21"/>
      <c r="B149" s="21"/>
      <c r="C149" s="21" t="s">
        <v>6162</v>
      </c>
      <c r="D149" s="21" t="s">
        <v>6163</v>
      </c>
      <c r="E149" s="21" t="s">
        <v>6162</v>
      </c>
      <c r="F149" s="27" t="s">
        <v>6164</v>
      </c>
      <c r="G149" s="21" t="s">
        <v>6165</v>
      </c>
      <c r="H149" s="27">
        <v>0</v>
      </c>
      <c r="I149" s="21" t="s">
        <v>6014</v>
      </c>
      <c r="J149" s="23" t="s">
        <v>6212</v>
      </c>
    </row>
    <row r="150" customFormat="1" ht="66" customHeight="1" spans="1:10">
      <c r="A150" s="21"/>
      <c r="B150" s="21"/>
      <c r="C150" s="21" t="s">
        <v>6213</v>
      </c>
      <c r="D150" s="21" t="s">
        <v>6214</v>
      </c>
      <c r="E150" s="21" t="s">
        <v>6213</v>
      </c>
      <c r="F150" s="27" t="s">
        <v>6215</v>
      </c>
      <c r="G150" s="21" t="s">
        <v>6216</v>
      </c>
      <c r="H150" s="27" t="s">
        <v>356</v>
      </c>
      <c r="I150" s="21" t="s">
        <v>6014</v>
      </c>
      <c r="J150" s="23" t="s">
        <v>6217</v>
      </c>
    </row>
    <row r="151" customFormat="1" ht="30" customHeight="1" spans="1:10">
      <c r="A151" s="21"/>
      <c r="B151" s="21"/>
      <c r="C151" s="21" t="s">
        <v>760</v>
      </c>
      <c r="D151" s="21" t="s">
        <v>2960</v>
      </c>
      <c r="E151" s="21" t="s">
        <v>760</v>
      </c>
      <c r="F151" s="413" t="s">
        <v>759</v>
      </c>
      <c r="G151" s="21" t="s">
        <v>6218</v>
      </c>
      <c r="H151" s="27" t="s">
        <v>941</v>
      </c>
      <c r="I151" s="21" t="s">
        <v>6014</v>
      </c>
      <c r="J151" s="23" t="s">
        <v>6219</v>
      </c>
    </row>
    <row r="152" customFormat="1" ht="30" customHeight="1" spans="1:10">
      <c r="A152" s="21"/>
      <c r="B152" s="21"/>
      <c r="C152" s="21" t="s">
        <v>6175</v>
      </c>
      <c r="D152" s="21" t="s">
        <v>6176</v>
      </c>
      <c r="E152" s="21" t="s">
        <v>6175</v>
      </c>
      <c r="F152" s="413" t="s">
        <v>869</v>
      </c>
      <c r="G152" s="21" t="s">
        <v>6220</v>
      </c>
      <c r="H152" s="27" t="s">
        <v>6221</v>
      </c>
      <c r="I152" s="21" t="s">
        <v>6014</v>
      </c>
      <c r="J152" s="23" t="s">
        <v>6219</v>
      </c>
    </row>
    <row r="153" customFormat="1" ht="66" customHeight="1" spans="1:10">
      <c r="A153" s="21"/>
      <c r="B153" s="21"/>
      <c r="C153" s="21" t="s">
        <v>3067</v>
      </c>
      <c r="D153" s="21" t="s">
        <v>3068</v>
      </c>
      <c r="E153" s="21" t="s">
        <v>3067</v>
      </c>
      <c r="F153" s="413" t="s">
        <v>6222</v>
      </c>
      <c r="G153" s="21" t="s">
        <v>6223</v>
      </c>
      <c r="H153" s="27" t="s">
        <v>356</v>
      </c>
      <c r="I153" s="21" t="s">
        <v>6014</v>
      </c>
      <c r="J153" s="23" t="s">
        <v>6219</v>
      </c>
    </row>
    <row r="154" customFormat="1" ht="66" customHeight="1" spans="1:10">
      <c r="A154" s="21"/>
      <c r="B154" s="21"/>
      <c r="C154" s="21" t="s">
        <v>768</v>
      </c>
      <c r="D154" s="21" t="s">
        <v>6224</v>
      </c>
      <c r="E154" s="21" t="s">
        <v>768</v>
      </c>
      <c r="F154" s="413" t="s">
        <v>767</v>
      </c>
      <c r="G154" s="21" t="s">
        <v>6225</v>
      </c>
      <c r="H154" s="27" t="s">
        <v>518</v>
      </c>
      <c r="I154" s="21" t="s">
        <v>6014</v>
      </c>
      <c r="J154" s="23" t="s">
        <v>6219</v>
      </c>
    </row>
    <row r="155" customFormat="1" ht="24" customHeight="1" spans="1:10">
      <c r="A155" s="19" t="s">
        <v>6226</v>
      </c>
      <c r="B155" s="24" t="s">
        <v>6227</v>
      </c>
      <c r="C155" s="34" t="s">
        <v>6228</v>
      </c>
      <c r="D155" s="21"/>
      <c r="E155" s="21"/>
      <c r="F155" s="27"/>
      <c r="G155" s="21"/>
      <c r="H155" s="27"/>
      <c r="I155" s="21"/>
      <c r="J155" s="23"/>
    </row>
    <row r="156" customFormat="1" ht="42" customHeight="1" spans="1:10">
      <c r="A156" s="21"/>
      <c r="B156" s="21"/>
      <c r="C156" s="21" t="s">
        <v>6229</v>
      </c>
      <c r="D156" s="21" t="s">
        <v>6230</v>
      </c>
      <c r="E156" s="21" t="s">
        <v>681</v>
      </c>
      <c r="F156" s="27" t="s">
        <v>688</v>
      </c>
      <c r="G156" s="21" t="s">
        <v>683</v>
      </c>
      <c r="H156" s="27" t="s">
        <v>518</v>
      </c>
      <c r="I156" s="21" t="s">
        <v>6014</v>
      </c>
      <c r="J156" s="23" t="s">
        <v>6231</v>
      </c>
    </row>
    <row r="157" customFormat="1" ht="39" customHeight="1" spans="1:10">
      <c r="A157" s="21"/>
      <c r="B157" s="21"/>
      <c r="C157" s="21" t="s">
        <v>6232</v>
      </c>
      <c r="D157" s="21" t="s">
        <v>6233</v>
      </c>
      <c r="E157" s="21" t="s">
        <v>677</v>
      </c>
      <c r="F157" s="27" t="s">
        <v>684</v>
      </c>
      <c r="G157" s="21" t="s">
        <v>679</v>
      </c>
      <c r="H157" s="27" t="s">
        <v>518</v>
      </c>
      <c r="I157" s="21" t="s">
        <v>6014</v>
      </c>
      <c r="J157" s="23" t="s">
        <v>6231</v>
      </c>
    </row>
    <row r="158" customFormat="1" ht="39" customHeight="1" spans="1:10">
      <c r="A158" s="21"/>
      <c r="B158" s="21"/>
      <c r="C158" s="21" t="s">
        <v>2459</v>
      </c>
      <c r="D158" s="21" t="s">
        <v>2460</v>
      </c>
      <c r="E158" s="21" t="s">
        <v>368</v>
      </c>
      <c r="F158" s="27" t="s">
        <v>367</v>
      </c>
      <c r="G158" s="21" t="s">
        <v>6234</v>
      </c>
      <c r="H158" s="27" t="s">
        <v>323</v>
      </c>
      <c r="I158" s="21" t="s">
        <v>6014</v>
      </c>
      <c r="J158" s="23" t="s">
        <v>6235</v>
      </c>
    </row>
    <row r="159" customFormat="1" ht="39" customHeight="1" spans="1:10">
      <c r="A159" s="19" t="s">
        <v>181</v>
      </c>
      <c r="B159" s="24" t="s">
        <v>182</v>
      </c>
      <c r="C159" s="34" t="s">
        <v>6236</v>
      </c>
      <c r="D159" s="21"/>
      <c r="E159" s="21"/>
      <c r="F159" s="27"/>
      <c r="G159" s="21"/>
      <c r="H159" s="27"/>
      <c r="I159" s="21"/>
      <c r="J159" s="23"/>
    </row>
    <row r="160" customFormat="1" ht="39" customHeight="1" spans="1:10">
      <c r="A160" s="25"/>
      <c r="B160" s="26"/>
      <c r="C160" s="36" t="s">
        <v>6237</v>
      </c>
      <c r="D160" s="21" t="s">
        <v>3869</v>
      </c>
      <c r="E160" s="21" t="s">
        <v>656</v>
      </c>
      <c r="F160" s="27" t="s">
        <v>664</v>
      </c>
      <c r="G160" s="21" t="s">
        <v>658</v>
      </c>
      <c r="H160" s="27" t="s">
        <v>295</v>
      </c>
      <c r="I160" s="21" t="s">
        <v>6014</v>
      </c>
      <c r="J160" s="23" t="s">
        <v>6238</v>
      </c>
    </row>
    <row r="161" customFormat="1" ht="34" customHeight="1" spans="1:10">
      <c r="A161" s="25"/>
      <c r="B161" s="26"/>
      <c r="C161" s="36" t="s">
        <v>457</v>
      </c>
      <c r="D161" s="21" t="s">
        <v>1592</v>
      </c>
      <c r="E161" s="21" t="s">
        <v>457</v>
      </c>
      <c r="F161" s="27" t="s">
        <v>456</v>
      </c>
      <c r="G161" s="21" t="s">
        <v>6239</v>
      </c>
      <c r="H161" s="27" t="s">
        <v>385</v>
      </c>
      <c r="I161" s="21" t="s">
        <v>6014</v>
      </c>
      <c r="J161" s="23"/>
    </row>
    <row r="162" customFormat="1" ht="25" customHeight="1" spans="1:10">
      <c r="A162" s="25"/>
      <c r="B162" s="26"/>
      <c r="C162" s="36" t="s">
        <v>461</v>
      </c>
      <c r="D162" s="21" t="s">
        <v>1594</v>
      </c>
      <c r="E162" s="21" t="s">
        <v>461</v>
      </c>
      <c r="F162" s="27" t="s">
        <v>460</v>
      </c>
      <c r="G162" s="21" t="s">
        <v>6240</v>
      </c>
      <c r="H162" s="27" t="s">
        <v>385</v>
      </c>
      <c r="I162" s="21" t="s">
        <v>6014</v>
      </c>
      <c r="J162" s="23"/>
    </row>
    <row r="163" customFormat="1" ht="24" customHeight="1" spans="1:10">
      <c r="A163" s="19" t="s">
        <v>6241</v>
      </c>
      <c r="B163" s="24" t="s">
        <v>6242</v>
      </c>
      <c r="C163" s="34" t="s">
        <v>6207</v>
      </c>
      <c r="D163" s="21"/>
      <c r="E163" s="21"/>
      <c r="F163" s="27"/>
      <c r="G163" s="21"/>
      <c r="H163" s="27"/>
      <c r="I163" s="21"/>
      <c r="J163" s="23"/>
    </row>
    <row r="164" customFormat="1" ht="24" customHeight="1" spans="1:10">
      <c r="A164" s="25"/>
      <c r="B164" s="26"/>
      <c r="C164" s="36" t="s">
        <v>6243</v>
      </c>
      <c r="D164" s="21" t="s">
        <v>2236</v>
      </c>
      <c r="E164" s="21" t="s">
        <v>302</v>
      </c>
      <c r="F164" s="27" t="s">
        <v>296</v>
      </c>
      <c r="G164" s="21" t="s">
        <v>304</v>
      </c>
      <c r="H164" s="27" t="s">
        <v>305</v>
      </c>
      <c r="I164" s="21" t="s">
        <v>6014</v>
      </c>
      <c r="J164" s="23" t="s">
        <v>6244</v>
      </c>
    </row>
    <row r="165" customFormat="1" ht="24" customHeight="1" spans="1:10">
      <c r="A165" s="25"/>
      <c r="B165" s="26"/>
      <c r="C165" s="36" t="s">
        <v>6245</v>
      </c>
      <c r="D165" s="21" t="s">
        <v>6246</v>
      </c>
      <c r="E165" s="21" t="s">
        <v>287</v>
      </c>
      <c r="F165" s="27" t="s">
        <v>286</v>
      </c>
      <c r="G165" s="21" t="s">
        <v>289</v>
      </c>
      <c r="H165" s="27" t="s">
        <v>6027</v>
      </c>
      <c r="I165" s="21" t="s">
        <v>6014</v>
      </c>
      <c r="J165" s="23" t="s">
        <v>6247</v>
      </c>
    </row>
    <row r="166" customFormat="1" ht="24" customHeight="1" spans="1:10">
      <c r="A166" s="25"/>
      <c r="B166" s="26"/>
      <c r="C166" s="36" t="s">
        <v>6248</v>
      </c>
      <c r="D166" s="21" t="s">
        <v>6249</v>
      </c>
      <c r="E166" s="21" t="s">
        <v>287</v>
      </c>
      <c r="F166" s="27" t="s">
        <v>286</v>
      </c>
      <c r="G166" s="21" t="s">
        <v>289</v>
      </c>
      <c r="H166" s="27" t="s">
        <v>6027</v>
      </c>
      <c r="I166" s="21" t="s">
        <v>6014</v>
      </c>
      <c r="J166" s="23" t="s">
        <v>6250</v>
      </c>
    </row>
    <row r="167" customFormat="1" ht="24" customHeight="1" spans="1:10">
      <c r="A167" s="19" t="s">
        <v>193</v>
      </c>
      <c r="B167" s="24" t="s">
        <v>6251</v>
      </c>
      <c r="C167" s="34" t="s">
        <v>6252</v>
      </c>
      <c r="D167" s="21"/>
      <c r="E167" s="21"/>
      <c r="F167" s="27"/>
      <c r="G167" s="21"/>
      <c r="H167" s="27"/>
      <c r="I167" s="21"/>
      <c r="J167" s="21"/>
    </row>
    <row r="168" customFormat="1" ht="24" customHeight="1" spans="1:10">
      <c r="A168" s="25"/>
      <c r="B168" s="26"/>
      <c r="C168" s="36" t="s">
        <v>624</v>
      </c>
      <c r="D168" s="21" t="s">
        <v>1989</v>
      </c>
      <c r="E168" s="21" t="s">
        <v>624</v>
      </c>
      <c r="F168" s="27" t="s">
        <v>631</v>
      </c>
      <c r="G168" s="21" t="s">
        <v>6132</v>
      </c>
      <c r="H168" s="27" t="s">
        <v>290</v>
      </c>
      <c r="I168" s="21" t="s">
        <v>6014</v>
      </c>
      <c r="J168" s="23" t="s">
        <v>6253</v>
      </c>
    </row>
    <row r="169" customFormat="1" ht="30" customHeight="1" spans="1:10">
      <c r="A169" s="25"/>
      <c r="B169" s="26"/>
      <c r="C169" s="36" t="s">
        <v>6254</v>
      </c>
      <c r="D169" s="21" t="s">
        <v>6255</v>
      </c>
      <c r="E169" s="21" t="s">
        <v>609</v>
      </c>
      <c r="F169" s="27" t="s">
        <v>612</v>
      </c>
      <c r="G169" s="21" t="s">
        <v>611</v>
      </c>
      <c r="H169" s="27" t="s">
        <v>295</v>
      </c>
      <c r="I169" s="21" t="s">
        <v>6014</v>
      </c>
      <c r="J169" s="23" t="s">
        <v>6253</v>
      </c>
    </row>
    <row r="170" customFormat="1" ht="29" customHeight="1" spans="1:10">
      <c r="A170" s="25"/>
      <c r="B170" s="26"/>
      <c r="C170" s="36" t="s">
        <v>6256</v>
      </c>
      <c r="D170" s="21" t="s">
        <v>6257</v>
      </c>
      <c r="E170" s="21" t="s">
        <v>609</v>
      </c>
      <c r="F170" s="27" t="s">
        <v>612</v>
      </c>
      <c r="G170" s="21" t="s">
        <v>611</v>
      </c>
      <c r="H170" s="27" t="s">
        <v>295</v>
      </c>
      <c r="I170" s="21" t="s">
        <v>6014</v>
      </c>
      <c r="J170" s="23" t="s">
        <v>6253</v>
      </c>
    </row>
    <row r="171" customFormat="1" ht="29" customHeight="1" spans="1:10">
      <c r="A171" s="25"/>
      <c r="B171" s="26"/>
      <c r="C171" s="36" t="s">
        <v>6258</v>
      </c>
      <c r="D171" s="21" t="s">
        <v>6259</v>
      </c>
      <c r="E171" s="21" t="s">
        <v>349</v>
      </c>
      <c r="F171" s="27" t="s">
        <v>348</v>
      </c>
      <c r="G171" s="21" t="s">
        <v>6260</v>
      </c>
      <c r="H171" s="27" t="s">
        <v>323</v>
      </c>
      <c r="I171" s="21" t="s">
        <v>6014</v>
      </c>
      <c r="J171" s="23" t="s">
        <v>6261</v>
      </c>
    </row>
    <row r="172" customFormat="1" ht="29" customHeight="1" spans="1:10">
      <c r="A172" s="25"/>
      <c r="B172" s="26"/>
      <c r="C172" s="36" t="s">
        <v>6262</v>
      </c>
      <c r="D172" s="21" t="s">
        <v>2460</v>
      </c>
      <c r="E172" s="21" t="s">
        <v>349</v>
      </c>
      <c r="F172" s="27" t="s">
        <v>348</v>
      </c>
      <c r="G172" s="21" t="s">
        <v>6260</v>
      </c>
      <c r="H172" s="27" t="s">
        <v>323</v>
      </c>
      <c r="I172" s="21" t="s">
        <v>6014</v>
      </c>
      <c r="J172" s="23" t="s">
        <v>6263</v>
      </c>
    </row>
    <row r="173" customFormat="1" spans="1:10">
      <c r="A173" s="19" t="s">
        <v>141</v>
      </c>
      <c r="B173" s="24" t="s">
        <v>142</v>
      </c>
      <c r="C173" s="21"/>
      <c r="D173" s="27"/>
      <c r="E173" s="21"/>
      <c r="F173" s="27"/>
      <c r="G173" s="21"/>
      <c r="H173" s="27"/>
      <c r="I173" s="21"/>
      <c r="J173" s="48"/>
    </row>
    <row r="174" customFormat="1" ht="36" spans="1:10">
      <c r="A174" s="27"/>
      <c r="B174" s="21"/>
      <c r="C174" s="21" t="s">
        <v>6264</v>
      </c>
      <c r="D174" s="27" t="s">
        <v>6265</v>
      </c>
      <c r="E174" s="21" t="s">
        <v>6264</v>
      </c>
      <c r="F174" s="27" t="s">
        <v>794</v>
      </c>
      <c r="G174" s="21" t="s">
        <v>377</v>
      </c>
      <c r="H174" s="27" t="s">
        <v>783</v>
      </c>
      <c r="I174" s="21" t="s">
        <v>6014</v>
      </c>
      <c r="J174" s="48"/>
    </row>
    <row r="175" s="5" customFormat="1" ht="36" spans="1:10">
      <c r="A175" s="21"/>
      <c r="B175" s="21"/>
      <c r="C175" s="21" t="s">
        <v>6266</v>
      </c>
      <c r="D175" s="27" t="s">
        <v>6267</v>
      </c>
      <c r="E175" s="21" t="s">
        <v>6266</v>
      </c>
      <c r="F175" s="27" t="s">
        <v>802</v>
      </c>
      <c r="G175" s="21" t="s">
        <v>377</v>
      </c>
      <c r="H175" s="27" t="s">
        <v>783</v>
      </c>
      <c r="I175" s="21" t="s">
        <v>6014</v>
      </c>
      <c r="J175" s="27"/>
    </row>
    <row r="176" s="5" customFormat="1" spans="1:10">
      <c r="A176" s="37" t="s">
        <v>6268</v>
      </c>
      <c r="B176" s="38" t="s">
        <v>6269</v>
      </c>
      <c r="C176" s="49" t="s">
        <v>6252</v>
      </c>
      <c r="D176" s="27"/>
      <c r="E176" s="21"/>
      <c r="F176" s="27"/>
      <c r="G176" s="21"/>
      <c r="H176" s="27"/>
      <c r="I176" s="21"/>
      <c r="J176" s="27"/>
    </row>
    <row r="177" s="5" customFormat="1" ht="53" spans="1:10">
      <c r="A177" s="21"/>
      <c r="B177" s="21"/>
      <c r="C177" s="32" t="s">
        <v>6270</v>
      </c>
      <c r="D177" s="31" t="s">
        <v>6271</v>
      </c>
      <c r="E177" s="32" t="s">
        <v>609</v>
      </c>
      <c r="F177" s="31" t="s">
        <v>612</v>
      </c>
      <c r="G177" s="33" t="s">
        <v>611</v>
      </c>
      <c r="H177" s="31" t="s">
        <v>295</v>
      </c>
      <c r="I177" s="21" t="s">
        <v>6014</v>
      </c>
      <c r="J177" s="23" t="s">
        <v>6272</v>
      </c>
    </row>
    <row r="178" s="5" customFormat="1" ht="36" spans="1:10">
      <c r="A178" s="21"/>
      <c r="B178" s="21"/>
      <c r="C178" s="21" t="s">
        <v>6273</v>
      </c>
      <c r="D178" s="27" t="s">
        <v>6274</v>
      </c>
      <c r="E178" s="21" t="s">
        <v>609</v>
      </c>
      <c r="F178" s="27" t="s">
        <v>612</v>
      </c>
      <c r="G178" s="21" t="s">
        <v>611</v>
      </c>
      <c r="H178" s="27" t="s">
        <v>295</v>
      </c>
      <c r="I178" s="21" t="s">
        <v>6014</v>
      </c>
      <c r="J178" s="23" t="s">
        <v>6275</v>
      </c>
    </row>
    <row r="179" s="5" customFormat="1" ht="36" spans="1:10">
      <c r="A179" s="21"/>
      <c r="B179" s="21"/>
      <c r="C179" s="21" t="s">
        <v>6276</v>
      </c>
      <c r="D179" s="27" t="s">
        <v>6277</v>
      </c>
      <c r="E179" s="21" t="s">
        <v>6276</v>
      </c>
      <c r="F179" s="413" t="s">
        <v>854</v>
      </c>
      <c r="G179" s="21" t="s">
        <v>484</v>
      </c>
      <c r="H179" s="27" t="s">
        <v>385</v>
      </c>
      <c r="I179" s="21" t="s">
        <v>6014</v>
      </c>
      <c r="J179" s="23" t="s">
        <v>6278</v>
      </c>
    </row>
    <row r="180" s="5" customFormat="1" ht="53" spans="1:10">
      <c r="A180" s="21"/>
      <c r="B180" s="21"/>
      <c r="C180" s="21" t="s">
        <v>824</v>
      </c>
      <c r="D180" s="27" t="s">
        <v>6279</v>
      </c>
      <c r="E180" s="21" t="s">
        <v>824</v>
      </c>
      <c r="F180" s="413" t="s">
        <v>861</v>
      </c>
      <c r="G180" s="21" t="s">
        <v>484</v>
      </c>
      <c r="H180" s="27" t="s">
        <v>385</v>
      </c>
      <c r="I180" s="21" t="s">
        <v>6014</v>
      </c>
      <c r="J180" s="23" t="s">
        <v>6280</v>
      </c>
    </row>
    <row r="181" s="5" customFormat="1" ht="53" spans="1:10">
      <c r="A181" s="21"/>
      <c r="B181" s="21"/>
      <c r="C181" s="21" t="s">
        <v>2928</v>
      </c>
      <c r="D181" s="27" t="s">
        <v>2929</v>
      </c>
      <c r="E181" s="21" t="s">
        <v>349</v>
      </c>
      <c r="F181" s="27" t="s">
        <v>348</v>
      </c>
      <c r="G181" s="21" t="s">
        <v>6260</v>
      </c>
      <c r="H181" s="27" t="s">
        <v>323</v>
      </c>
      <c r="I181" s="21" t="s">
        <v>6014</v>
      </c>
      <c r="J181" s="23" t="s">
        <v>6281</v>
      </c>
    </row>
    <row r="182" s="5" customFormat="1" ht="53" spans="1:10">
      <c r="A182" s="21"/>
      <c r="B182" s="21"/>
      <c r="C182" s="21" t="s">
        <v>6282</v>
      </c>
      <c r="D182" s="27" t="s">
        <v>6283</v>
      </c>
      <c r="E182" s="21" t="s">
        <v>302</v>
      </c>
      <c r="F182" s="27" t="s">
        <v>296</v>
      </c>
      <c r="G182" s="21" t="s">
        <v>304</v>
      </c>
      <c r="H182" s="27" t="s">
        <v>305</v>
      </c>
      <c r="I182" s="21" t="s">
        <v>6014</v>
      </c>
      <c r="J182" s="23" t="s">
        <v>6284</v>
      </c>
    </row>
    <row r="183" s="5" customFormat="1" ht="53" spans="1:10">
      <c r="A183" s="21"/>
      <c r="B183" s="21"/>
      <c r="C183" s="21" t="s">
        <v>6285</v>
      </c>
      <c r="D183" s="27" t="s">
        <v>6286</v>
      </c>
      <c r="E183" s="21" t="s">
        <v>302</v>
      </c>
      <c r="F183" s="27" t="s">
        <v>296</v>
      </c>
      <c r="G183" s="21" t="s">
        <v>304</v>
      </c>
      <c r="H183" s="27" t="s">
        <v>305</v>
      </c>
      <c r="I183" s="21" t="s">
        <v>6014</v>
      </c>
      <c r="J183" s="23" t="s">
        <v>6287</v>
      </c>
    </row>
    <row r="184" s="5" customFormat="1" spans="1:10">
      <c r="A184" s="19" t="s">
        <v>6288</v>
      </c>
      <c r="B184" s="24" t="s">
        <v>6289</v>
      </c>
      <c r="C184" s="34" t="s">
        <v>6290</v>
      </c>
      <c r="D184" s="27"/>
      <c r="E184" s="21"/>
      <c r="F184" s="27"/>
      <c r="G184" s="21"/>
      <c r="H184" s="27"/>
      <c r="I184" s="21"/>
      <c r="J184" s="21"/>
    </row>
    <row r="185" s="5" customFormat="1" ht="53" spans="1:10">
      <c r="A185" s="21"/>
      <c r="B185" s="21"/>
      <c r="C185" s="21" t="s">
        <v>6291</v>
      </c>
      <c r="D185" s="27" t="s">
        <v>6292</v>
      </c>
      <c r="E185" s="21" t="s">
        <v>302</v>
      </c>
      <c r="F185" s="27" t="s">
        <v>296</v>
      </c>
      <c r="G185" s="21" t="s">
        <v>304</v>
      </c>
      <c r="H185" s="27" t="s">
        <v>305</v>
      </c>
      <c r="I185" s="21" t="s">
        <v>6014</v>
      </c>
      <c r="J185" s="23" t="s">
        <v>6293</v>
      </c>
    </row>
    <row r="186" s="5" customFormat="1" spans="1:10">
      <c r="A186" s="19" t="s">
        <v>6294</v>
      </c>
      <c r="B186" s="24" t="s">
        <v>6295</v>
      </c>
      <c r="C186" s="34" t="s">
        <v>6296</v>
      </c>
      <c r="D186" s="27"/>
      <c r="E186" s="21"/>
      <c r="F186" s="27"/>
      <c r="G186" s="21"/>
      <c r="H186" s="27"/>
      <c r="I186" s="21"/>
      <c r="J186" s="21"/>
    </row>
    <row r="187" s="5" customFormat="1" ht="53" spans="1:10">
      <c r="A187" s="21"/>
      <c r="B187" s="21"/>
      <c r="C187" s="21" t="s">
        <v>453</v>
      </c>
      <c r="D187" s="27" t="s">
        <v>1680</v>
      </c>
      <c r="E187" s="21" t="s">
        <v>453</v>
      </c>
      <c r="F187" s="27" t="s">
        <v>452</v>
      </c>
      <c r="G187" s="21" t="s">
        <v>455</v>
      </c>
      <c r="H187" s="27" t="s">
        <v>385</v>
      </c>
      <c r="I187" s="21" t="s">
        <v>6014</v>
      </c>
      <c r="J187" s="23" t="s">
        <v>6297</v>
      </c>
    </row>
    <row r="188" s="5" customFormat="1" ht="36" spans="1:10">
      <c r="A188" s="21"/>
      <c r="B188" s="21"/>
      <c r="C188" s="21" t="s">
        <v>6298</v>
      </c>
      <c r="D188" s="27" t="s">
        <v>6299</v>
      </c>
      <c r="E188" s="21" t="s">
        <v>609</v>
      </c>
      <c r="F188" s="27" t="s">
        <v>612</v>
      </c>
      <c r="G188" s="21" t="s">
        <v>611</v>
      </c>
      <c r="H188" s="27" t="s">
        <v>295</v>
      </c>
      <c r="I188" s="21" t="s">
        <v>6014</v>
      </c>
      <c r="J188" s="23" t="s">
        <v>6300</v>
      </c>
    </row>
    <row r="189" s="5" customFormat="1" ht="33" customHeight="1" spans="1:10">
      <c r="A189" s="21"/>
      <c r="B189" s="21"/>
      <c r="C189" s="21" t="s">
        <v>6301</v>
      </c>
      <c r="D189" s="27" t="s">
        <v>6302</v>
      </c>
      <c r="E189" s="21" t="s">
        <v>282</v>
      </c>
      <c r="F189" s="27" t="s">
        <v>281</v>
      </c>
      <c r="G189" s="21" t="s">
        <v>6091</v>
      </c>
      <c r="H189" s="27" t="s">
        <v>285</v>
      </c>
      <c r="I189" s="21" t="s">
        <v>6014</v>
      </c>
      <c r="J189" s="23"/>
    </row>
    <row r="190" s="5" customFormat="1" ht="33" customHeight="1" spans="1:10">
      <c r="A190" s="21"/>
      <c r="B190" s="21"/>
      <c r="C190" s="21" t="s">
        <v>6303</v>
      </c>
      <c r="D190" s="27" t="s">
        <v>6304</v>
      </c>
      <c r="E190" s="21" t="s">
        <v>302</v>
      </c>
      <c r="F190" s="27" t="s">
        <v>296</v>
      </c>
      <c r="G190" s="21" t="s">
        <v>304</v>
      </c>
      <c r="H190" s="27" t="s">
        <v>305</v>
      </c>
      <c r="I190" s="21" t="s">
        <v>6014</v>
      </c>
      <c r="J190" s="23"/>
    </row>
    <row r="191" s="5" customFormat="1" ht="36" spans="1:10">
      <c r="A191" s="21"/>
      <c r="B191" s="21"/>
      <c r="C191" s="21" t="s">
        <v>6305</v>
      </c>
      <c r="D191" s="27" t="s">
        <v>6306</v>
      </c>
      <c r="E191" s="21" t="s">
        <v>302</v>
      </c>
      <c r="F191" s="27" t="s">
        <v>296</v>
      </c>
      <c r="G191" s="21" t="s">
        <v>304</v>
      </c>
      <c r="H191" s="27" t="s">
        <v>305</v>
      </c>
      <c r="I191" s="21" t="s">
        <v>6014</v>
      </c>
      <c r="J191" s="23"/>
    </row>
    <row r="192" s="5" customFormat="1" ht="36" spans="1:10">
      <c r="A192" s="21"/>
      <c r="B192" s="21"/>
      <c r="C192" s="21" t="s">
        <v>6307</v>
      </c>
      <c r="D192" s="27" t="s">
        <v>6308</v>
      </c>
      <c r="E192" s="21" t="s">
        <v>6307</v>
      </c>
      <c r="F192" s="413" t="s">
        <v>6309</v>
      </c>
      <c r="G192" s="21" t="s">
        <v>6310</v>
      </c>
      <c r="H192" s="27" t="s">
        <v>356</v>
      </c>
      <c r="I192" s="21" t="s">
        <v>6014</v>
      </c>
      <c r="J192" s="23"/>
    </row>
    <row r="193" s="5" customFormat="1" ht="36" spans="1:10">
      <c r="A193" s="21"/>
      <c r="B193" s="21"/>
      <c r="C193" s="21" t="s">
        <v>6311</v>
      </c>
      <c r="D193" s="27" t="s">
        <v>6312</v>
      </c>
      <c r="E193" s="21" t="s">
        <v>325</v>
      </c>
      <c r="F193" s="27" t="s">
        <v>319</v>
      </c>
      <c r="G193" s="21" t="s">
        <v>6098</v>
      </c>
      <c r="H193" s="27" t="s">
        <v>323</v>
      </c>
      <c r="I193" s="21" t="s">
        <v>6014</v>
      </c>
      <c r="J193" s="23"/>
    </row>
    <row r="194" s="5" customFormat="1" ht="36" spans="1:10">
      <c r="A194" s="21"/>
      <c r="B194" s="21"/>
      <c r="C194" s="21" t="s">
        <v>6313</v>
      </c>
      <c r="D194" s="27" t="s">
        <v>6314</v>
      </c>
      <c r="E194" s="21" t="s">
        <v>6313</v>
      </c>
      <c r="F194" s="413" t="s">
        <v>942</v>
      </c>
      <c r="G194" s="21" t="s">
        <v>6315</v>
      </c>
      <c r="H194" s="27" t="s">
        <v>540</v>
      </c>
      <c r="I194" s="21" t="s">
        <v>6014</v>
      </c>
      <c r="J194" s="23"/>
    </row>
    <row r="195" s="5" customFormat="1" ht="36" spans="1:10">
      <c r="A195" s="21"/>
      <c r="B195" s="21"/>
      <c r="C195" s="21" t="s">
        <v>6316</v>
      </c>
      <c r="D195" s="27" t="s">
        <v>6317</v>
      </c>
      <c r="E195" s="21" t="s">
        <v>302</v>
      </c>
      <c r="F195" s="27" t="s">
        <v>296</v>
      </c>
      <c r="G195" s="21" t="s">
        <v>304</v>
      </c>
      <c r="H195" s="27" t="s">
        <v>305</v>
      </c>
      <c r="I195" s="21" t="s">
        <v>6014</v>
      </c>
      <c r="J195" s="23"/>
    </row>
    <row r="196" s="5" customFormat="1" ht="36" spans="1:10">
      <c r="A196" s="21"/>
      <c r="B196" s="21"/>
      <c r="C196" s="21" t="s">
        <v>6318</v>
      </c>
      <c r="D196" s="27" t="s">
        <v>6319</v>
      </c>
      <c r="E196" s="21" t="s">
        <v>353</v>
      </c>
      <c r="F196" s="27" t="s">
        <v>352</v>
      </c>
      <c r="G196" s="21" t="s">
        <v>355</v>
      </c>
      <c r="H196" s="27" t="s">
        <v>518</v>
      </c>
      <c r="I196" s="21" t="s">
        <v>6014</v>
      </c>
      <c r="J196" s="23"/>
    </row>
    <row r="197" s="5" customFormat="1" ht="36" spans="1:10">
      <c r="A197" s="21"/>
      <c r="B197" s="21"/>
      <c r="C197" s="21" t="s">
        <v>6320</v>
      </c>
      <c r="D197" s="27" t="s">
        <v>6321</v>
      </c>
      <c r="E197" s="21" t="s">
        <v>353</v>
      </c>
      <c r="F197" s="27" t="s">
        <v>352</v>
      </c>
      <c r="G197" s="21" t="s">
        <v>355</v>
      </c>
      <c r="H197" s="27" t="s">
        <v>518</v>
      </c>
      <c r="I197" s="21" t="s">
        <v>6014</v>
      </c>
      <c r="J197" s="23"/>
    </row>
    <row r="198" s="5" customFormat="1" ht="36" spans="1:10">
      <c r="A198" s="21"/>
      <c r="B198" s="21"/>
      <c r="C198" s="21" t="s">
        <v>6322</v>
      </c>
      <c r="D198" s="27" t="s">
        <v>6323</v>
      </c>
      <c r="E198" s="21" t="s">
        <v>6322</v>
      </c>
      <c r="F198" s="413" t="s">
        <v>929</v>
      </c>
      <c r="G198" s="21" t="s">
        <v>6324</v>
      </c>
      <c r="H198" s="27" t="s">
        <v>385</v>
      </c>
      <c r="I198" s="21" t="s">
        <v>6014</v>
      </c>
      <c r="J198" s="23"/>
    </row>
    <row r="199" s="5" customFormat="1" ht="36" spans="1:10">
      <c r="A199" s="21"/>
      <c r="B199" s="21"/>
      <c r="C199" s="21" t="s">
        <v>6325</v>
      </c>
      <c r="D199" s="27" t="s">
        <v>6326</v>
      </c>
      <c r="E199" s="21" t="s">
        <v>609</v>
      </c>
      <c r="F199" s="27" t="s">
        <v>612</v>
      </c>
      <c r="G199" s="21" t="s">
        <v>611</v>
      </c>
      <c r="H199" s="27" t="s">
        <v>295</v>
      </c>
      <c r="I199" s="21" t="s">
        <v>6014</v>
      </c>
      <c r="J199" s="23"/>
    </row>
    <row r="200" s="5" customFormat="1" ht="36" spans="1:10">
      <c r="A200" s="21"/>
      <c r="B200" s="21"/>
      <c r="C200" s="21" t="s">
        <v>6327</v>
      </c>
      <c r="D200" s="27" t="s">
        <v>6328</v>
      </c>
      <c r="E200" s="21" t="s">
        <v>6327</v>
      </c>
      <c r="F200" s="413" t="s">
        <v>933</v>
      </c>
      <c r="G200" s="21" t="s">
        <v>360</v>
      </c>
      <c r="H200" s="27" t="s">
        <v>385</v>
      </c>
      <c r="I200" s="21" t="s">
        <v>6014</v>
      </c>
      <c r="J200" s="23"/>
    </row>
    <row r="201" s="5" customFormat="1" ht="36" spans="1:10">
      <c r="A201" s="21"/>
      <c r="B201" s="21"/>
      <c r="C201" s="21" t="s">
        <v>6329</v>
      </c>
      <c r="D201" s="27" t="s">
        <v>6330</v>
      </c>
      <c r="E201" s="21" t="s">
        <v>302</v>
      </c>
      <c r="F201" s="27" t="s">
        <v>296</v>
      </c>
      <c r="G201" s="21" t="s">
        <v>304</v>
      </c>
      <c r="H201" s="27" t="s">
        <v>305</v>
      </c>
      <c r="I201" s="21" t="s">
        <v>6014</v>
      </c>
      <c r="J201" s="23"/>
    </row>
    <row r="202" s="5" customFormat="1" ht="18" customHeight="1" spans="1:10">
      <c r="A202" s="21"/>
      <c r="B202" s="21"/>
      <c r="C202" s="21" t="s">
        <v>6331</v>
      </c>
      <c r="D202" s="27" t="s">
        <v>6332</v>
      </c>
      <c r="E202" s="21" t="s">
        <v>282</v>
      </c>
      <c r="F202" s="27" t="s">
        <v>281</v>
      </c>
      <c r="G202" s="21" t="s">
        <v>6091</v>
      </c>
      <c r="H202" s="27" t="s">
        <v>285</v>
      </c>
      <c r="I202" s="21" t="s">
        <v>6014</v>
      </c>
      <c r="J202" s="23"/>
    </row>
    <row r="203" s="5" customFormat="1" ht="36" spans="1:10">
      <c r="A203" s="21"/>
      <c r="B203" s="21"/>
      <c r="C203" s="21" t="s">
        <v>6333</v>
      </c>
      <c r="D203" s="27" t="s">
        <v>6334</v>
      </c>
      <c r="E203" s="21" t="s">
        <v>302</v>
      </c>
      <c r="F203" s="27" t="s">
        <v>296</v>
      </c>
      <c r="G203" s="21" t="s">
        <v>304</v>
      </c>
      <c r="H203" s="27" t="s">
        <v>305</v>
      </c>
      <c r="I203" s="21" t="s">
        <v>6014</v>
      </c>
      <c r="J203" s="23"/>
    </row>
    <row r="204" s="5" customFormat="1" ht="36" spans="1:10">
      <c r="A204" s="21"/>
      <c r="B204" s="21"/>
      <c r="C204" s="21" t="s">
        <v>6335</v>
      </c>
      <c r="D204" s="27" t="s">
        <v>6336</v>
      </c>
      <c r="E204" s="21" t="s">
        <v>302</v>
      </c>
      <c r="F204" s="27" t="s">
        <v>296</v>
      </c>
      <c r="G204" s="21" t="s">
        <v>304</v>
      </c>
      <c r="H204" s="27" t="s">
        <v>305</v>
      </c>
      <c r="I204" s="21" t="s">
        <v>6014</v>
      </c>
      <c r="J204" s="23"/>
    </row>
    <row r="205" s="5" customFormat="1" spans="1:10">
      <c r="A205" s="37" t="s">
        <v>6337</v>
      </c>
      <c r="B205" s="38" t="s">
        <v>6338</v>
      </c>
      <c r="C205" s="49" t="s">
        <v>6228</v>
      </c>
      <c r="D205" s="27"/>
      <c r="E205" s="21"/>
      <c r="F205" s="27"/>
      <c r="G205" s="21"/>
      <c r="H205" s="27"/>
      <c r="I205" s="21"/>
      <c r="J205" s="27"/>
    </row>
    <row r="206" s="5" customFormat="1" ht="88" spans="1:10">
      <c r="A206" s="21"/>
      <c r="B206" s="21"/>
      <c r="C206" s="21" t="s">
        <v>6339</v>
      </c>
      <c r="D206" s="27" t="s">
        <v>6340</v>
      </c>
      <c r="E206" s="21" t="s">
        <v>6339</v>
      </c>
      <c r="F206" s="27" t="s">
        <v>6341</v>
      </c>
      <c r="G206" s="21" t="s">
        <v>6342</v>
      </c>
      <c r="H206" s="27" t="s">
        <v>323</v>
      </c>
      <c r="I206" s="21" t="s">
        <v>6014</v>
      </c>
      <c r="J206" s="23" t="s">
        <v>6343</v>
      </c>
    </row>
    <row r="207" s="5" customFormat="1" ht="53" spans="1:10">
      <c r="A207" s="21"/>
      <c r="B207" s="21"/>
      <c r="C207" s="21" t="s">
        <v>6344</v>
      </c>
      <c r="D207" s="27" t="s">
        <v>6345</v>
      </c>
      <c r="E207" s="21" t="s">
        <v>609</v>
      </c>
      <c r="F207" s="27" t="s">
        <v>612</v>
      </c>
      <c r="G207" s="21" t="s">
        <v>611</v>
      </c>
      <c r="H207" s="27" t="s">
        <v>295</v>
      </c>
      <c r="I207" s="21" t="s">
        <v>6014</v>
      </c>
      <c r="J207" s="23" t="s">
        <v>6346</v>
      </c>
    </row>
    <row r="208" s="5" customFormat="1" ht="53" spans="1:10">
      <c r="A208" s="21"/>
      <c r="B208" s="21"/>
      <c r="C208" s="21" t="s">
        <v>6347</v>
      </c>
      <c r="D208" s="27" t="s">
        <v>6348</v>
      </c>
      <c r="E208" s="21" t="s">
        <v>764</v>
      </c>
      <c r="F208" s="413" t="s">
        <v>763</v>
      </c>
      <c r="G208" s="21" t="s">
        <v>766</v>
      </c>
      <c r="H208" s="27" t="s">
        <v>430</v>
      </c>
      <c r="I208" s="21" t="s">
        <v>6014</v>
      </c>
      <c r="J208" s="23" t="s">
        <v>6349</v>
      </c>
    </row>
    <row r="209" s="5" customFormat="1" ht="36" spans="1:10">
      <c r="A209" s="21"/>
      <c r="B209" s="21"/>
      <c r="C209" s="21" t="s">
        <v>827</v>
      </c>
      <c r="D209" s="27" t="s">
        <v>6350</v>
      </c>
      <c r="E209" s="21" t="s">
        <v>827</v>
      </c>
      <c r="F209" s="413" t="s">
        <v>826</v>
      </c>
      <c r="G209" s="21" t="s">
        <v>484</v>
      </c>
      <c r="H209" s="27" t="s">
        <v>385</v>
      </c>
      <c r="I209" s="21" t="s">
        <v>6014</v>
      </c>
      <c r="J209" s="23" t="s">
        <v>6351</v>
      </c>
    </row>
    <row r="210" s="5" customFormat="1" spans="1:10">
      <c r="A210" s="19" t="s">
        <v>6352</v>
      </c>
      <c r="B210" s="24" t="s">
        <v>6353</v>
      </c>
      <c r="C210" s="21"/>
      <c r="D210" s="27"/>
      <c r="E210" s="21"/>
      <c r="F210" s="27"/>
      <c r="G210" s="21"/>
      <c r="H210" s="27"/>
      <c r="I210" s="21"/>
      <c r="J210" s="48"/>
    </row>
    <row r="211" s="5" customFormat="1" ht="45" customHeight="1" spans="1:10">
      <c r="A211" s="27"/>
      <c r="B211" s="21"/>
      <c r="C211" s="21" t="s">
        <v>6354</v>
      </c>
      <c r="D211" s="27" t="s">
        <v>6355</v>
      </c>
      <c r="E211" s="21" t="s">
        <v>282</v>
      </c>
      <c r="F211" s="27" t="s">
        <v>281</v>
      </c>
      <c r="G211" s="21" t="s">
        <v>6356</v>
      </c>
      <c r="H211" s="27" t="s">
        <v>285</v>
      </c>
      <c r="I211" s="21" t="s">
        <v>6014</v>
      </c>
      <c r="J211" s="23" t="s">
        <v>6357</v>
      </c>
    </row>
    <row r="212" s="5" customFormat="1" ht="39" customHeight="1" spans="1:10">
      <c r="A212" s="21"/>
      <c r="B212" s="21"/>
      <c r="C212" s="21" t="s">
        <v>6358</v>
      </c>
      <c r="D212" s="27" t="s">
        <v>6359</v>
      </c>
      <c r="E212" s="21" t="s">
        <v>282</v>
      </c>
      <c r="F212" s="27" t="s">
        <v>281</v>
      </c>
      <c r="G212" s="21" t="s">
        <v>6356</v>
      </c>
      <c r="H212" s="27" t="s">
        <v>285</v>
      </c>
      <c r="I212" s="21" t="s">
        <v>6014</v>
      </c>
      <c r="J212" s="23" t="s">
        <v>6360</v>
      </c>
    </row>
    <row r="213" s="5" customFormat="1" ht="53" spans="1:10">
      <c r="A213" s="27"/>
      <c r="B213" s="21"/>
      <c r="C213" s="21" t="s">
        <v>6361</v>
      </c>
      <c r="D213" s="27" t="s">
        <v>6362</v>
      </c>
      <c r="E213" s="21" t="s">
        <v>570</v>
      </c>
      <c r="F213" s="27" t="s">
        <v>569</v>
      </c>
      <c r="G213" s="21" t="s">
        <v>572</v>
      </c>
      <c r="H213" s="27" t="s">
        <v>385</v>
      </c>
      <c r="I213" s="21" t="s">
        <v>6014</v>
      </c>
      <c r="J213" s="23" t="s">
        <v>6360</v>
      </c>
    </row>
    <row r="214" s="5" customFormat="1" spans="1:10">
      <c r="A214" s="19" t="s">
        <v>6363</v>
      </c>
      <c r="B214" s="24" t="s">
        <v>6364</v>
      </c>
      <c r="C214" s="21"/>
      <c r="D214" s="27"/>
      <c r="E214" s="21"/>
      <c r="F214" s="27"/>
      <c r="G214" s="21"/>
      <c r="H214" s="27"/>
      <c r="I214" s="21"/>
      <c r="J214" s="48"/>
    </row>
    <row r="215" s="5" customFormat="1" ht="36" spans="1:10">
      <c r="A215" s="21"/>
      <c r="B215" s="21"/>
      <c r="C215" s="21" t="s">
        <v>6365</v>
      </c>
      <c r="D215" s="27" t="s">
        <v>6366</v>
      </c>
      <c r="E215" s="21" t="s">
        <v>287</v>
      </c>
      <c r="F215" s="27" t="s">
        <v>286</v>
      </c>
      <c r="G215" s="21" t="s">
        <v>289</v>
      </c>
      <c r="H215" s="27" t="s">
        <v>6027</v>
      </c>
      <c r="I215" s="21" t="s">
        <v>6014</v>
      </c>
      <c r="J215" s="23" t="s">
        <v>6032</v>
      </c>
    </row>
    <row r="216" s="5" customFormat="1" ht="36" spans="1:10">
      <c r="A216" s="27"/>
      <c r="B216" s="21"/>
      <c r="C216" s="21" t="s">
        <v>6367</v>
      </c>
      <c r="D216" s="27" t="s">
        <v>6368</v>
      </c>
      <c r="E216" s="21" t="s">
        <v>302</v>
      </c>
      <c r="F216" s="27" t="s">
        <v>301</v>
      </c>
      <c r="G216" s="21" t="s">
        <v>304</v>
      </c>
      <c r="H216" s="27" t="s">
        <v>305</v>
      </c>
      <c r="I216" s="21" t="s">
        <v>6014</v>
      </c>
      <c r="J216" s="23" t="s">
        <v>6369</v>
      </c>
    </row>
    <row r="217" s="5" customFormat="1" ht="36" spans="1:10">
      <c r="A217" s="27"/>
      <c r="B217" s="21"/>
      <c r="C217" s="21" t="s">
        <v>6370</v>
      </c>
      <c r="D217" s="27" t="s">
        <v>6371</v>
      </c>
      <c r="E217" s="21" t="s">
        <v>302</v>
      </c>
      <c r="F217" s="27" t="s">
        <v>301</v>
      </c>
      <c r="G217" s="21" t="s">
        <v>304</v>
      </c>
      <c r="H217" s="27" t="s">
        <v>305</v>
      </c>
      <c r="I217" s="21" t="s">
        <v>6014</v>
      </c>
      <c r="J217" s="23" t="s">
        <v>6032</v>
      </c>
    </row>
    <row r="218" s="5" customFormat="1" ht="36" spans="1:10">
      <c r="A218" s="27"/>
      <c r="B218" s="21"/>
      <c r="C218" s="21" t="s">
        <v>6372</v>
      </c>
      <c r="D218" s="27" t="s">
        <v>6373</v>
      </c>
      <c r="E218" s="21" t="s">
        <v>349</v>
      </c>
      <c r="F218" s="27" t="s">
        <v>357</v>
      </c>
      <c r="G218" s="21" t="s">
        <v>6260</v>
      </c>
      <c r="H218" s="27" t="s">
        <v>518</v>
      </c>
      <c r="I218" s="21" t="s">
        <v>6014</v>
      </c>
      <c r="J218" s="23" t="s">
        <v>6032</v>
      </c>
    </row>
    <row r="219" s="5" customFormat="1" ht="36" spans="1:10">
      <c r="A219" s="27"/>
      <c r="B219" s="21"/>
      <c r="C219" s="21" t="s">
        <v>6374</v>
      </c>
      <c r="D219" s="27" t="s">
        <v>6375</v>
      </c>
      <c r="E219" s="21" t="s">
        <v>349</v>
      </c>
      <c r="F219" s="27" t="s">
        <v>357</v>
      </c>
      <c r="G219" s="21" t="s">
        <v>6260</v>
      </c>
      <c r="H219" s="27" t="s">
        <v>518</v>
      </c>
      <c r="I219" s="21" t="s">
        <v>6014</v>
      </c>
      <c r="J219" s="23" t="s">
        <v>6032</v>
      </c>
    </row>
    <row r="220" s="5" customFormat="1" ht="36" spans="1:10">
      <c r="A220" s="27"/>
      <c r="B220" s="21"/>
      <c r="C220" s="21" t="s">
        <v>6376</v>
      </c>
      <c r="D220" s="27" t="s">
        <v>6377</v>
      </c>
      <c r="E220" s="21" t="s">
        <v>609</v>
      </c>
      <c r="F220" s="27" t="s">
        <v>612</v>
      </c>
      <c r="G220" s="21" t="s">
        <v>611</v>
      </c>
      <c r="H220" s="27" t="s">
        <v>295</v>
      </c>
      <c r="I220" s="21" t="s">
        <v>6014</v>
      </c>
      <c r="J220" s="23" t="s">
        <v>6378</v>
      </c>
    </row>
    <row r="221" s="5" customFormat="1" ht="36" spans="1:10">
      <c r="A221" s="27"/>
      <c r="B221" s="21"/>
      <c r="C221" s="21" t="s">
        <v>6379</v>
      </c>
      <c r="D221" s="27" t="s">
        <v>6380</v>
      </c>
      <c r="E221" s="21" t="s">
        <v>609</v>
      </c>
      <c r="F221" s="27" t="s">
        <v>612</v>
      </c>
      <c r="G221" s="21" t="s">
        <v>611</v>
      </c>
      <c r="H221" s="27" t="s">
        <v>295</v>
      </c>
      <c r="I221" s="21" t="s">
        <v>6014</v>
      </c>
      <c r="J221" s="23" t="s">
        <v>6378</v>
      </c>
    </row>
    <row r="222" s="5" customFormat="1" ht="36" spans="1:10">
      <c r="A222" s="27"/>
      <c r="B222" s="21"/>
      <c r="C222" s="21" t="s">
        <v>6381</v>
      </c>
      <c r="D222" s="27" t="s">
        <v>6382</v>
      </c>
      <c r="E222" s="21" t="s">
        <v>609</v>
      </c>
      <c r="F222" s="27" t="s">
        <v>612</v>
      </c>
      <c r="G222" s="21" t="s">
        <v>611</v>
      </c>
      <c r="H222" s="27" t="s">
        <v>295</v>
      </c>
      <c r="I222" s="21" t="s">
        <v>6014</v>
      </c>
      <c r="J222" s="23" t="s">
        <v>6378</v>
      </c>
    </row>
    <row r="223" s="5" customFormat="1" ht="36" spans="1:10">
      <c r="A223" s="27"/>
      <c r="B223" s="21"/>
      <c r="C223" s="21" t="s">
        <v>6383</v>
      </c>
      <c r="D223" s="27" t="s">
        <v>6384</v>
      </c>
      <c r="E223" s="21" t="s">
        <v>609</v>
      </c>
      <c r="F223" s="27" t="s">
        <v>612</v>
      </c>
      <c r="G223" s="21" t="s">
        <v>611</v>
      </c>
      <c r="H223" s="27" t="s">
        <v>295</v>
      </c>
      <c r="I223" s="21" t="s">
        <v>6014</v>
      </c>
      <c r="J223" s="23" t="s">
        <v>6378</v>
      </c>
    </row>
    <row r="224" s="5" customFormat="1" ht="36" spans="1:10">
      <c r="A224" s="27"/>
      <c r="B224" s="21"/>
      <c r="C224" s="21" t="s">
        <v>6385</v>
      </c>
      <c r="D224" s="27" t="s">
        <v>6386</v>
      </c>
      <c r="E224" s="21" t="s">
        <v>609</v>
      </c>
      <c r="F224" s="27" t="s">
        <v>612</v>
      </c>
      <c r="G224" s="21" t="s">
        <v>611</v>
      </c>
      <c r="H224" s="27" t="s">
        <v>295</v>
      </c>
      <c r="I224" s="21" t="s">
        <v>6014</v>
      </c>
      <c r="J224" s="23" t="s">
        <v>6378</v>
      </c>
    </row>
    <row r="225" s="5" customFormat="1" ht="36" spans="1:10">
      <c r="A225" s="27"/>
      <c r="B225" s="21"/>
      <c r="C225" s="21" t="s">
        <v>6387</v>
      </c>
      <c r="D225" s="27" t="s">
        <v>6388</v>
      </c>
      <c r="E225" s="21" t="s">
        <v>609</v>
      </c>
      <c r="F225" s="27" t="s">
        <v>612</v>
      </c>
      <c r="G225" s="21" t="s">
        <v>611</v>
      </c>
      <c r="H225" s="27" t="s">
        <v>295</v>
      </c>
      <c r="I225" s="21" t="s">
        <v>6014</v>
      </c>
      <c r="J225" s="23" t="s">
        <v>6378</v>
      </c>
    </row>
    <row r="226" s="5" customFormat="1" ht="36" spans="1:10">
      <c r="A226" s="27"/>
      <c r="B226" s="21"/>
      <c r="C226" s="21" t="s">
        <v>6389</v>
      </c>
      <c r="D226" s="27" t="s">
        <v>6390</v>
      </c>
      <c r="E226" s="21" t="s">
        <v>613</v>
      </c>
      <c r="F226" s="27" t="s">
        <v>615</v>
      </c>
      <c r="G226" s="21" t="s">
        <v>611</v>
      </c>
      <c r="H226" s="27" t="s">
        <v>295</v>
      </c>
      <c r="I226" s="21" t="s">
        <v>6014</v>
      </c>
      <c r="J226" s="23" t="s">
        <v>6378</v>
      </c>
    </row>
    <row r="227" s="5" customFormat="1" ht="36" spans="1:10">
      <c r="A227" s="27"/>
      <c r="B227" s="21"/>
      <c r="C227" s="21" t="s">
        <v>6391</v>
      </c>
      <c r="D227" s="27" t="s">
        <v>6392</v>
      </c>
      <c r="E227" s="21" t="s">
        <v>613</v>
      </c>
      <c r="F227" s="27" t="s">
        <v>615</v>
      </c>
      <c r="G227" s="21" t="s">
        <v>611</v>
      </c>
      <c r="H227" s="27" t="s">
        <v>295</v>
      </c>
      <c r="I227" s="21" t="s">
        <v>6014</v>
      </c>
      <c r="J227" s="23" t="s">
        <v>6378</v>
      </c>
    </row>
    <row r="228" s="5" customFormat="1" ht="36" spans="1:10">
      <c r="A228" s="27"/>
      <c r="B228" s="21"/>
      <c r="C228" s="21" t="s">
        <v>4259</v>
      </c>
      <c r="D228" s="27" t="s">
        <v>4260</v>
      </c>
      <c r="E228" s="21" t="s">
        <v>613</v>
      </c>
      <c r="F228" s="27" t="s">
        <v>615</v>
      </c>
      <c r="G228" s="21" t="s">
        <v>611</v>
      </c>
      <c r="H228" s="27" t="s">
        <v>295</v>
      </c>
      <c r="I228" s="21" t="s">
        <v>6014</v>
      </c>
      <c r="J228" s="23" t="s">
        <v>6378</v>
      </c>
    </row>
    <row r="229" s="5" customFormat="1" ht="36" spans="1:10">
      <c r="A229" s="27"/>
      <c r="B229" s="21"/>
      <c r="C229" s="21" t="s">
        <v>6393</v>
      </c>
      <c r="D229" s="27" t="s">
        <v>6394</v>
      </c>
      <c r="E229" s="21" t="s">
        <v>609</v>
      </c>
      <c r="F229" s="27" t="s">
        <v>612</v>
      </c>
      <c r="G229" s="21" t="s">
        <v>611</v>
      </c>
      <c r="H229" s="27" t="s">
        <v>295</v>
      </c>
      <c r="I229" s="21" t="s">
        <v>6014</v>
      </c>
      <c r="J229" s="23" t="s">
        <v>6378</v>
      </c>
    </row>
    <row r="230" s="5" customFormat="1" ht="36" spans="1:10">
      <c r="A230" s="27"/>
      <c r="B230" s="21"/>
      <c r="C230" s="21" t="s">
        <v>4286</v>
      </c>
      <c r="D230" s="27" t="s">
        <v>6395</v>
      </c>
      <c r="E230" s="21" t="s">
        <v>609</v>
      </c>
      <c r="F230" s="27" t="s">
        <v>612</v>
      </c>
      <c r="G230" s="21" t="s">
        <v>611</v>
      </c>
      <c r="H230" s="27" t="s">
        <v>295</v>
      </c>
      <c r="I230" s="21" t="s">
        <v>6014</v>
      </c>
      <c r="J230" s="23" t="s">
        <v>6378</v>
      </c>
    </row>
    <row r="231" s="5" customFormat="1" ht="36" spans="1:10">
      <c r="A231" s="21"/>
      <c r="B231" s="21"/>
      <c r="C231" s="21" t="s">
        <v>6396</v>
      </c>
      <c r="D231" s="27" t="s">
        <v>6397</v>
      </c>
      <c r="E231" s="21" t="s">
        <v>6398</v>
      </c>
      <c r="F231" s="27" t="s">
        <v>618</v>
      </c>
      <c r="G231" s="21" t="s">
        <v>611</v>
      </c>
      <c r="H231" s="27" t="s">
        <v>295</v>
      </c>
      <c r="I231" s="21" t="s">
        <v>6014</v>
      </c>
      <c r="J231" s="23" t="s">
        <v>6378</v>
      </c>
    </row>
    <row r="232" s="5" customFormat="1" ht="36" spans="1:10">
      <c r="A232" s="27"/>
      <c r="B232" s="21"/>
      <c r="C232" s="21" t="s">
        <v>6399</v>
      </c>
      <c r="D232" s="27" t="s">
        <v>6400</v>
      </c>
      <c r="E232" s="21" t="s">
        <v>609</v>
      </c>
      <c r="F232" s="27" t="s">
        <v>612</v>
      </c>
      <c r="G232" s="21" t="s">
        <v>611</v>
      </c>
      <c r="H232" s="27" t="s">
        <v>295</v>
      </c>
      <c r="I232" s="21" t="s">
        <v>6014</v>
      </c>
      <c r="J232" s="23" t="s">
        <v>6378</v>
      </c>
    </row>
    <row r="233" s="5" customFormat="1" ht="36" spans="1:10">
      <c r="A233" s="27"/>
      <c r="B233" s="21"/>
      <c r="C233" s="21" t="s">
        <v>685</v>
      </c>
      <c r="D233" s="27" t="s">
        <v>2967</v>
      </c>
      <c r="E233" s="21" t="s">
        <v>685</v>
      </c>
      <c r="F233" s="27" t="s">
        <v>6401</v>
      </c>
      <c r="G233" s="21" t="s">
        <v>687</v>
      </c>
      <c r="H233" s="27" t="s">
        <v>989</v>
      </c>
      <c r="I233" s="21"/>
      <c r="J233" s="23" t="s">
        <v>6378</v>
      </c>
    </row>
    <row r="234" s="5" customFormat="1" ht="36" spans="1:10">
      <c r="A234" s="27"/>
      <c r="B234" s="21"/>
      <c r="C234" s="21" t="s">
        <v>6402</v>
      </c>
      <c r="D234" s="27" t="s">
        <v>6403</v>
      </c>
      <c r="E234" s="21" t="s">
        <v>656</v>
      </c>
      <c r="F234" s="27" t="s">
        <v>676</v>
      </c>
      <c r="G234" s="21" t="s">
        <v>658</v>
      </c>
      <c r="H234" s="27" t="s">
        <v>622</v>
      </c>
      <c r="I234" s="21"/>
      <c r="J234" s="23" t="s">
        <v>6378</v>
      </c>
    </row>
    <row r="235" s="5" customFormat="1" ht="73" customHeight="1" spans="1:10">
      <c r="A235" s="19" t="s">
        <v>6404</v>
      </c>
      <c r="B235" s="24" t="s">
        <v>6405</v>
      </c>
      <c r="C235" s="21"/>
      <c r="D235" s="27"/>
      <c r="E235" s="21"/>
      <c r="F235" s="27"/>
      <c r="G235" s="21"/>
      <c r="H235" s="27"/>
      <c r="I235" s="23" t="s">
        <v>6406</v>
      </c>
      <c r="J235" s="23" t="s">
        <v>6407</v>
      </c>
    </row>
    <row r="236" s="5" customFormat="1" ht="20" customHeight="1" spans="1:10">
      <c r="A236" s="25"/>
      <c r="B236" s="26"/>
      <c r="C236" s="21" t="s">
        <v>325</v>
      </c>
      <c r="D236" s="27" t="s">
        <v>6408</v>
      </c>
      <c r="E236" s="21" t="s">
        <v>325</v>
      </c>
      <c r="F236" s="27" t="s">
        <v>328</v>
      </c>
      <c r="G236" s="21" t="s">
        <v>6098</v>
      </c>
      <c r="H236" s="27" t="s">
        <v>323</v>
      </c>
      <c r="I236" s="21"/>
      <c r="J236" s="21"/>
    </row>
    <row r="237" s="5" customFormat="1" ht="20" customHeight="1" spans="1:10">
      <c r="A237" s="25"/>
      <c r="B237" s="26"/>
      <c r="C237" s="21" t="s">
        <v>333</v>
      </c>
      <c r="D237" s="27" t="s">
        <v>1523</v>
      </c>
      <c r="E237" s="21" t="s">
        <v>333</v>
      </c>
      <c r="F237" s="27" t="s">
        <v>336</v>
      </c>
      <c r="G237" s="21" t="s">
        <v>335</v>
      </c>
      <c r="H237" s="27" t="s">
        <v>323</v>
      </c>
      <c r="I237" s="21"/>
      <c r="J237" s="21"/>
    </row>
    <row r="238" s="5" customFormat="1" ht="20" customHeight="1" spans="1:10">
      <c r="A238" s="25"/>
      <c r="B238" s="26"/>
      <c r="C238" s="21" t="s">
        <v>1532</v>
      </c>
      <c r="D238" s="27" t="s">
        <v>6409</v>
      </c>
      <c r="E238" s="21" t="s">
        <v>282</v>
      </c>
      <c r="F238" s="27" t="s">
        <v>281</v>
      </c>
      <c r="G238" s="21" t="s">
        <v>6356</v>
      </c>
      <c r="H238" s="27" t="s">
        <v>285</v>
      </c>
      <c r="I238" s="21"/>
      <c r="J238" s="21"/>
    </row>
    <row r="239" s="5" customFormat="1" ht="20" customHeight="1" spans="1:10">
      <c r="A239" s="25"/>
      <c r="B239" s="26"/>
      <c r="C239" s="21" t="s">
        <v>453</v>
      </c>
      <c r="D239" s="27" t="s">
        <v>1680</v>
      </c>
      <c r="E239" s="21" t="s">
        <v>453</v>
      </c>
      <c r="F239" s="27" t="s">
        <v>452</v>
      </c>
      <c r="G239" s="21" t="s">
        <v>455</v>
      </c>
      <c r="H239" s="27" t="s">
        <v>356</v>
      </c>
      <c r="I239" s="21"/>
      <c r="J239" s="21"/>
    </row>
    <row r="240" s="5" customFormat="1" ht="20" customHeight="1" spans="1:10">
      <c r="A240" s="25"/>
      <c r="B240" s="26"/>
      <c r="C240" s="21" t="s">
        <v>1864</v>
      </c>
      <c r="D240" s="27" t="s">
        <v>1865</v>
      </c>
      <c r="E240" s="21" t="s">
        <v>282</v>
      </c>
      <c r="F240" s="27" t="s">
        <v>281</v>
      </c>
      <c r="G240" s="21" t="s">
        <v>6356</v>
      </c>
      <c r="H240" s="27" t="s">
        <v>285</v>
      </c>
      <c r="I240" s="21"/>
      <c r="J240" s="21"/>
    </row>
    <row r="241" s="5" customFormat="1" ht="20" customHeight="1" spans="1:10">
      <c r="A241" s="25"/>
      <c r="B241" s="26"/>
      <c r="C241" s="21" t="s">
        <v>457</v>
      </c>
      <c r="D241" s="27" t="s">
        <v>1592</v>
      </c>
      <c r="E241" s="21" t="s">
        <v>457</v>
      </c>
      <c r="F241" s="27" t="s">
        <v>460</v>
      </c>
      <c r="G241" s="21" t="s">
        <v>6156</v>
      </c>
      <c r="H241" s="27" t="s">
        <v>464</v>
      </c>
      <c r="I241" s="21"/>
      <c r="J241" s="21"/>
    </row>
    <row r="242" s="5" customFormat="1" ht="20" customHeight="1" spans="1:10">
      <c r="A242" s="25"/>
      <c r="B242" s="26"/>
      <c r="C242" s="21" t="s">
        <v>461</v>
      </c>
      <c r="D242" s="27" t="s">
        <v>1594</v>
      </c>
      <c r="E242" s="21" t="s">
        <v>461</v>
      </c>
      <c r="F242" s="27" t="s">
        <v>465</v>
      </c>
      <c r="G242" s="21" t="s">
        <v>6052</v>
      </c>
      <c r="H242" s="27" t="s">
        <v>518</v>
      </c>
      <c r="I242" s="21"/>
      <c r="J242" s="21"/>
    </row>
    <row r="243" s="5" customFormat="1" ht="20" customHeight="1" spans="1:10">
      <c r="A243" s="25"/>
      <c r="B243" s="26"/>
      <c r="C243" s="21" t="s">
        <v>6410</v>
      </c>
      <c r="D243" s="27" t="s">
        <v>6411</v>
      </c>
      <c r="E243" s="21" t="s">
        <v>333</v>
      </c>
      <c r="F243" s="27" t="s">
        <v>336</v>
      </c>
      <c r="G243" s="21" t="s">
        <v>335</v>
      </c>
      <c r="H243" s="27" t="s">
        <v>323</v>
      </c>
      <c r="I243" s="21"/>
      <c r="J243" s="21"/>
    </row>
    <row r="244" s="5" customFormat="1" ht="20" customHeight="1" spans="1:10">
      <c r="A244" s="25"/>
      <c r="B244" s="26"/>
      <c r="C244" s="21" t="s">
        <v>6412</v>
      </c>
      <c r="D244" s="27" t="s">
        <v>6413</v>
      </c>
      <c r="E244" s="21" t="s">
        <v>307</v>
      </c>
      <c r="F244" s="27" t="s">
        <v>306</v>
      </c>
      <c r="G244" s="21" t="s">
        <v>309</v>
      </c>
      <c r="H244" s="27" t="s">
        <v>310</v>
      </c>
      <c r="I244" s="21"/>
      <c r="J244" s="21"/>
    </row>
    <row r="245" s="5" customFormat="1" ht="20" customHeight="1" spans="1:10">
      <c r="A245" s="25"/>
      <c r="B245" s="26"/>
      <c r="C245" s="21" t="s">
        <v>6414</v>
      </c>
      <c r="D245" s="27" t="s">
        <v>6415</v>
      </c>
      <c r="E245" s="21" t="s">
        <v>474</v>
      </c>
      <c r="F245" s="27" t="s">
        <v>481</v>
      </c>
      <c r="G245" s="21" t="s">
        <v>6416</v>
      </c>
      <c r="H245" s="27" t="s">
        <v>323</v>
      </c>
      <c r="I245" s="21"/>
      <c r="J245" s="21"/>
    </row>
    <row r="246" s="5" customFormat="1" ht="20" customHeight="1" spans="1:10">
      <c r="A246" s="25"/>
      <c r="B246" s="26"/>
      <c r="C246" s="21" t="s">
        <v>6417</v>
      </c>
      <c r="D246" s="27" t="s">
        <v>6418</v>
      </c>
      <c r="E246" s="21" t="s">
        <v>478</v>
      </c>
      <c r="F246" s="27" t="s">
        <v>486</v>
      </c>
      <c r="G246" s="21" t="s">
        <v>6419</v>
      </c>
      <c r="H246" s="27" t="s">
        <v>485</v>
      </c>
      <c r="I246" s="21"/>
      <c r="J246" s="21"/>
    </row>
    <row r="247" s="5" customFormat="1" ht="20" customHeight="1" spans="1:10">
      <c r="A247" s="25"/>
      <c r="B247" s="26"/>
      <c r="C247" s="21" t="s">
        <v>6420</v>
      </c>
      <c r="D247" s="27" t="s">
        <v>6421</v>
      </c>
      <c r="E247" s="21" t="s">
        <v>482</v>
      </c>
      <c r="F247" s="27" t="s">
        <v>490</v>
      </c>
      <c r="G247" s="21" t="s">
        <v>484</v>
      </c>
      <c r="H247" s="27" t="s">
        <v>323</v>
      </c>
      <c r="I247" s="21"/>
      <c r="J247" s="21"/>
    </row>
    <row r="248" s="5" customFormat="1" ht="20" customHeight="1" spans="1:10">
      <c r="A248" s="25"/>
      <c r="B248" s="26"/>
      <c r="C248" s="21" t="s">
        <v>6422</v>
      </c>
      <c r="D248" s="27" t="s">
        <v>6423</v>
      </c>
      <c r="E248" s="21" t="s">
        <v>282</v>
      </c>
      <c r="F248" s="27" t="s">
        <v>281</v>
      </c>
      <c r="G248" s="21" t="s">
        <v>6356</v>
      </c>
      <c r="H248" s="27" t="s">
        <v>285</v>
      </c>
      <c r="I248" s="21"/>
      <c r="J248" s="21"/>
    </row>
    <row r="249" s="5" customFormat="1" ht="20" customHeight="1" spans="1:10">
      <c r="A249" s="25"/>
      <c r="B249" s="26"/>
      <c r="C249" s="21" t="s">
        <v>494</v>
      </c>
      <c r="D249" s="27" t="s">
        <v>6424</v>
      </c>
      <c r="E249" s="21" t="s">
        <v>494</v>
      </c>
      <c r="F249" s="27" t="s">
        <v>501</v>
      </c>
      <c r="G249" s="21" t="s">
        <v>6425</v>
      </c>
      <c r="H249" s="27" t="s">
        <v>385</v>
      </c>
      <c r="I249" s="21"/>
      <c r="J249" s="21"/>
    </row>
    <row r="250" s="5" customFormat="1" ht="20" customHeight="1" spans="1:10">
      <c r="A250" s="25"/>
      <c r="B250" s="26"/>
      <c r="C250" s="21" t="s">
        <v>6426</v>
      </c>
      <c r="D250" s="27" t="s">
        <v>6427</v>
      </c>
      <c r="E250" s="21" t="s">
        <v>515</v>
      </c>
      <c r="F250" s="27" t="s">
        <v>528</v>
      </c>
      <c r="G250" s="21" t="s">
        <v>6428</v>
      </c>
      <c r="H250" s="27" t="s">
        <v>323</v>
      </c>
      <c r="I250" s="21"/>
      <c r="J250" s="21"/>
    </row>
    <row r="251" s="5" customFormat="1" ht="20" customHeight="1" spans="1:10">
      <c r="A251" s="25"/>
      <c r="B251" s="26"/>
      <c r="C251" s="21" t="s">
        <v>6429</v>
      </c>
      <c r="D251" s="27" t="s">
        <v>6430</v>
      </c>
      <c r="E251" s="21" t="s">
        <v>287</v>
      </c>
      <c r="F251" s="27" t="s">
        <v>286</v>
      </c>
      <c r="G251" s="21" t="s">
        <v>289</v>
      </c>
      <c r="H251" s="27" t="s">
        <v>6027</v>
      </c>
      <c r="I251" s="21"/>
      <c r="J251" s="21"/>
    </row>
    <row r="252" s="5" customFormat="1" ht="20" customHeight="1" spans="1:10">
      <c r="A252" s="25"/>
      <c r="B252" s="26"/>
      <c r="C252" s="21" t="s">
        <v>624</v>
      </c>
      <c r="D252" s="27" t="s">
        <v>1989</v>
      </c>
      <c r="E252" s="21" t="s">
        <v>624</v>
      </c>
      <c r="F252" s="27" t="s">
        <v>631</v>
      </c>
      <c r="G252" s="21" t="s">
        <v>6132</v>
      </c>
      <c r="H252" s="27" t="s">
        <v>290</v>
      </c>
      <c r="I252" s="21"/>
      <c r="J252" s="21"/>
    </row>
    <row r="253" s="5" customFormat="1" ht="20" customHeight="1" spans="1:10">
      <c r="A253" s="25"/>
      <c r="B253" s="26"/>
      <c r="C253" s="21" t="s">
        <v>6431</v>
      </c>
      <c r="D253" s="27" t="s">
        <v>6432</v>
      </c>
      <c r="E253" s="21" t="s">
        <v>302</v>
      </c>
      <c r="F253" s="27" t="s">
        <v>301</v>
      </c>
      <c r="G253" s="21" t="s">
        <v>304</v>
      </c>
      <c r="H253" s="27" t="s">
        <v>305</v>
      </c>
      <c r="I253" s="21"/>
      <c r="J253" s="21"/>
    </row>
    <row r="254" s="5" customFormat="1" ht="20" customHeight="1" spans="1:10">
      <c r="A254" s="25"/>
      <c r="B254" s="26"/>
      <c r="C254" s="21" t="s">
        <v>6433</v>
      </c>
      <c r="D254" s="27" t="s">
        <v>6434</v>
      </c>
      <c r="E254" s="21" t="s">
        <v>609</v>
      </c>
      <c r="F254" s="27" t="s">
        <v>612</v>
      </c>
      <c r="G254" s="21" t="s">
        <v>611</v>
      </c>
      <c r="H254" s="27" t="s">
        <v>295</v>
      </c>
      <c r="I254" s="21"/>
      <c r="J254" s="21"/>
    </row>
    <row r="255" s="5" customFormat="1" ht="20" customHeight="1" spans="1:10">
      <c r="A255" s="25"/>
      <c r="B255" s="26"/>
      <c r="C255" s="21" t="s">
        <v>6435</v>
      </c>
      <c r="D255" s="27" t="s">
        <v>6436</v>
      </c>
      <c r="E255" s="21" t="s">
        <v>609</v>
      </c>
      <c r="F255" s="27" t="s">
        <v>612</v>
      </c>
      <c r="G255" s="21" t="s">
        <v>611</v>
      </c>
      <c r="H255" s="27" t="s">
        <v>295</v>
      </c>
      <c r="I255" s="21"/>
      <c r="J255" s="21"/>
    </row>
    <row r="256" s="5" customFormat="1" ht="20" customHeight="1" spans="1:10">
      <c r="A256" s="25"/>
      <c r="B256" s="26"/>
      <c r="C256" s="21" t="s">
        <v>6437</v>
      </c>
      <c r="D256" s="27" t="s">
        <v>6438</v>
      </c>
      <c r="E256" s="21" t="s">
        <v>6398</v>
      </c>
      <c r="F256" s="27" t="s">
        <v>618</v>
      </c>
      <c r="G256" s="21" t="s">
        <v>611</v>
      </c>
      <c r="H256" s="27" t="s">
        <v>295</v>
      </c>
      <c r="I256" s="21"/>
      <c r="J256" s="21"/>
    </row>
    <row r="257" s="5" customFormat="1" ht="20" customHeight="1" spans="1:10">
      <c r="A257" s="25"/>
      <c r="B257" s="26"/>
      <c r="C257" s="21" t="s">
        <v>6439</v>
      </c>
      <c r="D257" s="27" t="s">
        <v>6440</v>
      </c>
      <c r="E257" s="21" t="s">
        <v>412</v>
      </c>
      <c r="F257" s="27" t="s">
        <v>421</v>
      </c>
      <c r="G257" s="21" t="s">
        <v>414</v>
      </c>
      <c r="H257" s="27" t="s">
        <v>430</v>
      </c>
      <c r="I257" s="21"/>
      <c r="J257" s="21"/>
    </row>
    <row r="258" s="5" customFormat="1" ht="20" customHeight="1" spans="1:10">
      <c r="A258" s="25"/>
      <c r="B258" s="26"/>
      <c r="C258" s="21" t="s">
        <v>6441</v>
      </c>
      <c r="D258" s="27" t="s">
        <v>6442</v>
      </c>
      <c r="E258" s="21" t="s">
        <v>6398</v>
      </c>
      <c r="F258" s="27" t="s">
        <v>618</v>
      </c>
      <c r="G258" s="21" t="s">
        <v>611</v>
      </c>
      <c r="H258" s="27" t="s">
        <v>295</v>
      </c>
      <c r="I258" s="21"/>
      <c r="J258" s="21"/>
    </row>
    <row r="259" s="5" customFormat="1" ht="20" customHeight="1" spans="1:10">
      <c r="A259" s="25"/>
      <c r="B259" s="26"/>
      <c r="C259" s="21" t="s">
        <v>6443</v>
      </c>
      <c r="D259" s="27" t="s">
        <v>6444</v>
      </c>
      <c r="E259" s="21" t="s">
        <v>6445</v>
      </c>
      <c r="F259" s="413" t="s">
        <v>6446</v>
      </c>
      <c r="G259" s="21" t="s">
        <v>6447</v>
      </c>
      <c r="H259" s="27" t="s">
        <v>385</v>
      </c>
      <c r="I259" s="21"/>
      <c r="J259" s="21"/>
    </row>
    <row r="260" s="5" customFormat="1" ht="36" spans="1:10">
      <c r="A260" s="25"/>
      <c r="B260" s="26"/>
      <c r="C260" s="21" t="s">
        <v>6448</v>
      </c>
      <c r="D260" s="27" t="s">
        <v>1989</v>
      </c>
      <c r="E260" s="21" t="s">
        <v>287</v>
      </c>
      <c r="F260" s="27" t="s">
        <v>286</v>
      </c>
      <c r="G260" s="21" t="s">
        <v>289</v>
      </c>
      <c r="H260" s="27" t="s">
        <v>6027</v>
      </c>
      <c r="I260" s="21"/>
      <c r="J260" s="21"/>
    </row>
    <row r="261" s="5" customFormat="1" ht="20" customHeight="1" spans="1:10">
      <c r="A261" s="25"/>
      <c r="B261" s="26"/>
      <c r="C261" s="21" t="s">
        <v>1574</v>
      </c>
      <c r="D261" s="27" t="s">
        <v>1575</v>
      </c>
      <c r="E261" s="21" t="s">
        <v>302</v>
      </c>
      <c r="F261" s="27" t="s">
        <v>301</v>
      </c>
      <c r="G261" s="21" t="s">
        <v>304</v>
      </c>
      <c r="H261" s="27" t="s">
        <v>305</v>
      </c>
      <c r="I261" s="21"/>
      <c r="J261" s="21"/>
    </row>
    <row r="262" s="5" customFormat="1" spans="1:10">
      <c r="A262" s="19" t="s">
        <v>6449</v>
      </c>
      <c r="B262" s="24" t="s">
        <v>6450</v>
      </c>
      <c r="C262" s="21"/>
      <c r="D262" s="27"/>
      <c r="E262" s="21"/>
      <c r="F262" s="27"/>
      <c r="G262" s="21"/>
      <c r="H262" s="27"/>
      <c r="I262" s="21"/>
      <c r="J262" s="21"/>
    </row>
    <row r="263" s="5" customFormat="1" ht="36" spans="1:10">
      <c r="A263" s="25"/>
      <c r="B263" s="26"/>
      <c r="C263" s="21" t="s">
        <v>6451</v>
      </c>
      <c r="D263" s="27" t="s">
        <v>6452</v>
      </c>
      <c r="E263" s="21" t="s">
        <v>302</v>
      </c>
      <c r="F263" s="27" t="s">
        <v>296</v>
      </c>
      <c r="G263" s="21" t="s">
        <v>304</v>
      </c>
      <c r="H263" s="27" t="s">
        <v>305</v>
      </c>
      <c r="I263" s="21" t="s">
        <v>6014</v>
      </c>
      <c r="J263" s="23" t="s">
        <v>6453</v>
      </c>
    </row>
    <row r="264" s="5" customFormat="1" ht="53" spans="1:10">
      <c r="A264" s="25"/>
      <c r="B264" s="26"/>
      <c r="C264" s="21" t="s">
        <v>6454</v>
      </c>
      <c r="D264" s="27" t="s">
        <v>6455</v>
      </c>
      <c r="E264" s="21" t="s">
        <v>6454</v>
      </c>
      <c r="F264" s="27" t="s">
        <v>990</v>
      </c>
      <c r="G264" s="21" t="s">
        <v>6456</v>
      </c>
      <c r="H264" s="27" t="s">
        <v>323</v>
      </c>
      <c r="I264" s="21" t="s">
        <v>6014</v>
      </c>
      <c r="J264" s="23" t="s">
        <v>6457</v>
      </c>
    </row>
    <row r="265" s="5" customFormat="1" ht="36" spans="1:10">
      <c r="A265" s="25"/>
      <c r="B265" s="26"/>
      <c r="C265" s="21" t="s">
        <v>6458</v>
      </c>
      <c r="D265" s="27" t="s">
        <v>6459</v>
      </c>
      <c r="E265" s="21" t="s">
        <v>6458</v>
      </c>
      <c r="F265" s="27" t="s">
        <v>994</v>
      </c>
      <c r="G265" s="21" t="s">
        <v>6460</v>
      </c>
      <c r="H265" s="27" t="s">
        <v>310</v>
      </c>
      <c r="I265" s="21" t="s">
        <v>6014</v>
      </c>
      <c r="J265" s="23" t="s">
        <v>6457</v>
      </c>
    </row>
    <row r="266" s="5" customFormat="1" ht="36" spans="1:10">
      <c r="A266" s="25"/>
      <c r="B266" s="26"/>
      <c r="C266" s="21" t="s">
        <v>640</v>
      </c>
      <c r="D266" s="27" t="s">
        <v>2364</v>
      </c>
      <c r="E266" s="21" t="s">
        <v>640</v>
      </c>
      <c r="F266" s="27" t="s">
        <v>659</v>
      </c>
      <c r="G266" s="21" t="s">
        <v>642</v>
      </c>
      <c r="H266" s="27" t="s">
        <v>385</v>
      </c>
      <c r="I266" s="21" t="s">
        <v>6014</v>
      </c>
      <c r="J266" s="23" t="s">
        <v>6032</v>
      </c>
    </row>
    <row r="267" s="5" customFormat="1" ht="53" spans="1:10">
      <c r="A267" s="25"/>
      <c r="B267" s="26"/>
      <c r="C267" s="21" t="s">
        <v>6461</v>
      </c>
      <c r="D267" s="27" t="s">
        <v>6462</v>
      </c>
      <c r="E267" s="21" t="s">
        <v>619</v>
      </c>
      <c r="F267" s="27" t="s">
        <v>627</v>
      </c>
      <c r="G267" s="21" t="s">
        <v>621</v>
      </c>
      <c r="H267" s="27" t="s">
        <v>290</v>
      </c>
      <c r="I267" s="21" t="s">
        <v>6014</v>
      </c>
      <c r="J267" s="23" t="s">
        <v>6463</v>
      </c>
    </row>
    <row r="268" s="5" customFormat="1" ht="46" customHeight="1" spans="1:10">
      <c r="A268" s="25"/>
      <c r="B268" s="26"/>
      <c r="C268" s="21" t="s">
        <v>995</v>
      </c>
      <c r="D268" s="27" t="s">
        <v>4344</v>
      </c>
      <c r="E268" s="21" t="s">
        <v>995</v>
      </c>
      <c r="F268" s="27" t="s">
        <v>990</v>
      </c>
      <c r="G268" s="21" t="s">
        <v>997</v>
      </c>
      <c r="H268" s="27" t="s">
        <v>385</v>
      </c>
      <c r="I268" s="21" t="s">
        <v>6014</v>
      </c>
      <c r="J268" s="23" t="s">
        <v>6300</v>
      </c>
    </row>
    <row r="269" s="5" customFormat="1" ht="36" spans="1:10">
      <c r="A269" s="25"/>
      <c r="B269" s="26"/>
      <c r="C269" s="21" t="s">
        <v>986</v>
      </c>
      <c r="D269" s="27" t="s">
        <v>2209</v>
      </c>
      <c r="E269" s="21" t="s">
        <v>986</v>
      </c>
      <c r="F269" s="27" t="s">
        <v>985</v>
      </c>
      <c r="G269" s="21" t="s">
        <v>988</v>
      </c>
      <c r="H269" s="27" t="s">
        <v>989</v>
      </c>
      <c r="I269" s="21" t="s">
        <v>6014</v>
      </c>
      <c r="J269" s="23" t="s">
        <v>6464</v>
      </c>
    </row>
    <row r="270" s="5" customFormat="1" ht="36" spans="1:10">
      <c r="A270" s="25"/>
      <c r="B270" s="26"/>
      <c r="C270" s="21" t="s">
        <v>991</v>
      </c>
      <c r="D270" s="27" t="s">
        <v>2212</v>
      </c>
      <c r="E270" s="21" t="s">
        <v>991</v>
      </c>
      <c r="F270" s="27" t="s">
        <v>990</v>
      </c>
      <c r="G270" s="21" t="s">
        <v>993</v>
      </c>
      <c r="H270" s="27" t="s">
        <v>518</v>
      </c>
      <c r="I270" s="21" t="s">
        <v>6014</v>
      </c>
      <c r="J270" s="23" t="s">
        <v>6464</v>
      </c>
    </row>
    <row r="271" s="5" customFormat="1" spans="1:10">
      <c r="A271" s="19" t="s">
        <v>6465</v>
      </c>
      <c r="B271" s="24" t="s">
        <v>6466</v>
      </c>
      <c r="C271" s="19" t="s">
        <v>6467</v>
      </c>
      <c r="D271" s="27"/>
      <c r="E271" s="21"/>
      <c r="F271" s="27"/>
      <c r="G271" s="21"/>
      <c r="H271" s="27"/>
      <c r="I271" s="21"/>
      <c r="J271" s="21"/>
    </row>
    <row r="272" s="5" customFormat="1" ht="36" spans="1:10">
      <c r="A272" s="25"/>
      <c r="B272" s="26"/>
      <c r="C272" s="25" t="s">
        <v>6468</v>
      </c>
      <c r="D272" s="27" t="s">
        <v>6469</v>
      </c>
      <c r="E272" s="21" t="s">
        <v>6470</v>
      </c>
      <c r="F272" s="27" t="s">
        <v>6471</v>
      </c>
      <c r="G272" s="21" t="s">
        <v>6472</v>
      </c>
      <c r="H272" s="27" t="s">
        <v>385</v>
      </c>
      <c r="I272" s="21" t="s">
        <v>6014</v>
      </c>
      <c r="J272" s="21"/>
    </row>
    <row r="273" s="5" customFormat="1" ht="53" spans="1:10">
      <c r="A273" s="25"/>
      <c r="B273" s="26"/>
      <c r="C273" s="25" t="s">
        <v>6473</v>
      </c>
      <c r="D273" s="27" t="s">
        <v>6474</v>
      </c>
      <c r="E273" s="21" t="s">
        <v>6475</v>
      </c>
      <c r="F273" s="27" t="s">
        <v>6476</v>
      </c>
      <c r="G273" s="21" t="s">
        <v>6477</v>
      </c>
      <c r="H273" s="27" t="s">
        <v>385</v>
      </c>
      <c r="I273" s="21" t="s">
        <v>6014</v>
      </c>
      <c r="J273" s="21"/>
    </row>
    <row r="274" s="5" customFormat="1" ht="36" spans="1:10">
      <c r="A274" s="25"/>
      <c r="B274" s="26"/>
      <c r="C274" s="25" t="s">
        <v>6478</v>
      </c>
      <c r="D274" s="27" t="s">
        <v>6479</v>
      </c>
      <c r="E274" s="21" t="s">
        <v>609</v>
      </c>
      <c r="F274" s="27" t="s">
        <v>612</v>
      </c>
      <c r="G274" s="21" t="s">
        <v>611</v>
      </c>
      <c r="H274" s="27" t="s">
        <v>295</v>
      </c>
      <c r="I274" s="21" t="s">
        <v>6014</v>
      </c>
      <c r="J274" s="21"/>
    </row>
    <row r="275" s="5" customFormat="1" ht="36" spans="1:10">
      <c r="A275" s="25"/>
      <c r="B275" s="26"/>
      <c r="C275" s="25" t="s">
        <v>6480</v>
      </c>
      <c r="D275" s="27" t="s">
        <v>6481</v>
      </c>
      <c r="E275" s="21" t="s">
        <v>292</v>
      </c>
      <c r="F275" s="27" t="s">
        <v>291</v>
      </c>
      <c r="G275" s="21" t="s">
        <v>6196</v>
      </c>
      <c r="H275" s="27" t="s">
        <v>295</v>
      </c>
      <c r="I275" s="21" t="s">
        <v>6014</v>
      </c>
      <c r="J275" s="21"/>
    </row>
    <row r="276" s="5" customFormat="1" ht="36" spans="1:10">
      <c r="A276" s="25"/>
      <c r="B276" s="26"/>
      <c r="C276" s="25" t="s">
        <v>6482</v>
      </c>
      <c r="D276" s="27" t="s">
        <v>6483</v>
      </c>
      <c r="E276" s="21" t="s">
        <v>292</v>
      </c>
      <c r="F276" s="27" t="s">
        <v>291</v>
      </c>
      <c r="G276" s="21" t="s">
        <v>6196</v>
      </c>
      <c r="H276" s="27" t="s">
        <v>295</v>
      </c>
      <c r="I276" s="21" t="s">
        <v>6014</v>
      </c>
      <c r="J276" s="21"/>
    </row>
    <row r="277" s="5" customFormat="1" ht="36" spans="1:10">
      <c r="A277" s="25"/>
      <c r="B277" s="26"/>
      <c r="C277" s="25" t="s">
        <v>6484</v>
      </c>
      <c r="D277" s="27" t="s">
        <v>6485</v>
      </c>
      <c r="E277" s="21" t="s">
        <v>6398</v>
      </c>
      <c r="F277" s="27" t="s">
        <v>618</v>
      </c>
      <c r="G277" s="21" t="s">
        <v>611</v>
      </c>
      <c r="H277" s="27" t="s">
        <v>295</v>
      </c>
      <c r="I277" s="21" t="s">
        <v>6014</v>
      </c>
      <c r="J277" s="21"/>
    </row>
    <row r="278" s="5" customFormat="1" ht="36" spans="1:10">
      <c r="A278" s="25"/>
      <c r="B278" s="26"/>
      <c r="C278" s="25" t="s">
        <v>6486</v>
      </c>
      <c r="D278" s="27" t="s">
        <v>6487</v>
      </c>
      <c r="E278" s="21" t="s">
        <v>6398</v>
      </c>
      <c r="F278" s="27" t="s">
        <v>618</v>
      </c>
      <c r="G278" s="21" t="s">
        <v>611</v>
      </c>
      <c r="H278" s="27" t="s">
        <v>295</v>
      </c>
      <c r="I278" s="21" t="s">
        <v>6014</v>
      </c>
      <c r="J278" s="21"/>
    </row>
    <row r="279" s="5" customFormat="1" ht="36" spans="1:10">
      <c r="A279" s="25"/>
      <c r="B279" s="26"/>
      <c r="C279" s="25" t="s">
        <v>6488</v>
      </c>
      <c r="D279" s="27" t="s">
        <v>6489</v>
      </c>
      <c r="E279" s="21" t="s">
        <v>609</v>
      </c>
      <c r="F279" s="27" t="s">
        <v>612</v>
      </c>
      <c r="G279" s="21" t="s">
        <v>611</v>
      </c>
      <c r="H279" s="27" t="s">
        <v>295</v>
      </c>
      <c r="I279" s="21" t="s">
        <v>6014</v>
      </c>
      <c r="J279" s="21"/>
    </row>
    <row r="280" s="5" customFormat="1" ht="36" spans="1:10">
      <c r="A280" s="25"/>
      <c r="B280" s="26"/>
      <c r="C280" s="25" t="s">
        <v>6490</v>
      </c>
      <c r="D280" s="27" t="s">
        <v>6491</v>
      </c>
      <c r="E280" s="21" t="s">
        <v>6398</v>
      </c>
      <c r="F280" s="27" t="s">
        <v>618</v>
      </c>
      <c r="G280" s="21" t="s">
        <v>611</v>
      </c>
      <c r="H280" s="27" t="s">
        <v>295</v>
      </c>
      <c r="I280" s="21" t="s">
        <v>6014</v>
      </c>
      <c r="J280" s="21"/>
    </row>
    <row r="281" s="5" customFormat="1" ht="53" spans="1:10">
      <c r="A281" s="25"/>
      <c r="B281" s="26"/>
      <c r="C281" s="25" t="s">
        <v>6492</v>
      </c>
      <c r="D281" s="27" t="s">
        <v>6493</v>
      </c>
      <c r="E281" s="21" t="s">
        <v>412</v>
      </c>
      <c r="F281" s="27" t="s">
        <v>421</v>
      </c>
      <c r="G281" s="21" t="s">
        <v>414</v>
      </c>
      <c r="H281" s="27" t="s">
        <v>430</v>
      </c>
      <c r="I281" s="21" t="s">
        <v>6014</v>
      </c>
      <c r="J281" s="21"/>
    </row>
    <row r="282" s="5" customFormat="1" ht="36" spans="1:10">
      <c r="A282" s="25"/>
      <c r="B282" s="26"/>
      <c r="C282" s="25" t="s">
        <v>6494</v>
      </c>
      <c r="D282" s="27" t="s">
        <v>6495</v>
      </c>
      <c r="E282" s="21" t="s">
        <v>6398</v>
      </c>
      <c r="F282" s="27" t="s">
        <v>618</v>
      </c>
      <c r="G282" s="21" t="s">
        <v>611</v>
      </c>
      <c r="H282" s="27" t="s">
        <v>295</v>
      </c>
      <c r="I282" s="21" t="s">
        <v>6014</v>
      </c>
      <c r="J282" s="21"/>
    </row>
    <row r="283" s="5" customFormat="1" ht="36" spans="1:10">
      <c r="A283" s="25"/>
      <c r="B283" s="26"/>
      <c r="C283" s="25" t="s">
        <v>6496</v>
      </c>
      <c r="D283" s="27" t="s">
        <v>6497</v>
      </c>
      <c r="E283" s="21" t="s">
        <v>609</v>
      </c>
      <c r="F283" s="27" t="s">
        <v>612</v>
      </c>
      <c r="G283" s="21" t="s">
        <v>611</v>
      </c>
      <c r="H283" s="27" t="s">
        <v>295</v>
      </c>
      <c r="I283" s="21" t="s">
        <v>6014</v>
      </c>
      <c r="J283" s="21"/>
    </row>
    <row r="284" s="5" customFormat="1" ht="36" spans="1:10">
      <c r="A284" s="25"/>
      <c r="B284" s="26"/>
      <c r="C284" s="26" t="s">
        <v>6498</v>
      </c>
      <c r="D284" s="27" t="s">
        <v>6499</v>
      </c>
      <c r="E284" s="21" t="s">
        <v>609</v>
      </c>
      <c r="F284" s="27" t="s">
        <v>612</v>
      </c>
      <c r="G284" s="21" t="s">
        <v>611</v>
      </c>
      <c r="H284" s="27" t="s">
        <v>295</v>
      </c>
      <c r="I284" s="21" t="s">
        <v>6014</v>
      </c>
      <c r="J284" s="21"/>
    </row>
    <row r="285" s="5" customFormat="1" ht="36" spans="1:10">
      <c r="A285" s="25"/>
      <c r="B285" s="26"/>
      <c r="C285" s="25" t="s">
        <v>6500</v>
      </c>
      <c r="D285" s="27" t="s">
        <v>6501</v>
      </c>
      <c r="E285" s="21" t="s">
        <v>609</v>
      </c>
      <c r="F285" s="27" t="s">
        <v>612</v>
      </c>
      <c r="G285" s="21" t="s">
        <v>611</v>
      </c>
      <c r="H285" s="27" t="s">
        <v>295</v>
      </c>
      <c r="I285" s="21" t="s">
        <v>6014</v>
      </c>
      <c r="J285" s="21"/>
    </row>
    <row r="286" s="5" customFormat="1" spans="1:10">
      <c r="A286" s="19" t="s">
        <v>6502</v>
      </c>
      <c r="B286" s="24" t="s">
        <v>6503</v>
      </c>
      <c r="C286" s="34" t="s">
        <v>6504</v>
      </c>
      <c r="D286" s="27"/>
      <c r="E286" s="21"/>
      <c r="F286" s="27"/>
      <c r="G286" s="21"/>
      <c r="H286" s="27"/>
      <c r="I286" s="21"/>
      <c r="J286" s="21"/>
    </row>
    <row r="287" s="5" customFormat="1" ht="36" spans="1:10">
      <c r="A287" s="25"/>
      <c r="B287" s="26"/>
      <c r="C287" s="25" t="s">
        <v>6505</v>
      </c>
      <c r="D287" s="27" t="s">
        <v>6506</v>
      </c>
      <c r="E287" s="21" t="s">
        <v>287</v>
      </c>
      <c r="F287" s="27" t="s">
        <v>286</v>
      </c>
      <c r="G287" s="21" t="s">
        <v>289</v>
      </c>
      <c r="H287" s="27" t="s">
        <v>6027</v>
      </c>
      <c r="I287" s="21" t="s">
        <v>6014</v>
      </c>
      <c r="J287" s="21"/>
    </row>
    <row r="288" s="5" customFormat="1" ht="36" spans="1:10">
      <c r="A288" s="25"/>
      <c r="B288" s="26"/>
      <c r="C288" s="25" t="s">
        <v>6507</v>
      </c>
      <c r="D288" s="27" t="s">
        <v>6508</v>
      </c>
      <c r="E288" s="21" t="s">
        <v>609</v>
      </c>
      <c r="F288" s="27" t="s">
        <v>612</v>
      </c>
      <c r="G288" s="21" t="s">
        <v>611</v>
      </c>
      <c r="H288" s="27" t="s">
        <v>295</v>
      </c>
      <c r="I288" s="21" t="s">
        <v>6014</v>
      </c>
      <c r="J288" s="21"/>
    </row>
    <row r="289" s="5" customFormat="1" ht="53" spans="1:10">
      <c r="A289" s="25"/>
      <c r="B289" s="26"/>
      <c r="C289" s="25" t="s">
        <v>6509</v>
      </c>
      <c r="D289" s="27" t="s">
        <v>6510</v>
      </c>
      <c r="E289" s="21" t="s">
        <v>412</v>
      </c>
      <c r="F289" s="27" t="s">
        <v>411</v>
      </c>
      <c r="G289" s="21" t="s">
        <v>414</v>
      </c>
      <c r="H289" s="27" t="s">
        <v>415</v>
      </c>
      <c r="I289" s="21" t="s">
        <v>6014</v>
      </c>
      <c r="J289" s="21"/>
    </row>
    <row r="290" s="5" customFormat="1" ht="53" spans="1:10">
      <c r="A290" s="25"/>
      <c r="B290" s="26"/>
      <c r="C290" s="25" t="s">
        <v>6511</v>
      </c>
      <c r="D290" s="27" t="s">
        <v>6512</v>
      </c>
      <c r="E290" s="21" t="s">
        <v>6398</v>
      </c>
      <c r="F290" s="27" t="s">
        <v>618</v>
      </c>
      <c r="G290" s="21" t="s">
        <v>611</v>
      </c>
      <c r="H290" s="27" t="s">
        <v>295</v>
      </c>
      <c r="I290" s="21" t="s">
        <v>6014</v>
      </c>
      <c r="J290" s="21"/>
    </row>
    <row r="291" s="5" customFormat="1" ht="53" spans="1:10">
      <c r="A291" s="25"/>
      <c r="B291" s="26"/>
      <c r="C291" s="25" t="s">
        <v>6513</v>
      </c>
      <c r="D291" s="27" t="s">
        <v>6514</v>
      </c>
      <c r="E291" s="21" t="s">
        <v>609</v>
      </c>
      <c r="F291" s="27" t="s">
        <v>612</v>
      </c>
      <c r="G291" s="21" t="s">
        <v>611</v>
      </c>
      <c r="H291" s="27" t="s">
        <v>295</v>
      </c>
      <c r="I291" s="21" t="s">
        <v>6014</v>
      </c>
      <c r="J291" s="21"/>
    </row>
    <row r="292" s="5" customFormat="1" ht="36" spans="1:10">
      <c r="A292" s="25"/>
      <c r="B292" s="26"/>
      <c r="C292" s="25" t="s">
        <v>6515</v>
      </c>
      <c r="D292" s="27" t="s">
        <v>6516</v>
      </c>
      <c r="E292" s="21" t="s">
        <v>947</v>
      </c>
      <c r="F292" s="27" t="s">
        <v>946</v>
      </c>
      <c r="G292" s="21" t="s">
        <v>949</v>
      </c>
      <c r="H292" s="27" t="s">
        <v>385</v>
      </c>
      <c r="I292" s="21" t="s">
        <v>6014</v>
      </c>
      <c r="J292" s="21"/>
    </row>
    <row r="293" s="5" customFormat="1" ht="36" spans="1:10">
      <c r="A293" s="25"/>
      <c r="B293" s="26"/>
      <c r="C293" s="25" t="s">
        <v>6517</v>
      </c>
      <c r="D293" s="27" t="s">
        <v>6518</v>
      </c>
      <c r="E293" s="21" t="s">
        <v>982</v>
      </c>
      <c r="F293" s="27" t="s">
        <v>981</v>
      </c>
      <c r="G293" s="21" t="s">
        <v>984</v>
      </c>
      <c r="H293" s="27" t="s">
        <v>518</v>
      </c>
      <c r="I293" s="21" t="s">
        <v>6014</v>
      </c>
      <c r="J293" s="21"/>
    </row>
    <row r="294" s="5" customFormat="1" ht="36" spans="1:10">
      <c r="A294" s="25"/>
      <c r="B294" s="26"/>
      <c r="C294" s="25" t="s">
        <v>6519</v>
      </c>
      <c r="D294" s="27" t="s">
        <v>2209</v>
      </c>
      <c r="E294" s="21" t="s">
        <v>986</v>
      </c>
      <c r="F294" s="27" t="s">
        <v>985</v>
      </c>
      <c r="G294" s="21" t="s">
        <v>988</v>
      </c>
      <c r="H294" s="27" t="s">
        <v>989</v>
      </c>
      <c r="I294" s="21" t="s">
        <v>6014</v>
      </c>
      <c r="J294" s="21"/>
    </row>
    <row r="295" s="5" customFormat="1" ht="36" spans="1:10">
      <c r="A295" s="25"/>
      <c r="B295" s="26"/>
      <c r="C295" s="25" t="s">
        <v>6520</v>
      </c>
      <c r="D295" s="27" t="s">
        <v>2212</v>
      </c>
      <c r="E295" s="21" t="s">
        <v>991</v>
      </c>
      <c r="F295" s="27" t="s">
        <v>990</v>
      </c>
      <c r="G295" s="21" t="s">
        <v>993</v>
      </c>
      <c r="H295" s="27" t="s">
        <v>518</v>
      </c>
      <c r="I295" s="21" t="s">
        <v>6014</v>
      </c>
      <c r="J295" s="21"/>
    </row>
    <row r="296" s="5" customFormat="1" spans="1:10">
      <c r="A296" s="50" t="s">
        <v>236</v>
      </c>
      <c r="B296" s="51" t="s">
        <v>237</v>
      </c>
      <c r="C296" s="52" t="s">
        <v>6207</v>
      </c>
      <c r="D296" s="53"/>
      <c r="E296" s="21"/>
      <c r="F296" s="27"/>
      <c r="G296" s="21"/>
      <c r="H296" s="27"/>
      <c r="I296" s="21"/>
      <c r="J296" s="21"/>
    </row>
    <row r="297" s="5" customFormat="1" ht="71" spans="1:10">
      <c r="A297" s="25"/>
      <c r="B297" s="26"/>
      <c r="C297" s="54" t="s">
        <v>6521</v>
      </c>
      <c r="D297" s="31" t="s">
        <v>6522</v>
      </c>
      <c r="E297" s="55" t="s">
        <v>1125</v>
      </c>
      <c r="F297" s="413" t="s">
        <v>1124</v>
      </c>
      <c r="G297" s="55" t="s">
        <v>1127</v>
      </c>
      <c r="H297" s="27" t="s">
        <v>300</v>
      </c>
      <c r="I297" s="21" t="s">
        <v>6014</v>
      </c>
      <c r="J297" s="23" t="s">
        <v>6523</v>
      </c>
    </row>
    <row r="298" s="5" customFormat="1" ht="53" spans="1:10">
      <c r="A298" s="25"/>
      <c r="B298" s="26"/>
      <c r="C298" s="36" t="s">
        <v>6524</v>
      </c>
      <c r="D298" s="31" t="s">
        <v>6525</v>
      </c>
      <c r="E298" s="55" t="s">
        <v>1125</v>
      </c>
      <c r="F298" s="413" t="s">
        <v>1124</v>
      </c>
      <c r="G298" s="55" t="s">
        <v>1127</v>
      </c>
      <c r="H298" s="27" t="s">
        <v>300</v>
      </c>
      <c r="I298" s="21" t="s">
        <v>6014</v>
      </c>
      <c r="J298" s="23" t="s">
        <v>6526</v>
      </c>
    </row>
    <row r="299" s="5" customFormat="1" ht="69" customHeight="1" spans="1:10">
      <c r="A299" s="50" t="s">
        <v>6527</v>
      </c>
      <c r="B299" s="51" t="s">
        <v>214</v>
      </c>
      <c r="C299" s="52" t="s">
        <v>6252</v>
      </c>
      <c r="D299" s="53"/>
      <c r="E299" s="21"/>
      <c r="F299" s="27"/>
      <c r="G299" s="21"/>
      <c r="H299" s="27"/>
      <c r="I299" s="26" t="s">
        <v>6406</v>
      </c>
      <c r="J299" s="23" t="s">
        <v>6528</v>
      </c>
    </row>
    <row r="300" s="5" customFormat="1" ht="20" customHeight="1" spans="1:10">
      <c r="A300" s="25"/>
      <c r="B300" s="26"/>
      <c r="C300" s="25" t="s">
        <v>325</v>
      </c>
      <c r="D300" s="27" t="s">
        <v>6408</v>
      </c>
      <c r="E300" s="21" t="s">
        <v>325</v>
      </c>
      <c r="F300" s="27" t="s">
        <v>328</v>
      </c>
      <c r="G300" s="21" t="s">
        <v>6098</v>
      </c>
      <c r="H300" s="27" t="s">
        <v>323</v>
      </c>
      <c r="I300" s="21"/>
      <c r="J300" s="21"/>
    </row>
    <row r="301" s="5" customFormat="1" ht="20" customHeight="1" spans="1:10">
      <c r="A301" s="25"/>
      <c r="B301" s="26"/>
      <c r="C301" s="25" t="s">
        <v>329</v>
      </c>
      <c r="D301" s="27" t="s">
        <v>1526</v>
      </c>
      <c r="E301" s="21" t="s">
        <v>329</v>
      </c>
      <c r="F301" s="27" t="s">
        <v>332</v>
      </c>
      <c r="G301" s="21" t="s">
        <v>6529</v>
      </c>
      <c r="H301" s="27" t="s">
        <v>323</v>
      </c>
      <c r="I301" s="21"/>
      <c r="J301" s="21"/>
    </row>
    <row r="302" s="5" customFormat="1" ht="20" customHeight="1" spans="1:10">
      <c r="A302" s="25"/>
      <c r="B302" s="26"/>
      <c r="C302" s="25" t="s">
        <v>333</v>
      </c>
      <c r="D302" s="27" t="s">
        <v>1523</v>
      </c>
      <c r="E302" s="21" t="s">
        <v>333</v>
      </c>
      <c r="F302" s="27" t="s">
        <v>336</v>
      </c>
      <c r="G302" s="21" t="s">
        <v>335</v>
      </c>
      <c r="H302" s="27" t="s">
        <v>323</v>
      </c>
      <c r="I302" s="21"/>
      <c r="J302" s="21"/>
    </row>
    <row r="303" s="5" customFormat="1" ht="20" customHeight="1" spans="1:10">
      <c r="A303" s="25"/>
      <c r="B303" s="26"/>
      <c r="C303" s="25" t="s">
        <v>1532</v>
      </c>
      <c r="D303" s="27" t="s">
        <v>6409</v>
      </c>
      <c r="E303" s="21" t="s">
        <v>282</v>
      </c>
      <c r="F303" s="27" t="s">
        <v>281</v>
      </c>
      <c r="G303" s="21" t="s">
        <v>6356</v>
      </c>
      <c r="H303" s="27" t="s">
        <v>285</v>
      </c>
      <c r="I303" s="21"/>
      <c r="J303" s="21"/>
    </row>
    <row r="304" s="5" customFormat="1" ht="20" customHeight="1" spans="1:10">
      <c r="A304" s="25"/>
      <c r="B304" s="26"/>
      <c r="C304" s="25" t="s">
        <v>2325</v>
      </c>
      <c r="D304" s="27" t="s">
        <v>2326</v>
      </c>
      <c r="E304" s="21" t="s">
        <v>2325</v>
      </c>
      <c r="F304" s="27" t="s">
        <v>590</v>
      </c>
      <c r="G304" s="21" t="s">
        <v>6530</v>
      </c>
      <c r="H304" s="27" t="s">
        <v>385</v>
      </c>
      <c r="I304" s="21"/>
      <c r="J304" s="21"/>
    </row>
    <row r="305" s="5" customFormat="1" ht="20" customHeight="1" spans="1:10">
      <c r="A305" s="25"/>
      <c r="B305" s="26"/>
      <c r="C305" s="25" t="s">
        <v>2329</v>
      </c>
      <c r="D305" s="27" t="s">
        <v>2330</v>
      </c>
      <c r="E305" s="21" t="s">
        <v>2329</v>
      </c>
      <c r="F305" s="27" t="s">
        <v>594</v>
      </c>
      <c r="G305" s="21" t="s">
        <v>6531</v>
      </c>
      <c r="H305" s="27" t="s">
        <v>540</v>
      </c>
      <c r="I305" s="21"/>
      <c r="J305" s="21"/>
    </row>
    <row r="306" s="5" customFormat="1" ht="20" customHeight="1" spans="1:10">
      <c r="A306" s="25"/>
      <c r="B306" s="26"/>
      <c r="C306" s="25" t="s">
        <v>453</v>
      </c>
      <c r="D306" s="27" t="s">
        <v>1680</v>
      </c>
      <c r="E306" s="21" t="s">
        <v>453</v>
      </c>
      <c r="F306" s="27" t="s">
        <v>452</v>
      </c>
      <c r="G306" s="21" t="s">
        <v>455</v>
      </c>
      <c r="H306" s="27" t="s">
        <v>385</v>
      </c>
      <c r="I306" s="21"/>
      <c r="J306" s="21"/>
    </row>
    <row r="307" s="5" customFormat="1" ht="20" customHeight="1" spans="1:10">
      <c r="A307" s="25"/>
      <c r="B307" s="26"/>
      <c r="C307" s="25" t="s">
        <v>1864</v>
      </c>
      <c r="D307" s="27" t="s">
        <v>1865</v>
      </c>
      <c r="E307" s="21" t="s">
        <v>282</v>
      </c>
      <c r="F307" s="27" t="s">
        <v>281</v>
      </c>
      <c r="G307" s="21" t="s">
        <v>6356</v>
      </c>
      <c r="H307" s="27" t="s">
        <v>285</v>
      </c>
      <c r="I307" s="21"/>
      <c r="J307" s="21"/>
    </row>
    <row r="308" s="5" customFormat="1" ht="20" customHeight="1" spans="1:10">
      <c r="A308" s="25"/>
      <c r="B308" s="26"/>
      <c r="C308" s="25" t="s">
        <v>2752</v>
      </c>
      <c r="D308" s="27" t="s">
        <v>2753</v>
      </c>
      <c r="E308" s="21" t="s">
        <v>677</v>
      </c>
      <c r="F308" s="27" t="s">
        <v>696</v>
      </c>
      <c r="G308" s="21" t="s">
        <v>679</v>
      </c>
      <c r="H308" s="27" t="s">
        <v>518</v>
      </c>
      <c r="I308" s="21"/>
      <c r="J308" s="21"/>
    </row>
    <row r="309" s="5" customFormat="1" ht="20" customHeight="1" spans="1:10">
      <c r="A309" s="25"/>
      <c r="B309" s="26"/>
      <c r="C309" s="25" t="s">
        <v>2895</v>
      </c>
      <c r="D309" s="27" t="s">
        <v>2896</v>
      </c>
      <c r="E309" s="21" t="s">
        <v>681</v>
      </c>
      <c r="F309" s="27" t="s">
        <v>6532</v>
      </c>
      <c r="G309" s="21" t="s">
        <v>683</v>
      </c>
      <c r="H309" s="27" t="s">
        <v>518</v>
      </c>
      <c r="I309" s="21"/>
      <c r="J309" s="21"/>
    </row>
    <row r="310" s="5" customFormat="1" ht="20" customHeight="1" spans="1:10">
      <c r="A310" s="25"/>
      <c r="B310" s="26"/>
      <c r="C310" s="25" t="s">
        <v>6533</v>
      </c>
      <c r="D310" s="27" t="s">
        <v>6534</v>
      </c>
      <c r="E310" s="21" t="s">
        <v>6533</v>
      </c>
      <c r="F310" s="413" t="s">
        <v>6535</v>
      </c>
      <c r="G310" s="21" t="s">
        <v>6536</v>
      </c>
      <c r="H310" s="27" t="s">
        <v>385</v>
      </c>
      <c r="I310" s="21"/>
      <c r="J310" s="21"/>
    </row>
    <row r="311" s="5" customFormat="1" ht="20" customHeight="1" spans="1:10">
      <c r="A311" s="25"/>
      <c r="B311" s="26"/>
      <c r="C311" s="25" t="s">
        <v>624</v>
      </c>
      <c r="D311" s="27" t="s">
        <v>1989</v>
      </c>
      <c r="E311" s="21" t="s">
        <v>624</v>
      </c>
      <c r="F311" s="27" t="s">
        <v>631</v>
      </c>
      <c r="G311" s="21" t="s">
        <v>6132</v>
      </c>
      <c r="H311" s="27" t="s">
        <v>290</v>
      </c>
      <c r="I311" s="21"/>
      <c r="J311" s="21"/>
    </row>
    <row r="312" s="5" customFormat="1" ht="20" customHeight="1" spans="1:10">
      <c r="A312" s="25"/>
      <c r="B312" s="26"/>
      <c r="C312" s="25" t="s">
        <v>609</v>
      </c>
      <c r="D312" s="27" t="s">
        <v>5690</v>
      </c>
      <c r="E312" s="21" t="s">
        <v>609</v>
      </c>
      <c r="F312" s="27" t="s">
        <v>612</v>
      </c>
      <c r="G312" s="21" t="s">
        <v>658</v>
      </c>
      <c r="H312" s="27" t="s">
        <v>295</v>
      </c>
      <c r="I312" s="21"/>
      <c r="J312" s="21"/>
    </row>
    <row r="313" s="5" customFormat="1" ht="20" customHeight="1" spans="1:10">
      <c r="A313" s="25"/>
      <c r="B313" s="26"/>
      <c r="C313" s="25" t="s">
        <v>613</v>
      </c>
      <c r="D313" s="27" t="s">
        <v>6537</v>
      </c>
      <c r="E313" s="21" t="s">
        <v>613</v>
      </c>
      <c r="F313" s="27" t="s">
        <v>615</v>
      </c>
      <c r="G313" s="21" t="s">
        <v>658</v>
      </c>
      <c r="H313" s="27" t="s">
        <v>295</v>
      </c>
      <c r="I313" s="21"/>
      <c r="J313" s="21"/>
    </row>
    <row r="314" s="5" customFormat="1" ht="20" customHeight="1" spans="1:10">
      <c r="A314" s="25"/>
      <c r="B314" s="26"/>
      <c r="C314" s="25" t="s">
        <v>6538</v>
      </c>
      <c r="D314" s="27" t="s">
        <v>6539</v>
      </c>
      <c r="E314" s="21" t="s">
        <v>6175</v>
      </c>
      <c r="F314" s="27" t="s">
        <v>885</v>
      </c>
      <c r="G314" s="21" t="s">
        <v>6177</v>
      </c>
      <c r="H314" s="27" t="s">
        <v>6221</v>
      </c>
      <c r="I314" s="21"/>
      <c r="J314" s="21"/>
    </row>
    <row r="315" s="5" customFormat="1" ht="20" customHeight="1" spans="1:10">
      <c r="A315" s="25"/>
      <c r="B315" s="26"/>
      <c r="C315" s="25" t="s">
        <v>6540</v>
      </c>
      <c r="D315" s="27" t="s">
        <v>6541</v>
      </c>
      <c r="E315" s="21" t="s">
        <v>287</v>
      </c>
      <c r="F315" s="27" t="s">
        <v>286</v>
      </c>
      <c r="G315" s="21" t="s">
        <v>289</v>
      </c>
      <c r="H315" s="27" t="s">
        <v>6027</v>
      </c>
      <c r="I315" s="21"/>
      <c r="J315" s="21"/>
    </row>
    <row r="316" s="5" customFormat="1" ht="20" customHeight="1" spans="1:10">
      <c r="A316" s="25"/>
      <c r="B316" s="26"/>
      <c r="C316" s="25" t="s">
        <v>6542</v>
      </c>
      <c r="D316" s="27" t="s">
        <v>6543</v>
      </c>
      <c r="E316" s="21" t="s">
        <v>302</v>
      </c>
      <c r="F316" s="27" t="s">
        <v>301</v>
      </c>
      <c r="G316" s="21" t="s">
        <v>304</v>
      </c>
      <c r="H316" s="27" t="s">
        <v>305</v>
      </c>
      <c r="I316" s="21"/>
      <c r="J316" s="21"/>
    </row>
    <row r="317" s="5" customFormat="1" ht="20" customHeight="1" spans="1:10">
      <c r="A317" s="25"/>
      <c r="B317" s="26"/>
      <c r="C317" s="25" t="s">
        <v>6544</v>
      </c>
      <c r="D317" s="27" t="s">
        <v>6545</v>
      </c>
      <c r="E317" s="21" t="s">
        <v>302</v>
      </c>
      <c r="F317" s="27" t="s">
        <v>301</v>
      </c>
      <c r="G317" s="21" t="s">
        <v>304</v>
      </c>
      <c r="H317" s="27" t="s">
        <v>305</v>
      </c>
      <c r="I317" s="21"/>
      <c r="J317" s="21"/>
    </row>
    <row r="318" s="5" customFormat="1" ht="20" customHeight="1" spans="1:10">
      <c r="A318" s="25"/>
      <c r="B318" s="26"/>
      <c r="C318" s="25" t="s">
        <v>6546</v>
      </c>
      <c r="D318" s="27" t="s">
        <v>6547</v>
      </c>
      <c r="E318" s="21" t="s">
        <v>302</v>
      </c>
      <c r="F318" s="27" t="s">
        <v>301</v>
      </c>
      <c r="G318" s="21" t="s">
        <v>304</v>
      </c>
      <c r="H318" s="27" t="s">
        <v>305</v>
      </c>
      <c r="I318" s="21"/>
      <c r="J318" s="21"/>
    </row>
    <row r="319" s="5" customFormat="1" ht="20" customHeight="1" spans="1:10">
      <c r="A319" s="25"/>
      <c r="B319" s="26"/>
      <c r="C319" s="25" t="s">
        <v>6548</v>
      </c>
      <c r="D319" s="27" t="s">
        <v>6549</v>
      </c>
      <c r="E319" s="21" t="s">
        <v>302</v>
      </c>
      <c r="F319" s="27" t="s">
        <v>301</v>
      </c>
      <c r="G319" s="21" t="s">
        <v>304</v>
      </c>
      <c r="H319" s="27" t="s">
        <v>305</v>
      </c>
      <c r="I319" s="21"/>
      <c r="J319" s="21"/>
    </row>
    <row r="320" s="5" customFormat="1" ht="20" customHeight="1" spans="1:10">
      <c r="A320" s="25"/>
      <c r="B320" s="26"/>
      <c r="C320" s="25" t="s">
        <v>685</v>
      </c>
      <c r="D320" s="27" t="s">
        <v>2967</v>
      </c>
      <c r="E320" s="21" t="s">
        <v>685</v>
      </c>
      <c r="F320" s="27" t="s">
        <v>6401</v>
      </c>
      <c r="G320" s="21" t="s">
        <v>687</v>
      </c>
      <c r="H320" s="27" t="s">
        <v>310</v>
      </c>
      <c r="I320" s="21"/>
      <c r="J320" s="21"/>
    </row>
    <row r="321" s="5" customFormat="1" ht="20" customHeight="1" spans="1:10">
      <c r="A321" s="25"/>
      <c r="B321" s="26"/>
      <c r="C321" s="25" t="s">
        <v>3538</v>
      </c>
      <c r="D321" s="27" t="s">
        <v>3539</v>
      </c>
      <c r="E321" s="21" t="s">
        <v>616</v>
      </c>
      <c r="F321" s="27" t="s">
        <v>623</v>
      </c>
      <c r="G321" s="21" t="s">
        <v>658</v>
      </c>
      <c r="H321" s="27" t="s">
        <v>295</v>
      </c>
      <c r="I321" s="21"/>
      <c r="J321" s="21"/>
    </row>
    <row r="322" s="5" customFormat="1" ht="20" customHeight="1" spans="1:10">
      <c r="A322" s="25"/>
      <c r="B322" s="26"/>
      <c r="C322" s="25" t="s">
        <v>3542</v>
      </c>
      <c r="D322" s="27" t="s">
        <v>3543</v>
      </c>
      <c r="E322" s="21" t="s">
        <v>292</v>
      </c>
      <c r="F322" s="27" t="s">
        <v>291</v>
      </c>
      <c r="G322" s="21" t="s">
        <v>6196</v>
      </c>
      <c r="H322" s="27" t="s">
        <v>6550</v>
      </c>
      <c r="I322" s="21"/>
      <c r="J322" s="21"/>
    </row>
    <row r="323" s="5" customFormat="1" ht="20" customHeight="1" spans="1:10">
      <c r="A323" s="25"/>
      <c r="B323" s="26"/>
      <c r="C323" s="25" t="s">
        <v>3546</v>
      </c>
      <c r="D323" s="27" t="s">
        <v>3547</v>
      </c>
      <c r="E323" s="21" t="s">
        <v>624</v>
      </c>
      <c r="F323" s="27" t="s">
        <v>631</v>
      </c>
      <c r="G323" s="21" t="s">
        <v>6132</v>
      </c>
      <c r="H323" s="27" t="s">
        <v>290</v>
      </c>
      <c r="I323" s="21"/>
      <c r="J323" s="21"/>
    </row>
    <row r="324" s="5" customFormat="1" ht="20" customHeight="1" spans="1:10">
      <c r="A324" s="25"/>
      <c r="B324" s="26"/>
      <c r="C324" s="25" t="s">
        <v>3550</v>
      </c>
      <c r="D324" s="27" t="s">
        <v>3551</v>
      </c>
      <c r="E324" s="21" t="s">
        <v>609</v>
      </c>
      <c r="F324" s="27" t="s">
        <v>612</v>
      </c>
      <c r="G324" s="21" t="s">
        <v>658</v>
      </c>
      <c r="H324" s="27" t="s">
        <v>295</v>
      </c>
      <c r="I324" s="21"/>
      <c r="J324" s="21"/>
    </row>
    <row r="325" s="5" customFormat="1" ht="20" customHeight="1" spans="1:10">
      <c r="A325" s="25"/>
      <c r="B325" s="26"/>
      <c r="C325" s="25" t="s">
        <v>3554</v>
      </c>
      <c r="D325" s="27" t="s">
        <v>3555</v>
      </c>
      <c r="E325" s="21" t="s">
        <v>570</v>
      </c>
      <c r="F325" s="27" t="s">
        <v>569</v>
      </c>
      <c r="G325" s="21" t="s">
        <v>572</v>
      </c>
      <c r="H325" s="27" t="s">
        <v>385</v>
      </c>
      <c r="I325" s="21"/>
      <c r="J325" s="21"/>
    </row>
    <row r="326" s="5" customFormat="1" ht="20" customHeight="1" spans="1:10">
      <c r="A326" s="25"/>
      <c r="B326" s="26"/>
      <c r="C326" s="25" t="s">
        <v>795</v>
      </c>
      <c r="D326" s="27" t="s">
        <v>3357</v>
      </c>
      <c r="E326" s="21" t="s">
        <v>427</v>
      </c>
      <c r="F326" s="27" t="s">
        <v>439</v>
      </c>
      <c r="G326" s="21" t="s">
        <v>429</v>
      </c>
      <c r="H326" s="27" t="s">
        <v>285</v>
      </c>
      <c r="I326" s="21"/>
      <c r="J326" s="21"/>
    </row>
    <row r="327" s="5" customFormat="1" ht="20" customHeight="1" spans="1:10">
      <c r="A327" s="25"/>
      <c r="B327" s="26"/>
      <c r="C327" s="25" t="s">
        <v>3362</v>
      </c>
      <c r="D327" s="27" t="s">
        <v>3363</v>
      </c>
      <c r="E327" s="21" t="s">
        <v>609</v>
      </c>
      <c r="F327" s="27" t="s">
        <v>612</v>
      </c>
      <c r="G327" s="21" t="s">
        <v>658</v>
      </c>
      <c r="H327" s="27" t="s">
        <v>295</v>
      </c>
      <c r="I327" s="21"/>
      <c r="J327" s="21"/>
    </row>
    <row r="328" s="5" customFormat="1" ht="20" customHeight="1" spans="1:10">
      <c r="A328" s="25"/>
      <c r="B328" s="26"/>
      <c r="C328" s="25" t="s">
        <v>6551</v>
      </c>
      <c r="D328" s="27" t="s">
        <v>6552</v>
      </c>
      <c r="E328" s="21" t="s">
        <v>6551</v>
      </c>
      <c r="F328" s="27" t="s">
        <v>850</v>
      </c>
      <c r="G328" s="21" t="s">
        <v>6553</v>
      </c>
      <c r="H328" s="27" t="s">
        <v>1089</v>
      </c>
      <c r="I328" s="21"/>
      <c r="J328" s="21"/>
    </row>
    <row r="329" s="5" customFormat="1" ht="20" customHeight="1" spans="1:10">
      <c r="A329" s="25"/>
      <c r="B329" s="26"/>
      <c r="C329" s="25" t="s">
        <v>6554</v>
      </c>
      <c r="D329" s="27" t="s">
        <v>6555</v>
      </c>
      <c r="E329" s="21" t="s">
        <v>624</v>
      </c>
      <c r="F329" s="27" t="s">
        <v>631</v>
      </c>
      <c r="G329" s="21" t="s">
        <v>6132</v>
      </c>
      <c r="H329" s="27" t="s">
        <v>290</v>
      </c>
      <c r="I329" s="21"/>
      <c r="J329" s="21"/>
    </row>
    <row r="330" s="5" customFormat="1" ht="20" customHeight="1" spans="1:10">
      <c r="A330" s="25"/>
      <c r="B330" s="26"/>
      <c r="C330" s="25" t="s">
        <v>6556</v>
      </c>
      <c r="D330" s="27" t="s">
        <v>6557</v>
      </c>
      <c r="E330" s="21" t="s">
        <v>609</v>
      </c>
      <c r="F330" s="27" t="s">
        <v>612</v>
      </c>
      <c r="G330" s="21" t="s">
        <v>658</v>
      </c>
      <c r="H330" s="27" t="s">
        <v>295</v>
      </c>
      <c r="I330" s="21"/>
      <c r="J330" s="21"/>
    </row>
    <row r="331" s="5" customFormat="1" ht="20" customHeight="1" spans="1:10">
      <c r="A331" s="25"/>
      <c r="B331" s="26"/>
      <c r="C331" s="25" t="s">
        <v>6558</v>
      </c>
      <c r="D331" s="27" t="s">
        <v>6559</v>
      </c>
      <c r="E331" s="21" t="s">
        <v>6558</v>
      </c>
      <c r="F331" s="413" t="s">
        <v>854</v>
      </c>
      <c r="G331" s="21" t="s">
        <v>6560</v>
      </c>
      <c r="H331" s="27" t="s">
        <v>385</v>
      </c>
      <c r="I331" s="21"/>
      <c r="J331" s="21"/>
    </row>
    <row r="332" s="5" customFormat="1" ht="20" customHeight="1" spans="1:10">
      <c r="A332" s="25"/>
      <c r="B332" s="26"/>
      <c r="C332" s="25" t="s">
        <v>3094</v>
      </c>
      <c r="D332" s="27" t="s">
        <v>3095</v>
      </c>
      <c r="E332" s="21" t="s">
        <v>349</v>
      </c>
      <c r="F332" s="27" t="s">
        <v>357</v>
      </c>
      <c r="G332" s="21" t="s">
        <v>6260</v>
      </c>
      <c r="H332" s="27" t="s">
        <v>323</v>
      </c>
      <c r="I332" s="21"/>
      <c r="J332" s="21"/>
    </row>
    <row r="333" s="5" customFormat="1" ht="20" customHeight="1" spans="1:10">
      <c r="A333" s="25"/>
      <c r="B333" s="26"/>
      <c r="C333" s="25" t="s">
        <v>1574</v>
      </c>
      <c r="D333" s="27" t="s">
        <v>1575</v>
      </c>
      <c r="E333" s="21" t="s">
        <v>302</v>
      </c>
      <c r="F333" s="27" t="s">
        <v>301</v>
      </c>
      <c r="G333" s="21" t="s">
        <v>304</v>
      </c>
      <c r="H333" s="27" t="s">
        <v>305</v>
      </c>
      <c r="I333" s="21"/>
      <c r="J333" s="21"/>
    </row>
    <row r="334" s="5" customFormat="1" ht="77" customHeight="1" spans="1:10">
      <c r="A334" s="50" t="s">
        <v>6561</v>
      </c>
      <c r="B334" s="51" t="s">
        <v>6562</v>
      </c>
      <c r="C334" s="52" t="s">
        <v>6207</v>
      </c>
      <c r="D334" s="53"/>
      <c r="E334" s="21"/>
      <c r="F334" s="27"/>
      <c r="G334" s="21"/>
      <c r="H334" s="27"/>
      <c r="I334" s="26" t="s">
        <v>6406</v>
      </c>
      <c r="J334" s="23" t="s">
        <v>6563</v>
      </c>
    </row>
    <row r="335" s="5" customFormat="1" ht="20" customHeight="1" spans="1:10">
      <c r="A335" s="25"/>
      <c r="B335" s="26"/>
      <c r="C335" s="36" t="s">
        <v>325</v>
      </c>
      <c r="D335" s="31" t="s">
        <v>6408</v>
      </c>
      <c r="E335" s="21" t="s">
        <v>325</v>
      </c>
      <c r="F335" s="27" t="s">
        <v>328</v>
      </c>
      <c r="G335" s="21" t="s">
        <v>6098</v>
      </c>
      <c r="H335" s="27" t="s">
        <v>323</v>
      </c>
      <c r="I335" s="26"/>
      <c r="J335" s="21"/>
    </row>
    <row r="336" s="5" customFormat="1" ht="20" customHeight="1" spans="1:10">
      <c r="A336" s="25"/>
      <c r="B336" s="26"/>
      <c r="C336" s="36" t="s">
        <v>329</v>
      </c>
      <c r="D336" s="31" t="s">
        <v>1526</v>
      </c>
      <c r="E336" s="21" t="s">
        <v>329</v>
      </c>
      <c r="F336" s="27" t="s">
        <v>332</v>
      </c>
      <c r="G336" s="21" t="s">
        <v>6529</v>
      </c>
      <c r="H336" s="27" t="s">
        <v>323</v>
      </c>
      <c r="I336" s="26"/>
      <c r="J336" s="21"/>
    </row>
    <row r="337" s="5" customFormat="1" ht="20" customHeight="1" spans="1:10">
      <c r="A337" s="25"/>
      <c r="B337" s="26"/>
      <c r="C337" s="36" t="s">
        <v>333</v>
      </c>
      <c r="D337" s="31" t="s">
        <v>1523</v>
      </c>
      <c r="E337" s="21" t="s">
        <v>333</v>
      </c>
      <c r="F337" s="27" t="s">
        <v>336</v>
      </c>
      <c r="G337" s="21" t="s">
        <v>335</v>
      </c>
      <c r="H337" s="27" t="s">
        <v>323</v>
      </c>
      <c r="I337" s="26"/>
      <c r="J337" s="21"/>
    </row>
    <row r="338" s="5" customFormat="1" ht="20" customHeight="1" spans="1:10">
      <c r="A338" s="25"/>
      <c r="B338" s="26"/>
      <c r="C338" s="36" t="s">
        <v>1532</v>
      </c>
      <c r="D338" s="31" t="s">
        <v>6409</v>
      </c>
      <c r="E338" s="21" t="s">
        <v>282</v>
      </c>
      <c r="F338" s="27" t="s">
        <v>281</v>
      </c>
      <c r="G338" s="21" t="s">
        <v>6356</v>
      </c>
      <c r="H338" s="27" t="s">
        <v>285</v>
      </c>
      <c r="I338" s="26"/>
      <c r="J338" s="21"/>
    </row>
    <row r="339" s="5" customFormat="1" ht="20" customHeight="1" spans="1:10">
      <c r="A339" s="25"/>
      <c r="B339" s="26"/>
      <c r="C339" s="36" t="s">
        <v>2325</v>
      </c>
      <c r="D339" s="31" t="s">
        <v>2326</v>
      </c>
      <c r="E339" s="21" t="s">
        <v>2325</v>
      </c>
      <c r="F339" s="27" t="s">
        <v>590</v>
      </c>
      <c r="G339" s="21" t="s">
        <v>6530</v>
      </c>
      <c r="H339" s="27" t="s">
        <v>385</v>
      </c>
      <c r="I339" s="26"/>
      <c r="J339" s="21"/>
    </row>
    <row r="340" s="5" customFormat="1" ht="20" customHeight="1" spans="1:10">
      <c r="A340" s="25"/>
      <c r="B340" s="26"/>
      <c r="C340" s="36" t="s">
        <v>2329</v>
      </c>
      <c r="D340" s="31" t="s">
        <v>2330</v>
      </c>
      <c r="E340" s="21" t="s">
        <v>2329</v>
      </c>
      <c r="F340" s="27" t="s">
        <v>594</v>
      </c>
      <c r="G340" s="21" t="s">
        <v>6531</v>
      </c>
      <c r="H340" s="27" t="s">
        <v>540</v>
      </c>
      <c r="I340" s="26"/>
      <c r="J340" s="21"/>
    </row>
    <row r="341" s="5" customFormat="1" ht="20" customHeight="1" spans="1:10">
      <c r="A341" s="25"/>
      <c r="B341" s="26"/>
      <c r="C341" s="36" t="s">
        <v>1113</v>
      </c>
      <c r="D341" s="31" t="s">
        <v>4641</v>
      </c>
      <c r="E341" s="21" t="s">
        <v>1113</v>
      </c>
      <c r="F341" s="413" t="s">
        <v>1128</v>
      </c>
      <c r="G341" s="21" t="s">
        <v>1115</v>
      </c>
      <c r="H341" s="27" t="s">
        <v>443</v>
      </c>
      <c r="I341" s="26"/>
      <c r="J341" s="21"/>
    </row>
    <row r="342" s="5" customFormat="1" ht="20" customHeight="1" spans="1:10">
      <c r="A342" s="25"/>
      <c r="B342" s="26"/>
      <c r="C342" s="36" t="s">
        <v>6564</v>
      </c>
      <c r="D342" s="31" t="s">
        <v>6565</v>
      </c>
      <c r="E342" s="21" t="s">
        <v>1141</v>
      </c>
      <c r="F342" s="413" t="s">
        <v>1169</v>
      </c>
      <c r="G342" s="21" t="s">
        <v>1143</v>
      </c>
      <c r="H342" s="27" t="s">
        <v>323</v>
      </c>
      <c r="I342" s="26"/>
      <c r="J342" s="21"/>
    </row>
    <row r="343" s="5" customFormat="1" ht="20" customHeight="1" spans="1:10">
      <c r="A343" s="25"/>
      <c r="B343" s="26"/>
      <c r="C343" s="36" t="s">
        <v>6566</v>
      </c>
      <c r="D343" s="31" t="s">
        <v>2391</v>
      </c>
      <c r="E343" s="21" t="s">
        <v>6566</v>
      </c>
      <c r="F343" s="413" t="s">
        <v>1108</v>
      </c>
      <c r="G343" s="21" t="s">
        <v>6567</v>
      </c>
      <c r="H343" s="27" t="s">
        <v>310</v>
      </c>
      <c r="I343" s="26"/>
      <c r="J343" s="21"/>
    </row>
    <row r="344" s="5" customFormat="1" ht="20" customHeight="1" spans="1:10">
      <c r="A344" s="25"/>
      <c r="B344" s="26"/>
      <c r="C344" s="36" t="s">
        <v>6568</v>
      </c>
      <c r="D344" s="31" t="s">
        <v>6569</v>
      </c>
      <c r="E344" s="21" t="s">
        <v>6568</v>
      </c>
      <c r="F344" s="413" t="s">
        <v>1112</v>
      </c>
      <c r="G344" s="21" t="s">
        <v>6570</v>
      </c>
      <c r="H344" s="27" t="s">
        <v>385</v>
      </c>
      <c r="I344" s="26"/>
      <c r="J344" s="21"/>
    </row>
    <row r="345" s="5" customFormat="1" ht="20" customHeight="1" spans="1:10">
      <c r="A345" s="25"/>
      <c r="B345" s="26"/>
      <c r="C345" s="36" t="s">
        <v>1097</v>
      </c>
      <c r="D345" s="31" t="s">
        <v>4779</v>
      </c>
      <c r="E345" s="21" t="s">
        <v>1097</v>
      </c>
      <c r="F345" s="413" t="s">
        <v>1096</v>
      </c>
      <c r="G345" s="21" t="s">
        <v>6571</v>
      </c>
      <c r="H345" s="27" t="s">
        <v>385</v>
      </c>
      <c r="I345" s="26"/>
      <c r="J345" s="21"/>
    </row>
    <row r="346" s="5" customFormat="1" ht="20" customHeight="1" spans="1:10">
      <c r="A346" s="25"/>
      <c r="B346" s="26"/>
      <c r="C346" s="36" t="s">
        <v>1082</v>
      </c>
      <c r="D346" s="31" t="s">
        <v>4873</v>
      </c>
      <c r="E346" s="21" t="s">
        <v>1082</v>
      </c>
      <c r="F346" s="27" t="s">
        <v>6572</v>
      </c>
      <c r="G346" s="21" t="s">
        <v>1084</v>
      </c>
      <c r="H346" s="27" t="s">
        <v>941</v>
      </c>
      <c r="I346" s="26"/>
      <c r="J346" s="21"/>
    </row>
    <row r="347" s="5" customFormat="1" ht="20" customHeight="1" spans="1:10">
      <c r="A347" s="25"/>
      <c r="B347" s="26"/>
      <c r="C347" s="36" t="s">
        <v>681</v>
      </c>
      <c r="D347" s="31" t="s">
        <v>6573</v>
      </c>
      <c r="E347" s="21" t="s">
        <v>681</v>
      </c>
      <c r="F347" s="27" t="s">
        <v>6532</v>
      </c>
      <c r="G347" s="21" t="s">
        <v>683</v>
      </c>
      <c r="H347" s="27" t="s">
        <v>518</v>
      </c>
      <c r="I347" s="26"/>
      <c r="J347" s="21"/>
    </row>
    <row r="348" s="5" customFormat="1" ht="20" customHeight="1" spans="1:10">
      <c r="A348" s="25"/>
      <c r="B348" s="26"/>
      <c r="C348" s="36" t="s">
        <v>2910</v>
      </c>
      <c r="D348" s="31" t="s">
        <v>2911</v>
      </c>
      <c r="E348" s="21" t="s">
        <v>609</v>
      </c>
      <c r="F348" s="27" t="s">
        <v>612</v>
      </c>
      <c r="G348" s="21" t="s">
        <v>658</v>
      </c>
      <c r="H348" s="27" t="s">
        <v>295</v>
      </c>
      <c r="I348" s="26"/>
      <c r="J348" s="21"/>
    </row>
    <row r="349" s="5" customFormat="1" ht="20" customHeight="1" spans="1:10">
      <c r="A349" s="25"/>
      <c r="B349" s="26"/>
      <c r="C349" s="36" t="s">
        <v>624</v>
      </c>
      <c r="D349" s="31" t="s">
        <v>1989</v>
      </c>
      <c r="E349" s="21" t="s">
        <v>624</v>
      </c>
      <c r="F349" s="27" t="s">
        <v>631</v>
      </c>
      <c r="G349" s="21" t="s">
        <v>6132</v>
      </c>
      <c r="H349" s="27" t="s">
        <v>290</v>
      </c>
      <c r="I349" s="26"/>
      <c r="J349" s="21"/>
    </row>
    <row r="350" s="5" customFormat="1" ht="20" customHeight="1" spans="1:10">
      <c r="A350" s="25"/>
      <c r="B350" s="26"/>
      <c r="C350" s="36" t="s">
        <v>4844</v>
      </c>
      <c r="D350" s="31" t="s">
        <v>4845</v>
      </c>
      <c r="E350" s="21" t="s">
        <v>282</v>
      </c>
      <c r="F350" s="27" t="s">
        <v>281</v>
      </c>
      <c r="G350" s="21" t="s">
        <v>6356</v>
      </c>
      <c r="H350" s="27" t="s">
        <v>285</v>
      </c>
      <c r="I350" s="26"/>
      <c r="J350" s="21"/>
    </row>
    <row r="351" s="5" customFormat="1" ht="20" customHeight="1" spans="1:10">
      <c r="A351" s="25"/>
      <c r="B351" s="26"/>
      <c r="C351" s="36" t="s">
        <v>6574</v>
      </c>
      <c r="D351" s="31" t="s">
        <v>6575</v>
      </c>
      <c r="E351" s="21" t="s">
        <v>515</v>
      </c>
      <c r="F351" s="27" t="s">
        <v>528</v>
      </c>
      <c r="G351" s="21" t="s">
        <v>6428</v>
      </c>
      <c r="H351" s="27" t="s">
        <v>518</v>
      </c>
      <c r="I351" s="26"/>
      <c r="J351" s="21"/>
    </row>
    <row r="352" s="5" customFormat="1" ht="20" customHeight="1" spans="1:10">
      <c r="A352" s="25"/>
      <c r="B352" s="26"/>
      <c r="C352" s="36" t="s">
        <v>6576</v>
      </c>
      <c r="D352" s="31" t="s">
        <v>6577</v>
      </c>
      <c r="E352" s="21" t="s">
        <v>287</v>
      </c>
      <c r="F352" s="27" t="s">
        <v>286</v>
      </c>
      <c r="G352" s="21" t="s">
        <v>289</v>
      </c>
      <c r="H352" s="27" t="s">
        <v>6027</v>
      </c>
      <c r="I352" s="26"/>
      <c r="J352" s="21"/>
    </row>
    <row r="353" s="5" customFormat="1" ht="20" customHeight="1" spans="1:10">
      <c r="A353" s="25"/>
      <c r="B353" s="26"/>
      <c r="C353" s="36" t="s">
        <v>6578</v>
      </c>
      <c r="D353" s="31" t="s">
        <v>6579</v>
      </c>
      <c r="E353" s="21" t="s">
        <v>6580</v>
      </c>
      <c r="F353" s="413" t="s">
        <v>1266</v>
      </c>
      <c r="G353" s="21" t="s">
        <v>6581</v>
      </c>
      <c r="H353" s="27" t="s">
        <v>323</v>
      </c>
      <c r="I353" s="26"/>
      <c r="J353" s="21"/>
    </row>
    <row r="354" s="5" customFormat="1" ht="20" customHeight="1" spans="1:10">
      <c r="A354" s="25"/>
      <c r="B354" s="26"/>
      <c r="C354" s="36" t="s">
        <v>6582</v>
      </c>
      <c r="D354" s="31" t="s">
        <v>6583</v>
      </c>
      <c r="E354" s="21" t="s">
        <v>282</v>
      </c>
      <c r="F354" s="27" t="s">
        <v>281</v>
      </c>
      <c r="G354" s="21" t="s">
        <v>6356</v>
      </c>
      <c r="H354" s="27" t="s">
        <v>285</v>
      </c>
      <c r="I354" s="26"/>
      <c r="J354" s="21"/>
    </row>
    <row r="355" s="5" customFormat="1" ht="20" customHeight="1" spans="1:10">
      <c r="A355" s="25"/>
      <c r="B355" s="26"/>
      <c r="C355" s="36" t="s">
        <v>6584</v>
      </c>
      <c r="D355" s="31" t="s">
        <v>6585</v>
      </c>
      <c r="E355" s="21" t="s">
        <v>453</v>
      </c>
      <c r="F355" s="27" t="s">
        <v>452</v>
      </c>
      <c r="G355" s="21" t="s">
        <v>455</v>
      </c>
      <c r="H355" s="27" t="s">
        <v>385</v>
      </c>
      <c r="I355" s="26"/>
      <c r="J355" s="21"/>
    </row>
    <row r="356" s="5" customFormat="1" ht="20" customHeight="1" spans="1:10">
      <c r="A356" s="25"/>
      <c r="B356" s="26"/>
      <c r="C356" s="36" t="s">
        <v>3474</v>
      </c>
      <c r="D356" s="31" t="s">
        <v>3475</v>
      </c>
      <c r="E356" s="21" t="s">
        <v>628</v>
      </c>
      <c r="F356" s="27" t="s">
        <v>643</v>
      </c>
      <c r="G356" s="21" t="s">
        <v>6586</v>
      </c>
      <c r="H356" s="27" t="s">
        <v>356</v>
      </c>
      <c r="I356" s="26"/>
      <c r="J356" s="21"/>
    </row>
    <row r="357" s="5" customFormat="1" ht="20" customHeight="1" spans="1:10">
      <c r="A357" s="25"/>
      <c r="B357" s="26"/>
      <c r="C357" s="36" t="s">
        <v>4651</v>
      </c>
      <c r="D357" s="31" t="s">
        <v>4652</v>
      </c>
      <c r="E357" s="21" t="s">
        <v>302</v>
      </c>
      <c r="F357" s="27" t="s">
        <v>301</v>
      </c>
      <c r="G357" s="21" t="s">
        <v>304</v>
      </c>
      <c r="H357" s="27" t="s">
        <v>305</v>
      </c>
      <c r="I357" s="26"/>
      <c r="J357" s="21"/>
    </row>
    <row r="358" s="5" customFormat="1" ht="20" customHeight="1" spans="1:10">
      <c r="A358" s="25"/>
      <c r="B358" s="26"/>
      <c r="C358" s="36" t="s">
        <v>6587</v>
      </c>
      <c r="D358" s="31" t="s">
        <v>6588</v>
      </c>
      <c r="E358" s="21" t="s">
        <v>302</v>
      </c>
      <c r="F358" s="27" t="s">
        <v>301</v>
      </c>
      <c r="G358" s="21" t="s">
        <v>304</v>
      </c>
      <c r="H358" s="27" t="s">
        <v>305</v>
      </c>
      <c r="I358" s="26"/>
      <c r="J358" s="21"/>
    </row>
    <row r="359" s="5" customFormat="1" ht="20" customHeight="1" spans="1:10">
      <c r="A359" s="25"/>
      <c r="B359" s="26"/>
      <c r="C359" s="36" t="s">
        <v>2490</v>
      </c>
      <c r="D359" s="31" t="s">
        <v>2491</v>
      </c>
      <c r="E359" s="21" t="s">
        <v>302</v>
      </c>
      <c r="F359" s="27" t="s">
        <v>301</v>
      </c>
      <c r="G359" s="21" t="s">
        <v>304</v>
      </c>
      <c r="H359" s="27" t="s">
        <v>305</v>
      </c>
      <c r="I359" s="26"/>
      <c r="J359" s="21"/>
    </row>
    <row r="360" s="5" customFormat="1" ht="20" customHeight="1" spans="1:10">
      <c r="A360" s="25"/>
      <c r="B360" s="26"/>
      <c r="C360" s="36" t="s">
        <v>1129</v>
      </c>
      <c r="D360" s="31" t="s">
        <v>6589</v>
      </c>
      <c r="E360" s="21" t="s">
        <v>1129</v>
      </c>
      <c r="F360" s="413" t="s">
        <v>1144</v>
      </c>
      <c r="G360" s="21" t="s">
        <v>1131</v>
      </c>
      <c r="H360" s="27" t="s">
        <v>310</v>
      </c>
      <c r="I360" s="26"/>
      <c r="J360" s="21"/>
    </row>
    <row r="361" s="5" customFormat="1" ht="20" customHeight="1" spans="1:10">
      <c r="A361" s="25"/>
      <c r="B361" s="26"/>
      <c r="C361" s="36" t="s">
        <v>6590</v>
      </c>
      <c r="D361" s="31" t="s">
        <v>6591</v>
      </c>
      <c r="E361" s="21" t="s">
        <v>6590</v>
      </c>
      <c r="F361" s="413" t="s">
        <v>1148</v>
      </c>
      <c r="G361" s="21" t="s">
        <v>6592</v>
      </c>
      <c r="H361" s="27" t="s">
        <v>310</v>
      </c>
      <c r="I361" s="26"/>
      <c r="J361" s="21"/>
    </row>
    <row r="362" s="5" customFormat="1" ht="20" customHeight="1" spans="1:10">
      <c r="A362" s="25"/>
      <c r="B362" s="26"/>
      <c r="C362" s="36" t="s">
        <v>6593</v>
      </c>
      <c r="D362" s="31" t="s">
        <v>6594</v>
      </c>
      <c r="E362" s="21" t="s">
        <v>624</v>
      </c>
      <c r="F362" s="27" t="s">
        <v>631</v>
      </c>
      <c r="G362" s="21" t="s">
        <v>6132</v>
      </c>
      <c r="H362" s="27" t="s">
        <v>290</v>
      </c>
      <c r="I362" s="26"/>
      <c r="J362" s="21"/>
    </row>
    <row r="363" s="5" customFormat="1" ht="20" customHeight="1" spans="1:10">
      <c r="A363" s="25"/>
      <c r="B363" s="26"/>
      <c r="C363" s="36" t="s">
        <v>6595</v>
      </c>
      <c r="D363" s="31" t="s">
        <v>6596</v>
      </c>
      <c r="E363" s="21" t="s">
        <v>609</v>
      </c>
      <c r="F363" s="27" t="s">
        <v>612</v>
      </c>
      <c r="G363" s="21" t="s">
        <v>658</v>
      </c>
      <c r="H363" s="27" t="s">
        <v>295</v>
      </c>
      <c r="I363" s="26"/>
      <c r="J363" s="21"/>
    </row>
    <row r="364" s="5" customFormat="1" ht="20" customHeight="1" spans="1:10">
      <c r="A364" s="25"/>
      <c r="B364" s="26"/>
      <c r="C364" s="36" t="s">
        <v>6597</v>
      </c>
      <c r="D364" s="31" t="s">
        <v>6598</v>
      </c>
      <c r="E364" s="21" t="s">
        <v>624</v>
      </c>
      <c r="F364" s="27" t="s">
        <v>631</v>
      </c>
      <c r="G364" s="21" t="s">
        <v>6132</v>
      </c>
      <c r="H364" s="27" t="s">
        <v>290</v>
      </c>
      <c r="I364" s="26"/>
      <c r="J364" s="21"/>
    </row>
    <row r="365" s="5" customFormat="1" ht="20" customHeight="1" spans="1:10">
      <c r="A365" s="25"/>
      <c r="B365" s="26"/>
      <c r="C365" s="36" t="s">
        <v>6599</v>
      </c>
      <c r="D365" s="31" t="s">
        <v>6600</v>
      </c>
      <c r="E365" s="21" t="s">
        <v>609</v>
      </c>
      <c r="F365" s="27" t="s">
        <v>612</v>
      </c>
      <c r="G365" s="21" t="s">
        <v>658</v>
      </c>
      <c r="H365" s="27" t="s">
        <v>295</v>
      </c>
      <c r="I365" s="26"/>
      <c r="J365" s="21"/>
    </row>
    <row r="366" s="5" customFormat="1" ht="20" customHeight="1" spans="1:10">
      <c r="A366" s="25"/>
      <c r="B366" s="26"/>
      <c r="C366" s="36" t="s">
        <v>6601</v>
      </c>
      <c r="D366" s="31" t="s">
        <v>6602</v>
      </c>
      <c r="E366" s="21" t="s">
        <v>6601</v>
      </c>
      <c r="F366" s="413" t="s">
        <v>1262</v>
      </c>
      <c r="G366" s="21" t="s">
        <v>6603</v>
      </c>
      <c r="H366" s="27" t="s">
        <v>775</v>
      </c>
      <c r="I366" s="26"/>
      <c r="J366" s="21"/>
    </row>
    <row r="367" s="5" customFormat="1" ht="20" customHeight="1" spans="1:10">
      <c r="A367" s="25"/>
      <c r="B367" s="26"/>
      <c r="C367" s="36" t="s">
        <v>6604</v>
      </c>
      <c r="D367" s="31" t="s">
        <v>6605</v>
      </c>
      <c r="E367" s="21" t="s">
        <v>6604</v>
      </c>
      <c r="F367" s="413" t="s">
        <v>1124</v>
      </c>
      <c r="G367" s="21" t="s">
        <v>6606</v>
      </c>
      <c r="H367" s="27" t="s">
        <v>552</v>
      </c>
      <c r="I367" s="26"/>
      <c r="J367" s="21"/>
    </row>
    <row r="368" s="5" customFormat="1" ht="20" customHeight="1" spans="1:10">
      <c r="A368" s="25"/>
      <c r="B368" s="26"/>
      <c r="C368" s="36" t="s">
        <v>6607</v>
      </c>
      <c r="D368" s="31" t="s">
        <v>6608</v>
      </c>
      <c r="E368" s="21" t="s">
        <v>302</v>
      </c>
      <c r="F368" s="27" t="s">
        <v>301</v>
      </c>
      <c r="G368" s="21" t="s">
        <v>304</v>
      </c>
      <c r="H368" s="27" t="s">
        <v>305</v>
      </c>
      <c r="I368" s="26"/>
      <c r="J368" s="21"/>
    </row>
    <row r="369" s="5" customFormat="1" ht="20" customHeight="1" spans="1:10">
      <c r="A369" s="25"/>
      <c r="B369" s="26"/>
      <c r="C369" s="36" t="s">
        <v>6609</v>
      </c>
      <c r="D369" s="31" t="s">
        <v>2232</v>
      </c>
      <c r="E369" s="21" t="s">
        <v>302</v>
      </c>
      <c r="F369" s="27" t="s">
        <v>301</v>
      </c>
      <c r="G369" s="21" t="s">
        <v>304</v>
      </c>
      <c r="H369" s="27" t="s">
        <v>305</v>
      </c>
      <c r="I369" s="26"/>
      <c r="J369" s="21"/>
    </row>
    <row r="370" s="5" customFormat="1" ht="20" customHeight="1" spans="1:10">
      <c r="A370" s="25"/>
      <c r="B370" s="26"/>
      <c r="C370" s="36" t="s">
        <v>6610</v>
      </c>
      <c r="D370" s="31" t="s">
        <v>6611</v>
      </c>
      <c r="E370" s="21" t="s">
        <v>302</v>
      </c>
      <c r="F370" s="27" t="s">
        <v>301</v>
      </c>
      <c r="G370" s="21" t="s">
        <v>304</v>
      </c>
      <c r="H370" s="27" t="s">
        <v>305</v>
      </c>
      <c r="I370" s="26"/>
      <c r="J370" s="21"/>
    </row>
    <row r="371" s="5" customFormat="1" ht="20" customHeight="1" spans="1:10">
      <c r="A371" s="25"/>
      <c r="B371" s="26"/>
      <c r="C371" s="36" t="s">
        <v>6612</v>
      </c>
      <c r="D371" s="31" t="s">
        <v>6613</v>
      </c>
      <c r="E371" s="21" t="s">
        <v>287</v>
      </c>
      <c r="F371" s="27" t="s">
        <v>286</v>
      </c>
      <c r="G371" s="21" t="s">
        <v>289</v>
      </c>
      <c r="H371" s="27" t="s">
        <v>6027</v>
      </c>
      <c r="I371" s="26"/>
      <c r="J371" s="21"/>
    </row>
    <row r="372" s="5" customFormat="1" ht="20" customHeight="1" spans="1:10">
      <c r="A372" s="25"/>
      <c r="B372" s="26"/>
      <c r="C372" s="36" t="s">
        <v>6614</v>
      </c>
      <c r="D372" s="31" t="s">
        <v>6615</v>
      </c>
      <c r="E372" s="21" t="s">
        <v>570</v>
      </c>
      <c r="F372" s="27" t="s">
        <v>569</v>
      </c>
      <c r="G372" s="21" t="s">
        <v>572</v>
      </c>
      <c r="H372" s="27" t="s">
        <v>385</v>
      </c>
      <c r="I372" s="26"/>
      <c r="J372" s="21"/>
    </row>
    <row r="373" s="5" customFormat="1" ht="20" customHeight="1" spans="1:10">
      <c r="A373" s="25"/>
      <c r="B373" s="26"/>
      <c r="C373" s="36" t="s">
        <v>6616</v>
      </c>
      <c r="D373" s="31" t="s">
        <v>2412</v>
      </c>
      <c r="E373" s="21" t="s">
        <v>570</v>
      </c>
      <c r="F373" s="27" t="s">
        <v>569</v>
      </c>
      <c r="G373" s="21" t="s">
        <v>572</v>
      </c>
      <c r="H373" s="27" t="s">
        <v>385</v>
      </c>
      <c r="I373" s="26"/>
      <c r="J373" s="21"/>
    </row>
    <row r="374" s="5" customFormat="1" ht="20" customHeight="1" spans="1:10">
      <c r="A374" s="25"/>
      <c r="B374" s="26"/>
      <c r="C374" s="36" t="s">
        <v>6617</v>
      </c>
      <c r="D374" s="31" t="s">
        <v>6618</v>
      </c>
      <c r="E374" s="21" t="s">
        <v>609</v>
      </c>
      <c r="F374" s="27" t="s">
        <v>612</v>
      </c>
      <c r="G374" s="21" t="s">
        <v>658</v>
      </c>
      <c r="H374" s="27" t="s">
        <v>295</v>
      </c>
      <c r="I374" s="26"/>
      <c r="J374" s="21"/>
    </row>
    <row r="375" s="5" customFormat="1" ht="20" customHeight="1" spans="1:10">
      <c r="A375" s="25"/>
      <c r="B375" s="26"/>
      <c r="C375" s="36" t="s">
        <v>6619</v>
      </c>
      <c r="D375" s="31" t="s">
        <v>6620</v>
      </c>
      <c r="E375" s="21" t="s">
        <v>609</v>
      </c>
      <c r="F375" s="27" t="s">
        <v>612</v>
      </c>
      <c r="G375" s="21" t="s">
        <v>658</v>
      </c>
      <c r="H375" s="27" t="s">
        <v>295</v>
      </c>
      <c r="I375" s="26"/>
      <c r="J375" s="21"/>
    </row>
    <row r="376" s="5" customFormat="1" ht="20" customHeight="1" spans="1:10">
      <c r="A376" s="25"/>
      <c r="B376" s="26"/>
      <c r="C376" s="36" t="s">
        <v>6621</v>
      </c>
      <c r="D376" s="31" t="s">
        <v>6622</v>
      </c>
      <c r="E376" s="21" t="s">
        <v>624</v>
      </c>
      <c r="F376" s="27" t="s">
        <v>631</v>
      </c>
      <c r="G376" s="21" t="s">
        <v>6132</v>
      </c>
      <c r="H376" s="27" t="s">
        <v>290</v>
      </c>
      <c r="I376" s="26"/>
      <c r="J376" s="21"/>
    </row>
    <row r="377" s="5" customFormat="1" ht="20" customHeight="1" spans="1:10">
      <c r="A377" s="25"/>
      <c r="B377" s="26"/>
      <c r="C377" s="36" t="s">
        <v>6623</v>
      </c>
      <c r="D377" s="31" t="s">
        <v>6624</v>
      </c>
      <c r="E377" s="21" t="s">
        <v>624</v>
      </c>
      <c r="F377" s="27" t="s">
        <v>631</v>
      </c>
      <c r="G377" s="21" t="s">
        <v>6132</v>
      </c>
      <c r="H377" s="27" t="s">
        <v>290</v>
      </c>
      <c r="I377" s="26"/>
      <c r="J377" s="21"/>
    </row>
    <row r="378" s="5" customFormat="1" ht="20" customHeight="1" spans="1:10">
      <c r="A378" s="25"/>
      <c r="B378" s="26"/>
      <c r="C378" s="36" t="s">
        <v>6625</v>
      </c>
      <c r="D378" s="31" t="s">
        <v>6626</v>
      </c>
      <c r="E378" s="21" t="s">
        <v>660</v>
      </c>
      <c r="F378" s="27" t="s">
        <v>680</v>
      </c>
      <c r="G378" s="21" t="s">
        <v>6022</v>
      </c>
      <c r="H378" s="27" t="s">
        <v>622</v>
      </c>
      <c r="I378" s="26"/>
      <c r="J378" s="21"/>
    </row>
    <row r="379" s="5" customFormat="1" ht="20" customHeight="1" spans="1:10">
      <c r="A379" s="25"/>
      <c r="B379" s="26"/>
      <c r="C379" s="36" t="s">
        <v>6627</v>
      </c>
      <c r="D379" s="31" t="s">
        <v>6628</v>
      </c>
      <c r="E379" s="21" t="s">
        <v>660</v>
      </c>
      <c r="F379" s="27" t="s">
        <v>680</v>
      </c>
      <c r="G379" s="21" t="s">
        <v>6022</v>
      </c>
      <c r="H379" s="27" t="s">
        <v>622</v>
      </c>
      <c r="I379" s="26"/>
      <c r="J379" s="21"/>
    </row>
    <row r="380" s="5" customFormat="1" ht="20" customHeight="1" spans="1:10">
      <c r="A380" s="25"/>
      <c r="B380" s="26"/>
      <c r="C380" s="36" t="s">
        <v>6629</v>
      </c>
      <c r="D380" s="31" t="s">
        <v>6630</v>
      </c>
      <c r="E380" s="21" t="s">
        <v>287</v>
      </c>
      <c r="F380" s="27" t="s">
        <v>286</v>
      </c>
      <c r="G380" s="21" t="s">
        <v>289</v>
      </c>
      <c r="H380" s="27" t="s">
        <v>6027</v>
      </c>
      <c r="I380" s="26"/>
      <c r="J380" s="21"/>
    </row>
    <row r="381" s="5" customFormat="1" ht="20" customHeight="1" spans="1:10">
      <c r="A381" s="25"/>
      <c r="B381" s="26"/>
      <c r="C381" s="36" t="s">
        <v>6631</v>
      </c>
      <c r="D381" s="31" t="s">
        <v>6632</v>
      </c>
      <c r="E381" s="21" t="s">
        <v>570</v>
      </c>
      <c r="F381" s="27" t="s">
        <v>569</v>
      </c>
      <c r="G381" s="21" t="s">
        <v>572</v>
      </c>
      <c r="H381" s="27" t="s">
        <v>385</v>
      </c>
      <c r="I381" s="26"/>
      <c r="J381" s="21"/>
    </row>
    <row r="382" s="5" customFormat="1" ht="20" customHeight="1" spans="1:10">
      <c r="A382" s="25"/>
      <c r="B382" s="26"/>
      <c r="C382" s="36" t="s">
        <v>6633</v>
      </c>
      <c r="D382" s="31" t="s">
        <v>6634</v>
      </c>
      <c r="E382" s="21" t="s">
        <v>1113</v>
      </c>
      <c r="F382" s="413" t="s">
        <v>1128</v>
      </c>
      <c r="G382" s="21" t="s">
        <v>1115</v>
      </c>
      <c r="H382" s="27" t="s">
        <v>443</v>
      </c>
      <c r="I382" s="26"/>
      <c r="J382" s="21"/>
    </row>
    <row r="383" s="5" customFormat="1" ht="20" customHeight="1" spans="1:10">
      <c r="A383" s="25"/>
      <c r="B383" s="26"/>
      <c r="C383" s="36" t="s">
        <v>6635</v>
      </c>
      <c r="D383" s="31" t="s">
        <v>6636</v>
      </c>
      <c r="E383" s="21" t="s">
        <v>6637</v>
      </c>
      <c r="F383" s="413" t="s">
        <v>1165</v>
      </c>
      <c r="G383" s="21" t="s">
        <v>6638</v>
      </c>
      <c r="H383" s="27" t="s">
        <v>518</v>
      </c>
      <c r="I383" s="26"/>
      <c r="J383" s="21"/>
    </row>
    <row r="384" s="5" customFormat="1" ht="20" customHeight="1" spans="1:10">
      <c r="A384" s="25"/>
      <c r="B384" s="26"/>
      <c r="C384" s="36" t="s">
        <v>6639</v>
      </c>
      <c r="D384" s="31" t="s">
        <v>4681</v>
      </c>
      <c r="E384" s="21" t="s">
        <v>349</v>
      </c>
      <c r="F384" s="27" t="s">
        <v>357</v>
      </c>
      <c r="G384" s="21" t="s">
        <v>6260</v>
      </c>
      <c r="H384" s="27" t="s">
        <v>323</v>
      </c>
      <c r="I384" s="26"/>
      <c r="J384" s="21"/>
    </row>
    <row r="385" s="5" customFormat="1" ht="20" customHeight="1" spans="1:10">
      <c r="A385" s="25"/>
      <c r="B385" s="26"/>
      <c r="C385" s="36" t="s">
        <v>3832</v>
      </c>
      <c r="D385" s="31" t="s">
        <v>3833</v>
      </c>
      <c r="E385" s="21" t="s">
        <v>349</v>
      </c>
      <c r="F385" s="27" t="s">
        <v>357</v>
      </c>
      <c r="G385" s="21" t="s">
        <v>6260</v>
      </c>
      <c r="H385" s="27" t="s">
        <v>323</v>
      </c>
      <c r="I385" s="26"/>
      <c r="J385" s="21"/>
    </row>
    <row r="386" s="5" customFormat="1" ht="20" customHeight="1" spans="1:10">
      <c r="A386" s="25"/>
      <c r="B386" s="26"/>
      <c r="C386" s="36" t="s">
        <v>1574</v>
      </c>
      <c r="D386" s="31" t="s">
        <v>1575</v>
      </c>
      <c r="E386" s="21" t="s">
        <v>302</v>
      </c>
      <c r="F386" s="27" t="s">
        <v>301</v>
      </c>
      <c r="G386" s="21" t="s">
        <v>304</v>
      </c>
      <c r="H386" s="27" t="s">
        <v>305</v>
      </c>
      <c r="I386" s="26"/>
      <c r="J386" s="21"/>
    </row>
    <row r="387" s="5" customFormat="1" spans="1:10">
      <c r="A387" s="56" t="s">
        <v>242</v>
      </c>
      <c r="B387" s="57" t="s">
        <v>243</v>
      </c>
      <c r="C387" s="58" t="s">
        <v>6467</v>
      </c>
      <c r="D387" s="27"/>
      <c r="E387" s="21"/>
      <c r="F387" s="27"/>
      <c r="G387" s="21"/>
      <c r="H387" s="27"/>
      <c r="I387" s="21"/>
      <c r="J387" s="21"/>
    </row>
    <row r="388" s="5" customFormat="1" ht="28" customHeight="1" spans="1:10">
      <c r="A388" s="25"/>
      <c r="B388" s="26"/>
      <c r="C388" s="36" t="s">
        <v>1218</v>
      </c>
      <c r="D388" s="27" t="s">
        <v>4825</v>
      </c>
      <c r="E388" s="21" t="s">
        <v>1218</v>
      </c>
      <c r="F388" s="413" t="s">
        <v>1278</v>
      </c>
      <c r="G388" s="21" t="s">
        <v>377</v>
      </c>
      <c r="H388" s="27" t="s">
        <v>385</v>
      </c>
      <c r="I388" s="21" t="s">
        <v>6014</v>
      </c>
      <c r="J388" s="23" t="s">
        <v>6640</v>
      </c>
    </row>
    <row r="389" s="5" customFormat="1" ht="28" customHeight="1" spans="1:10">
      <c r="A389" s="25"/>
      <c r="B389" s="26"/>
      <c r="C389" s="36" t="s">
        <v>1221</v>
      </c>
      <c r="D389" s="27" t="s">
        <v>4828</v>
      </c>
      <c r="E389" s="21" t="s">
        <v>282</v>
      </c>
      <c r="F389" s="27" t="s">
        <v>281</v>
      </c>
      <c r="G389" s="21" t="s">
        <v>6356</v>
      </c>
      <c r="H389" s="27" t="s">
        <v>285</v>
      </c>
      <c r="I389" s="21" t="s">
        <v>6014</v>
      </c>
      <c r="J389" s="23" t="s">
        <v>6640</v>
      </c>
    </row>
    <row r="390" s="5" customFormat="1" ht="28" customHeight="1" spans="1:10">
      <c r="A390" s="25"/>
      <c r="B390" s="26"/>
      <c r="C390" s="36" t="s">
        <v>4838</v>
      </c>
      <c r="D390" s="27" t="s">
        <v>4839</v>
      </c>
      <c r="E390" s="21" t="s">
        <v>6641</v>
      </c>
      <c r="F390" s="413" t="s">
        <v>1152</v>
      </c>
      <c r="G390" s="21" t="s">
        <v>6642</v>
      </c>
      <c r="H390" s="27" t="s">
        <v>552</v>
      </c>
      <c r="I390" s="21" t="s">
        <v>6014</v>
      </c>
      <c r="J390" s="23" t="s">
        <v>6640</v>
      </c>
    </row>
    <row r="391" s="5" customFormat="1" ht="28" customHeight="1" spans="1:10">
      <c r="A391" s="25"/>
      <c r="B391" s="26"/>
      <c r="C391" s="36" t="s">
        <v>4841</v>
      </c>
      <c r="D391" s="27" t="s">
        <v>4842</v>
      </c>
      <c r="E391" s="21" t="s">
        <v>282</v>
      </c>
      <c r="F391" s="27" t="s">
        <v>281</v>
      </c>
      <c r="G391" s="21" t="s">
        <v>6356</v>
      </c>
      <c r="H391" s="27" t="s">
        <v>285</v>
      </c>
      <c r="I391" s="21" t="s">
        <v>6014</v>
      </c>
      <c r="J391" s="23" t="s">
        <v>6640</v>
      </c>
    </row>
    <row r="392" s="5" customFormat="1" ht="28" customHeight="1" spans="1:10">
      <c r="A392" s="25"/>
      <c r="B392" s="26"/>
      <c r="C392" s="36" t="s">
        <v>6643</v>
      </c>
      <c r="D392" s="27" t="s">
        <v>6644</v>
      </c>
      <c r="E392" s="21" t="s">
        <v>453</v>
      </c>
      <c r="F392" s="27" t="s">
        <v>452</v>
      </c>
      <c r="G392" s="21" t="s">
        <v>455</v>
      </c>
      <c r="H392" s="27" t="s">
        <v>385</v>
      </c>
      <c r="I392" s="21" t="s">
        <v>6014</v>
      </c>
      <c r="J392" s="23" t="s">
        <v>6640</v>
      </c>
    </row>
    <row r="393" s="5" customFormat="1" ht="28" customHeight="1" spans="1:10">
      <c r="A393" s="25"/>
      <c r="B393" s="26"/>
      <c r="C393" s="36" t="s">
        <v>4844</v>
      </c>
      <c r="D393" s="27" t="s">
        <v>4845</v>
      </c>
      <c r="E393" s="21" t="s">
        <v>282</v>
      </c>
      <c r="F393" s="27" t="s">
        <v>281</v>
      </c>
      <c r="G393" s="21" t="s">
        <v>6356</v>
      </c>
      <c r="H393" s="27" t="s">
        <v>285</v>
      </c>
      <c r="I393" s="21" t="s">
        <v>6014</v>
      </c>
      <c r="J393" s="23" t="s">
        <v>6640</v>
      </c>
    </row>
    <row r="394" s="5" customFormat="1" ht="28" customHeight="1" spans="1:10">
      <c r="A394" s="25"/>
      <c r="B394" s="26"/>
      <c r="C394" s="36" t="s">
        <v>4847</v>
      </c>
      <c r="D394" s="27" t="s">
        <v>4848</v>
      </c>
      <c r="E394" s="21" t="s">
        <v>466</v>
      </c>
      <c r="F394" s="27" t="s">
        <v>473</v>
      </c>
      <c r="G394" s="21" t="s">
        <v>6645</v>
      </c>
      <c r="H394" s="27" t="s">
        <v>385</v>
      </c>
      <c r="I394" s="21" t="s">
        <v>6014</v>
      </c>
      <c r="J394" s="23" t="s">
        <v>6640</v>
      </c>
    </row>
    <row r="395" s="5" customFormat="1" ht="28" customHeight="1" spans="1:10">
      <c r="A395" s="25"/>
      <c r="B395" s="26"/>
      <c r="C395" s="36" t="s">
        <v>4850</v>
      </c>
      <c r="D395" s="27" t="s">
        <v>4851</v>
      </c>
      <c r="E395" s="21" t="s">
        <v>6641</v>
      </c>
      <c r="F395" s="413" t="s">
        <v>1152</v>
      </c>
      <c r="G395" s="21" t="s">
        <v>6642</v>
      </c>
      <c r="H395" s="27" t="s">
        <v>552</v>
      </c>
      <c r="I395" s="21" t="s">
        <v>6014</v>
      </c>
      <c r="J395" s="23" t="s">
        <v>6640</v>
      </c>
    </row>
    <row r="396" s="5" customFormat="1" ht="28" customHeight="1" spans="1:10">
      <c r="A396" s="25"/>
      <c r="B396" s="26"/>
      <c r="C396" s="36" t="s">
        <v>6646</v>
      </c>
      <c r="D396" s="27" t="s">
        <v>6647</v>
      </c>
      <c r="E396" s="21" t="s">
        <v>282</v>
      </c>
      <c r="F396" s="27" t="s">
        <v>281</v>
      </c>
      <c r="G396" s="21" t="s">
        <v>6356</v>
      </c>
      <c r="H396" s="27" t="s">
        <v>285</v>
      </c>
      <c r="I396" s="21" t="s">
        <v>6014</v>
      </c>
      <c r="J396" s="23" t="s">
        <v>6640</v>
      </c>
    </row>
    <row r="397" s="5" customFormat="1" ht="28" customHeight="1" spans="1:10">
      <c r="A397" s="25"/>
      <c r="B397" s="26"/>
      <c r="C397" s="36" t="s">
        <v>6648</v>
      </c>
      <c r="D397" s="27" t="s">
        <v>4857</v>
      </c>
      <c r="E397" s="21" t="s">
        <v>515</v>
      </c>
      <c r="F397" s="27" t="s">
        <v>528</v>
      </c>
      <c r="G397" s="21" t="s">
        <v>6428</v>
      </c>
      <c r="H397" s="27" t="s">
        <v>518</v>
      </c>
      <c r="I397" s="21" t="s">
        <v>6014</v>
      </c>
      <c r="J397" s="23" t="s">
        <v>6640</v>
      </c>
    </row>
    <row r="398" s="5" customFormat="1" ht="28" customHeight="1" spans="1:10">
      <c r="A398" s="25"/>
      <c r="B398" s="26"/>
      <c r="C398" s="36" t="s">
        <v>4859</v>
      </c>
      <c r="D398" s="27" t="s">
        <v>4860</v>
      </c>
      <c r="E398" s="21" t="s">
        <v>1228</v>
      </c>
      <c r="F398" s="413" t="s">
        <v>1286</v>
      </c>
      <c r="G398" s="21" t="s">
        <v>6649</v>
      </c>
      <c r="H398" s="27" t="s">
        <v>518</v>
      </c>
      <c r="I398" s="21" t="s">
        <v>6014</v>
      </c>
      <c r="J398" s="23" t="s">
        <v>6640</v>
      </c>
    </row>
    <row r="399" s="6" customFormat="1" ht="28" customHeight="1" spans="1:10">
      <c r="A399" s="25"/>
      <c r="B399" s="26"/>
      <c r="C399" s="36" t="s">
        <v>6650</v>
      </c>
      <c r="D399" s="27" t="s">
        <v>6651</v>
      </c>
      <c r="E399" s="21" t="s">
        <v>609</v>
      </c>
      <c r="F399" s="27" t="s">
        <v>612</v>
      </c>
      <c r="G399" s="21" t="s">
        <v>611</v>
      </c>
      <c r="H399" s="27" t="s">
        <v>295</v>
      </c>
      <c r="I399" s="21" t="s">
        <v>6014</v>
      </c>
      <c r="J399" s="23"/>
    </row>
    <row r="400" s="2" customFormat="1" ht="36" spans="1:10">
      <c r="A400" s="21"/>
      <c r="B400" s="21"/>
      <c r="C400" s="21" t="s">
        <v>6652</v>
      </c>
      <c r="D400" s="27" t="s">
        <v>6653</v>
      </c>
      <c r="E400" s="21" t="s">
        <v>353</v>
      </c>
      <c r="F400" s="27" t="s">
        <v>361</v>
      </c>
      <c r="G400" s="21" t="s">
        <v>355</v>
      </c>
      <c r="H400" s="27" t="s">
        <v>518</v>
      </c>
      <c r="I400" s="21" t="s">
        <v>6014</v>
      </c>
      <c r="J400" s="21"/>
    </row>
    <row r="401" s="5" customFormat="1" spans="1:10">
      <c r="A401" s="56" t="s">
        <v>245</v>
      </c>
      <c r="B401" s="57" t="s">
        <v>246</v>
      </c>
      <c r="C401" s="58" t="s">
        <v>6504</v>
      </c>
      <c r="D401" s="27"/>
      <c r="E401" s="21"/>
      <c r="F401" s="27"/>
      <c r="G401" s="21"/>
      <c r="H401" s="27"/>
      <c r="I401" s="21"/>
      <c r="J401" s="21"/>
    </row>
    <row r="402" s="5" customFormat="1" ht="36" spans="1:10">
      <c r="A402" s="25"/>
      <c r="B402" s="26"/>
      <c r="C402" s="36" t="s">
        <v>3437</v>
      </c>
      <c r="D402" s="27" t="s">
        <v>3438</v>
      </c>
      <c r="E402" s="21" t="s">
        <v>1129</v>
      </c>
      <c r="F402" s="413" t="s">
        <v>1128</v>
      </c>
      <c r="G402" s="21" t="s">
        <v>1131</v>
      </c>
      <c r="H402" s="27" t="s">
        <v>310</v>
      </c>
      <c r="I402" s="21" t="s">
        <v>6014</v>
      </c>
      <c r="J402" s="23" t="s">
        <v>6654</v>
      </c>
    </row>
    <row r="403" s="5" customFormat="1" ht="36" spans="1:10">
      <c r="A403" s="25"/>
      <c r="B403" s="26"/>
      <c r="C403" s="36" t="s">
        <v>6655</v>
      </c>
      <c r="D403" s="27" t="s">
        <v>1548</v>
      </c>
      <c r="E403" s="21" t="s">
        <v>302</v>
      </c>
      <c r="F403" s="27" t="s">
        <v>296</v>
      </c>
      <c r="G403" s="21" t="s">
        <v>304</v>
      </c>
      <c r="H403" s="27" t="s">
        <v>305</v>
      </c>
      <c r="I403" s="21" t="s">
        <v>6014</v>
      </c>
      <c r="J403" s="23" t="s">
        <v>6656</v>
      </c>
    </row>
    <row r="404" s="5" customFormat="1" ht="28" customHeight="1" spans="1:10">
      <c r="A404" s="25"/>
      <c r="B404" s="26"/>
      <c r="C404" s="36" t="s">
        <v>1218</v>
      </c>
      <c r="D404" s="27" t="s">
        <v>4825</v>
      </c>
      <c r="E404" s="21" t="s">
        <v>1218</v>
      </c>
      <c r="F404" s="413" t="s">
        <v>1278</v>
      </c>
      <c r="G404" s="21" t="s">
        <v>377</v>
      </c>
      <c r="H404" s="27" t="s">
        <v>385</v>
      </c>
      <c r="I404" s="21" t="s">
        <v>6014</v>
      </c>
      <c r="J404" s="23" t="s">
        <v>6640</v>
      </c>
    </row>
    <row r="405" s="5" customFormat="1" ht="28" customHeight="1" spans="1:10">
      <c r="A405" s="25"/>
      <c r="B405" s="26"/>
      <c r="C405" s="36" t="s">
        <v>1221</v>
      </c>
      <c r="D405" s="27" t="s">
        <v>4828</v>
      </c>
      <c r="E405" s="21" t="s">
        <v>282</v>
      </c>
      <c r="F405" s="27" t="s">
        <v>281</v>
      </c>
      <c r="G405" s="21" t="s">
        <v>6356</v>
      </c>
      <c r="H405" s="27" t="s">
        <v>285</v>
      </c>
      <c r="I405" s="21" t="s">
        <v>6014</v>
      </c>
      <c r="J405" s="23" t="s">
        <v>6640</v>
      </c>
    </row>
    <row r="406" s="5" customFormat="1" ht="28" customHeight="1" spans="1:10">
      <c r="A406" s="25"/>
      <c r="B406" s="26"/>
      <c r="C406" s="36" t="s">
        <v>4838</v>
      </c>
      <c r="D406" s="27" t="s">
        <v>4839</v>
      </c>
      <c r="E406" s="21" t="s">
        <v>6641</v>
      </c>
      <c r="F406" s="413" t="s">
        <v>1152</v>
      </c>
      <c r="G406" s="21" t="s">
        <v>6642</v>
      </c>
      <c r="H406" s="27" t="s">
        <v>552</v>
      </c>
      <c r="I406" s="21" t="s">
        <v>6014</v>
      </c>
      <c r="J406" s="23" t="s">
        <v>6640</v>
      </c>
    </row>
    <row r="407" s="5" customFormat="1" ht="28" customHeight="1" spans="1:10">
      <c r="A407" s="25"/>
      <c r="B407" s="26"/>
      <c r="C407" s="36" t="s">
        <v>4841</v>
      </c>
      <c r="D407" s="27" t="s">
        <v>4842</v>
      </c>
      <c r="E407" s="21" t="s">
        <v>282</v>
      </c>
      <c r="F407" s="27" t="s">
        <v>281</v>
      </c>
      <c r="G407" s="21" t="s">
        <v>6356</v>
      </c>
      <c r="H407" s="27" t="s">
        <v>285</v>
      </c>
      <c r="I407" s="21" t="s">
        <v>6014</v>
      </c>
      <c r="J407" s="23" t="s">
        <v>6640</v>
      </c>
    </row>
    <row r="408" s="5" customFormat="1" ht="28" customHeight="1" spans="1:10">
      <c r="A408" s="25"/>
      <c r="B408" s="26"/>
      <c r="C408" s="36" t="s">
        <v>6643</v>
      </c>
      <c r="D408" s="27" t="s">
        <v>6644</v>
      </c>
      <c r="E408" s="21" t="s">
        <v>453</v>
      </c>
      <c r="F408" s="27" t="s">
        <v>452</v>
      </c>
      <c r="G408" s="21" t="s">
        <v>455</v>
      </c>
      <c r="H408" s="27" t="s">
        <v>385</v>
      </c>
      <c r="I408" s="21" t="s">
        <v>6014</v>
      </c>
      <c r="J408" s="23" t="s">
        <v>6640</v>
      </c>
    </row>
    <row r="409" s="5" customFormat="1" ht="28" customHeight="1" spans="1:10">
      <c r="A409" s="25"/>
      <c r="B409" s="26"/>
      <c r="C409" s="36" t="s">
        <v>4844</v>
      </c>
      <c r="D409" s="27" t="s">
        <v>4845</v>
      </c>
      <c r="E409" s="21" t="s">
        <v>282</v>
      </c>
      <c r="F409" s="27" t="s">
        <v>281</v>
      </c>
      <c r="G409" s="21" t="s">
        <v>6356</v>
      </c>
      <c r="H409" s="27" t="s">
        <v>285</v>
      </c>
      <c r="I409" s="21" t="s">
        <v>6014</v>
      </c>
      <c r="J409" s="23" t="s">
        <v>6640</v>
      </c>
    </row>
    <row r="410" s="5" customFormat="1" ht="28" customHeight="1" spans="1:10">
      <c r="A410" s="25"/>
      <c r="B410" s="26"/>
      <c r="C410" s="36" t="s">
        <v>4847</v>
      </c>
      <c r="D410" s="27" t="s">
        <v>4848</v>
      </c>
      <c r="E410" s="21" t="s">
        <v>466</v>
      </c>
      <c r="F410" s="27" t="s">
        <v>473</v>
      </c>
      <c r="G410" s="21" t="s">
        <v>6645</v>
      </c>
      <c r="H410" s="27" t="s">
        <v>385</v>
      </c>
      <c r="I410" s="21" t="s">
        <v>6014</v>
      </c>
      <c r="J410" s="23" t="s">
        <v>6640</v>
      </c>
    </row>
    <row r="411" s="5" customFormat="1" ht="28" customHeight="1" spans="1:10">
      <c r="A411" s="25"/>
      <c r="B411" s="26"/>
      <c r="C411" s="36" t="s">
        <v>4850</v>
      </c>
      <c r="D411" s="27" t="s">
        <v>4851</v>
      </c>
      <c r="E411" s="21" t="s">
        <v>6641</v>
      </c>
      <c r="F411" s="413" t="s">
        <v>1152</v>
      </c>
      <c r="G411" s="21" t="s">
        <v>6642</v>
      </c>
      <c r="H411" s="27" t="s">
        <v>552</v>
      </c>
      <c r="I411" s="21" t="s">
        <v>6014</v>
      </c>
      <c r="J411" s="23" t="s">
        <v>6640</v>
      </c>
    </row>
    <row r="412" s="5" customFormat="1" ht="28" customHeight="1" spans="1:10">
      <c r="A412" s="25"/>
      <c r="B412" s="26"/>
      <c r="C412" s="36" t="s">
        <v>6646</v>
      </c>
      <c r="D412" s="27" t="s">
        <v>6647</v>
      </c>
      <c r="E412" s="21" t="s">
        <v>282</v>
      </c>
      <c r="F412" s="27" t="s">
        <v>281</v>
      </c>
      <c r="G412" s="21" t="s">
        <v>6356</v>
      </c>
      <c r="H412" s="27" t="s">
        <v>285</v>
      </c>
      <c r="I412" s="21" t="s">
        <v>6014</v>
      </c>
      <c r="J412" s="23" t="s">
        <v>6640</v>
      </c>
    </row>
    <row r="413" s="5" customFormat="1" ht="28" customHeight="1" spans="1:10">
      <c r="A413" s="25"/>
      <c r="B413" s="26"/>
      <c r="C413" s="36" t="s">
        <v>6648</v>
      </c>
      <c r="D413" s="27" t="s">
        <v>4857</v>
      </c>
      <c r="E413" s="21" t="s">
        <v>515</v>
      </c>
      <c r="F413" s="27" t="s">
        <v>528</v>
      </c>
      <c r="G413" s="21" t="s">
        <v>6428</v>
      </c>
      <c r="H413" s="27" t="s">
        <v>518</v>
      </c>
      <c r="I413" s="21" t="s">
        <v>6014</v>
      </c>
      <c r="J413" s="23" t="s">
        <v>6640</v>
      </c>
    </row>
    <row r="414" s="5" customFormat="1" ht="28" customHeight="1" spans="1:10">
      <c r="A414" s="25"/>
      <c r="B414" s="26"/>
      <c r="C414" s="36" t="s">
        <v>4859</v>
      </c>
      <c r="D414" s="27" t="s">
        <v>4860</v>
      </c>
      <c r="E414" s="21" t="s">
        <v>1228</v>
      </c>
      <c r="F414" s="413" t="s">
        <v>1286</v>
      </c>
      <c r="G414" s="21" t="s">
        <v>6649</v>
      </c>
      <c r="H414" s="27" t="s">
        <v>518</v>
      </c>
      <c r="I414" s="21" t="s">
        <v>6014</v>
      </c>
      <c r="J414" s="23" t="s">
        <v>6640</v>
      </c>
    </row>
    <row r="415" s="2" customFormat="1" ht="36" spans="1:10">
      <c r="A415" s="21"/>
      <c r="B415" s="21"/>
      <c r="C415" s="21" t="s">
        <v>6652</v>
      </c>
      <c r="D415" s="27" t="s">
        <v>6653</v>
      </c>
      <c r="E415" s="21" t="s">
        <v>353</v>
      </c>
      <c r="F415" s="27" t="s">
        <v>361</v>
      </c>
      <c r="G415" s="21" t="s">
        <v>355</v>
      </c>
      <c r="H415" s="27" t="s">
        <v>518</v>
      </c>
      <c r="I415" s="21" t="s">
        <v>6014</v>
      </c>
      <c r="J415" s="21"/>
    </row>
    <row r="416" s="5" customFormat="1" ht="30" customHeight="1" spans="1:10">
      <c r="A416" s="19" t="s">
        <v>6657</v>
      </c>
      <c r="B416" s="24" t="s">
        <v>6658</v>
      </c>
      <c r="C416" s="25"/>
      <c r="D416" s="25"/>
      <c r="E416" s="25"/>
      <c r="F416" s="25"/>
      <c r="G416" s="25"/>
      <c r="H416" s="25"/>
      <c r="I416" s="26" t="s">
        <v>6406</v>
      </c>
      <c r="J416" s="27"/>
    </row>
    <row r="417" s="5" customFormat="1" ht="30" customHeight="1" spans="1:10">
      <c r="A417" s="25"/>
      <c r="B417" s="25"/>
      <c r="C417" s="26" t="s">
        <v>325</v>
      </c>
      <c r="D417" s="59" t="s">
        <v>6408</v>
      </c>
      <c r="E417" s="26" t="s">
        <v>325</v>
      </c>
      <c r="F417" s="25" t="str">
        <f>INDEX([1]数据元说明!A:F,MATCH(E417,[1]数据元说明!C:C,0),2)</f>
        <v>001011</v>
      </c>
      <c r="G417" s="60" t="str">
        <f>INDEX([1]数据元说明!A:F,MATCH(E417,[1]数据元说明!C:C,0),5)</f>
        <v>人行支付行号</v>
      </c>
      <c r="H417" s="25" t="str">
        <f>INDEX([1]数据元说明!A:F,MATCH(E417,[1]数据元说明!C:C,0),6)</f>
        <v>C..30</v>
      </c>
      <c r="I417" s="61"/>
      <c r="J417" s="27"/>
    </row>
    <row r="418" s="5" customFormat="1" ht="30" customHeight="1" spans="1:10">
      <c r="A418" s="25"/>
      <c r="B418" s="25"/>
      <c r="C418" s="26" t="s">
        <v>329</v>
      </c>
      <c r="D418" s="59" t="s">
        <v>1526</v>
      </c>
      <c r="E418" s="26" t="s">
        <v>329</v>
      </c>
      <c r="F418" s="25" t="str">
        <f>INDEX([1]数据元说明!A:F,MATCH(E418,[1]数据元说明!C:C,0),2)</f>
        <v>001012</v>
      </c>
      <c r="G418" s="60" t="str">
        <f>INDEX([1]数据元说明!A:F,MATCH(E418,[1]数据元说明!C:C,0),5)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H418" s="25" t="str">
        <f>INDEX([1]数据元说明!A:F,MATCH(E418,[1]数据元说明!C:C,0),6)</f>
        <v>C..30</v>
      </c>
      <c r="I418" s="61"/>
      <c r="J418" s="27"/>
    </row>
    <row r="419" s="5" customFormat="1" ht="30" customHeight="1" spans="1:10">
      <c r="A419" s="25"/>
      <c r="B419" s="25"/>
      <c r="C419" s="26" t="s">
        <v>333</v>
      </c>
      <c r="D419" s="59" t="s">
        <v>1523</v>
      </c>
      <c r="E419" s="26" t="s">
        <v>333</v>
      </c>
      <c r="F419" s="25" t="str">
        <f>INDEX([1]数据元说明!A:F,MATCH(E419,[1]数据元说明!C:C,0),2)</f>
        <v>001013</v>
      </c>
      <c r="G419" s="60" t="str">
        <f>INDEX([1]数据元说明!A:F,MATCH(E419,[1]数据元说明!C:C,0),5)</f>
        <v>银行内部机构号。应具有标识机构的唯一性。</v>
      </c>
      <c r="H419" s="25" t="str">
        <f>INDEX([1]数据元说明!A:F,MATCH(E419,[1]数据元说明!C:C,0),6)</f>
        <v>C..30</v>
      </c>
      <c r="I419" s="61"/>
      <c r="J419" s="27"/>
    </row>
    <row r="420" s="5" customFormat="1" ht="47" customHeight="1" spans="1:10">
      <c r="A420" s="25"/>
      <c r="B420" s="25"/>
      <c r="C420" s="26" t="s">
        <v>1532</v>
      </c>
      <c r="D420" s="59" t="s">
        <v>6409</v>
      </c>
      <c r="E420" s="26" t="s">
        <v>282</v>
      </c>
      <c r="F420" s="25" t="str">
        <f>INDEX([1]数据元说明!A:F,MATCH(E420,[1]数据元说明!C:C,0),2)</f>
        <v>001001</v>
      </c>
      <c r="G420" s="26" t="str">
        <f>INDEX([1]数据元说明!A:F,MATCH(E420,[1]数据元说明!C:C,0),5)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420" s="25" t="str">
        <f>INDEX([1]数据元说明!A:F,MATCH(E420,[1]数据元说明!C:C,0),6)</f>
        <v>C..400</v>
      </c>
      <c r="I420" s="61"/>
      <c r="J420" s="27"/>
    </row>
    <row r="421" s="5" customFormat="1" spans="1:10">
      <c r="A421" s="25"/>
      <c r="B421" s="25"/>
      <c r="C421" s="54" t="s">
        <v>6659</v>
      </c>
      <c r="D421" s="25" t="s">
        <v>6660</v>
      </c>
      <c r="E421" s="26" t="s">
        <v>681</v>
      </c>
      <c r="F421" s="25" t="str">
        <f>INDEX([1]数据元说明!A:F,MATCH(E421,[1]数据元说明!C:C,0),2)</f>
        <v>003033</v>
      </c>
      <c r="G421" s="62" t="str">
        <f>INDEX([1]数据元说明!A:F,MATCH(E421,[1]数据元说明!C:C,0),5)</f>
        <v>合同号。</v>
      </c>
      <c r="H421" s="25" t="str">
        <f>INDEX([1]数据元说明!A:F,MATCH(E421,[1]数据元说明!C:C,0),6)</f>
        <v>C..100</v>
      </c>
      <c r="I421" s="61"/>
      <c r="J421" s="27"/>
    </row>
    <row r="422" s="5" customFormat="1" spans="1:10">
      <c r="A422" s="25"/>
      <c r="B422" s="25"/>
      <c r="C422" s="54" t="s">
        <v>6661</v>
      </c>
      <c r="D422" s="25" t="s">
        <v>6662</v>
      </c>
      <c r="E422" s="26" t="s">
        <v>453</v>
      </c>
      <c r="F422" s="25" t="str">
        <f>INDEX([1]数据元说明!A:F,MATCH(E422,[1]数据元说明!C:C,0),2)</f>
        <v>002001</v>
      </c>
      <c r="G422" s="62" t="str">
        <f>INDEX([1]数据元说明!A:F,MATCH(E422,[1]数据元说明!C:C,0),5)</f>
        <v>银行自定义的唯一识别客户的标识。供应链融资的填写供应链融资编码。</v>
      </c>
      <c r="H422" s="25" t="str">
        <f>INDEX([1]数据元说明!A:F,MATCH(E422,[1]数据元说明!C:C,0),6)</f>
        <v>C..60</v>
      </c>
      <c r="I422" s="61"/>
      <c r="J422" s="27"/>
    </row>
    <row r="423" s="5" customFormat="1" spans="1:10">
      <c r="A423" s="25"/>
      <c r="B423" s="25"/>
      <c r="C423" s="54" t="s">
        <v>6663</v>
      </c>
      <c r="D423" s="25" t="s">
        <v>6664</v>
      </c>
      <c r="E423" s="26" t="s">
        <v>282</v>
      </c>
      <c r="F423" s="25" t="str">
        <f>INDEX([1]数据元说明!A:F,MATCH(E423,[1]数据元说明!C:C,0),2)</f>
        <v>001001</v>
      </c>
      <c r="G423" s="26" t="str">
        <f>INDEX([1]数据元说明!A:F,MATCH(E423,[1]数据元说明!C:C,0),5)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423" s="25" t="str">
        <f>INDEX([1]数据元说明!A:F,MATCH(E423,[1]数据元说明!C:C,0),6)</f>
        <v>C..400</v>
      </c>
      <c r="I423" s="61"/>
      <c r="J423" s="27"/>
    </row>
    <row r="424" s="5" customFormat="1" spans="1:10">
      <c r="A424" s="25"/>
      <c r="B424" s="25"/>
      <c r="C424" s="54" t="s">
        <v>6665</v>
      </c>
      <c r="D424" s="25" t="s">
        <v>6666</v>
      </c>
      <c r="E424" s="26" t="s">
        <v>681</v>
      </c>
      <c r="F424" s="25" t="str">
        <f>INDEX([1]数据元说明!A:F,MATCH(E424,[1]数据元说明!C:C,0),2)</f>
        <v>003033</v>
      </c>
      <c r="G424" s="26" t="str">
        <f>INDEX([1]数据元说明!A:F,MATCH(E424,[1]数据元说明!C:C,0),5)</f>
        <v>合同号。</v>
      </c>
      <c r="H424" s="25" t="str">
        <f>INDEX([1]数据元说明!A:F,MATCH(E424,[1]数据元说明!C:C,0),6)</f>
        <v>C..100</v>
      </c>
      <c r="I424" s="61"/>
      <c r="J424" s="27"/>
    </row>
    <row r="425" s="5" customFormat="1" spans="1:10">
      <c r="A425" s="25"/>
      <c r="B425" s="25"/>
      <c r="C425" s="54" t="s">
        <v>6667</v>
      </c>
      <c r="D425" s="25" t="s">
        <v>6668</v>
      </c>
      <c r="E425" s="54" t="s">
        <v>6667</v>
      </c>
      <c r="F425" s="25" t="str">
        <f>INDEX([1]数据元说明!A:F,MATCH(E425,[1]数据元说明!C:C,0),2)</f>
        <v>005067</v>
      </c>
      <c r="G425" s="26" t="str">
        <f>INDEX([1]数据元说明!A:F,MATCH(E425,[1]数据元说明!C:C,0),5)</f>
        <v>中文字典或中文描述，银行自定义。</v>
      </c>
      <c r="H425" s="25" t="str">
        <f>INDEX([1]数据元说明!A:F,MATCH(E425,[1]数据元说明!C:C,0),6)</f>
        <v>C..200</v>
      </c>
      <c r="I425" s="61"/>
      <c r="J425" s="27"/>
    </row>
    <row r="426" s="5" customFormat="1" spans="1:10">
      <c r="A426" s="25"/>
      <c r="B426" s="25"/>
      <c r="C426" s="54" t="s">
        <v>6669</v>
      </c>
      <c r="D426" s="25" t="s">
        <v>6670</v>
      </c>
      <c r="E426" s="26" t="s">
        <v>624</v>
      </c>
      <c r="F426" s="25" t="str">
        <f>INDEX([1]数据元说明!A:F,MATCH(E426,[1]数据元说明!C:C,0),2)</f>
        <v>003016</v>
      </c>
      <c r="G426" s="26" t="str">
        <f>INDEX([1]数据元说明!A:F,MATCH(E426,[1]数据元说明!C:C,0),5)</f>
        <v>遵循《GB/T 12406-2008 表示货币和资金的代码》的字母代码，如CNY。</v>
      </c>
      <c r="H426" s="25" t="str">
        <f>INDEX([1]数据元说明!A:F,MATCH(E426,[1]数据元说明!C:C,0),6)</f>
        <v>C3</v>
      </c>
      <c r="I426" s="61"/>
      <c r="J426" s="27"/>
    </row>
    <row r="427" s="5" customFormat="1" spans="1:10">
      <c r="A427" s="25"/>
      <c r="B427" s="25"/>
      <c r="C427" s="54" t="s">
        <v>6671</v>
      </c>
      <c r="D427" s="25" t="s">
        <v>6672</v>
      </c>
      <c r="E427" s="26" t="s">
        <v>609</v>
      </c>
      <c r="F427" s="25" t="str">
        <f>INDEX([1]数据元说明!A:F,MATCH(E427,[1]数据元说明!C:C,0),2)</f>
        <v>003011</v>
      </c>
      <c r="G427" s="26" t="str">
        <f>INDEX([1]数据元说明!A:F,MATCH(E427,[1]数据元说明!C:C,0),5)</f>
        <v>元。</v>
      </c>
      <c r="H427" s="25" t="str">
        <f>INDEX([1]数据元说明!A:F,MATCH(E427,[1]数据元说明!C:C,0),6)</f>
        <v>D20.2</v>
      </c>
      <c r="I427" s="61"/>
      <c r="J427" s="27"/>
    </row>
    <row r="428" s="5" customFormat="1" spans="1:10">
      <c r="A428" s="25"/>
      <c r="B428" s="25"/>
      <c r="C428" s="54" t="s">
        <v>4432</v>
      </c>
      <c r="D428" s="25" t="s">
        <v>4433</v>
      </c>
      <c r="E428" s="26" t="s">
        <v>282</v>
      </c>
      <c r="F428" s="25" t="str">
        <f>INDEX([1]数据元说明!A:F,MATCH(E428,[1]数据元说明!C:C,0),2)</f>
        <v>001001</v>
      </c>
      <c r="G428" s="26" t="str">
        <f>INDEX([1]数据元说明!A:F,MATCH(E428,[1]数据元说明!C:C,0),5)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428" s="25" t="str">
        <f>INDEX([1]数据元说明!A:F,MATCH(E428,[1]数据元说明!C:C,0),6)</f>
        <v>C..400</v>
      </c>
      <c r="I428" s="61"/>
      <c r="J428" s="27"/>
    </row>
    <row r="429" s="5" customFormat="1" spans="1:10">
      <c r="A429" s="25"/>
      <c r="B429" s="25"/>
      <c r="C429" s="54" t="s">
        <v>4514</v>
      </c>
      <c r="D429" s="25" t="s">
        <v>4515</v>
      </c>
      <c r="E429" s="26" t="s">
        <v>466</v>
      </c>
      <c r="F429" s="25" t="str">
        <f>INDEX([1]数据元说明!A:F,MATCH(E429,[1]数据元说明!C:C,0),2)</f>
        <v>002006</v>
      </c>
      <c r="G429" s="26" t="str">
        <f>INDEX([1]数据元说明!A:F,MATCH(E429,[1]数据元说明!C:C,0),5)</f>
        <v>参照《GB/T 2659-2000 世界各国和地区名称》。</v>
      </c>
      <c r="H429" s="25" t="str">
        <f>INDEX([1]数据元说明!A:F,MATCH(E429,[1]数据元说明!C:C,0),6)</f>
        <v>C..60</v>
      </c>
      <c r="I429" s="61"/>
      <c r="J429" s="27"/>
    </row>
    <row r="430" s="5" customFormat="1" spans="1:10">
      <c r="A430" s="25"/>
      <c r="B430" s="25"/>
      <c r="C430" s="54" t="s">
        <v>6673</v>
      </c>
      <c r="D430" s="25" t="s">
        <v>6674</v>
      </c>
      <c r="E430" s="26" t="s">
        <v>282</v>
      </c>
      <c r="F430" s="25" t="str">
        <f>INDEX([1]数据元说明!A:F,MATCH(E430,[1]数据元说明!C:C,0),2)</f>
        <v>001001</v>
      </c>
      <c r="G430" s="26" t="str">
        <f>INDEX([1]数据元说明!A:F,MATCH(E430,[1]数据元说明!C:C,0),5)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430" s="25" t="str">
        <f>INDEX([1]数据元说明!A:F,MATCH(E430,[1]数据元说明!C:C,0),6)</f>
        <v>C..400</v>
      </c>
      <c r="I430" s="61"/>
      <c r="J430" s="27"/>
    </row>
    <row r="431" s="5" customFormat="1" spans="1:10">
      <c r="A431" s="25"/>
      <c r="B431" s="25"/>
      <c r="C431" s="54" t="s">
        <v>6675</v>
      </c>
      <c r="D431" s="25" t="s">
        <v>6676</v>
      </c>
      <c r="E431" s="26" t="s">
        <v>6675</v>
      </c>
      <c r="F431" s="25" t="str">
        <f>INDEX([1]数据元说明!A:F,MATCH(E431,[1]数据元说明!C:C,0),2)</f>
        <v>005064</v>
      </c>
      <c r="G431" s="26" t="str">
        <f>INDEX([1]数据元说明!A:F,MATCH(E431,[1]数据元说明!C:C,0),5)</f>
        <v>中文字典或中文描述，银行自定义。例如：国内信用证、国际信用证</v>
      </c>
      <c r="H431" s="25" t="str">
        <f>INDEX([1]数据元说明!A:F,MATCH(E431,[1]数据元说明!C:C,0),6)</f>
        <v>C..30</v>
      </c>
      <c r="I431" s="61"/>
      <c r="J431" s="27"/>
    </row>
    <row r="432" s="5" customFormat="1" spans="1:10">
      <c r="A432" s="25"/>
      <c r="B432" s="25"/>
      <c r="C432" s="54" t="s">
        <v>6677</v>
      </c>
      <c r="D432" s="25" t="s">
        <v>6678</v>
      </c>
      <c r="E432" s="26" t="s">
        <v>624</v>
      </c>
      <c r="F432" s="25" t="str">
        <f>INDEX([1]数据元说明!A:F,MATCH(E432,[1]数据元说明!C:C,0),2)</f>
        <v>003016</v>
      </c>
      <c r="G432" s="26" t="str">
        <f>INDEX([1]数据元说明!A:F,MATCH(E432,[1]数据元说明!C:C,0),5)</f>
        <v>遵循《GB/T 12406-2008 表示货币和资金的代码》的字母代码，如CNY。</v>
      </c>
      <c r="H432" s="25" t="str">
        <f>INDEX([1]数据元说明!A:F,MATCH(E432,[1]数据元说明!C:C,0),6)</f>
        <v>C3</v>
      </c>
      <c r="I432" s="61"/>
      <c r="J432" s="27"/>
    </row>
    <row r="433" s="5" customFormat="1" spans="1:10">
      <c r="A433" s="25"/>
      <c r="B433" s="25"/>
      <c r="C433" s="54" t="s">
        <v>6679</v>
      </c>
      <c r="D433" s="25" t="s">
        <v>3578</v>
      </c>
      <c r="E433" s="26" t="s">
        <v>609</v>
      </c>
      <c r="F433" s="25" t="str">
        <f>INDEX([1]数据元说明!A:F,MATCH(E433,[1]数据元说明!C:C,0),2)</f>
        <v>003011</v>
      </c>
      <c r="G433" s="26" t="str">
        <f>INDEX([1]数据元说明!A:F,MATCH(E433,[1]数据元说明!C:C,0),5)</f>
        <v>元。</v>
      </c>
      <c r="H433" s="25" t="str">
        <f>INDEX([1]数据元说明!A:F,MATCH(E433,[1]数据元说明!C:C,0),6)</f>
        <v>D20.2</v>
      </c>
      <c r="I433" s="61"/>
      <c r="J433" s="27"/>
    </row>
    <row r="434" s="5" customFormat="1" spans="1:10">
      <c r="A434" s="25"/>
      <c r="B434" s="25"/>
      <c r="C434" s="54" t="s">
        <v>6680</v>
      </c>
      <c r="D434" s="25" t="s">
        <v>6681</v>
      </c>
      <c r="E434" s="54" t="s">
        <v>6680</v>
      </c>
      <c r="F434" s="25" t="str">
        <f>INDEX([1]数据元说明!A:F,MATCH(E434,[1]数据元说明!C:C,0),2)</f>
        <v>005065</v>
      </c>
      <c r="G434" s="26" t="str">
        <f>INDEX([1]数据元说明!A:F,MATCH(E434,[1]数据元说明!C:C,0),5)</f>
        <v>中文字典或中文描述，银行自定义。</v>
      </c>
      <c r="H434" s="25" t="str">
        <f>INDEX([1]数据元说明!A:F,MATCH(E434,[1]数据元说明!C:C,0),6)</f>
        <v>C..60</v>
      </c>
      <c r="I434" s="61"/>
      <c r="J434" s="27"/>
    </row>
    <row r="435" s="5" customFormat="1" spans="1:10">
      <c r="A435" s="25"/>
      <c r="B435" s="25"/>
      <c r="C435" s="54" t="s">
        <v>6682</v>
      </c>
      <c r="D435" s="25" t="s">
        <v>6683</v>
      </c>
      <c r="E435" s="54" t="s">
        <v>6682</v>
      </c>
      <c r="F435" s="25" t="str">
        <f>INDEX([1]数据元说明!A:F,MATCH(E435,[1]数据元说明!C:C,0),2)</f>
        <v>005066</v>
      </c>
      <c r="G435" s="26" t="str">
        <f>INDEX([1]数据元说明!A:F,MATCH(E435,[1]数据元说明!C:C,0),5)</f>
        <v>中文字典或中文描述，银行自定义。</v>
      </c>
      <c r="H435" s="25" t="str">
        <f>INDEX([1]数据元说明!A:F,MATCH(E435,[1]数据元说明!C:C,0),6)</f>
        <v>C..60</v>
      </c>
      <c r="I435" s="61"/>
      <c r="J435" s="27"/>
    </row>
    <row r="436" s="5" customFormat="1" spans="1:10">
      <c r="A436" s="25"/>
      <c r="B436" s="25"/>
      <c r="C436" s="54" t="s">
        <v>6684</v>
      </c>
      <c r="D436" s="25" t="s">
        <v>6685</v>
      </c>
      <c r="E436" s="54" t="s">
        <v>681</v>
      </c>
      <c r="F436" s="25" t="str">
        <f>INDEX([1]数据元说明!A:F,MATCH(E436,[1]数据元说明!C:C,0),2)</f>
        <v>003033</v>
      </c>
      <c r="G436" s="26" t="str">
        <f>INDEX([1]数据元说明!A:F,MATCH(E436,[1]数据元说明!C:C,0),5)</f>
        <v>合同号。</v>
      </c>
      <c r="H436" s="25" t="str">
        <f>INDEX([1]数据元说明!A:F,MATCH(E436,[1]数据元说明!C:C,0),6)</f>
        <v>C..100</v>
      </c>
      <c r="I436" s="61"/>
      <c r="J436" s="27"/>
    </row>
    <row r="437" s="5" customFormat="1" spans="1:10">
      <c r="A437" s="25"/>
      <c r="B437" s="25"/>
      <c r="C437" s="54" t="s">
        <v>6686</v>
      </c>
      <c r="D437" s="25" t="s">
        <v>2178</v>
      </c>
      <c r="E437" s="26" t="s">
        <v>302</v>
      </c>
      <c r="F437" s="25" t="str">
        <f>INDEX([1]数据元说明!A:F,MATCH(E437,[1]数据元说明!C:C,0),2)</f>
        <v>001005</v>
      </c>
      <c r="G437" s="25" t="str">
        <f>INDEX([1]数据元说明!A:F,MATCH(E437,[1]数据元说明!C:C,0),5)</f>
        <v>YYYYMMDD，默认值99991231。</v>
      </c>
      <c r="H437" s="25" t="str">
        <f>INDEX([1]数据元说明!A:F,MATCH(E437,[1]数据元说明!C:C,0),6)</f>
        <v>C8</v>
      </c>
      <c r="I437" s="61"/>
      <c r="J437" s="27"/>
    </row>
    <row r="438" s="5" customFormat="1" spans="1:10">
      <c r="A438" s="25"/>
      <c r="B438" s="25"/>
      <c r="C438" s="54" t="s">
        <v>1574</v>
      </c>
      <c r="D438" s="25" t="s">
        <v>1575</v>
      </c>
      <c r="E438" s="26" t="s">
        <v>302</v>
      </c>
      <c r="F438" s="25" t="str">
        <f>INDEX([1]数据元说明!A:F,MATCH(E438,[1]数据元说明!C:C,0),2)</f>
        <v>001005</v>
      </c>
      <c r="G438" s="25" t="str">
        <f>INDEX([1]数据元说明!A:F,MATCH(E438,[1]数据元说明!C:C,0),5)</f>
        <v>YYYYMMDD，默认值99991231。</v>
      </c>
      <c r="H438" s="25" t="str">
        <f>INDEX([1]数据元说明!A:F,MATCH(E438,[1]数据元说明!C:C,0),6)</f>
        <v>C8</v>
      </c>
      <c r="I438" s="61"/>
      <c r="J438" s="27"/>
    </row>
    <row r="439" s="5" customFormat="1" ht="30" customHeight="1" spans="1:10">
      <c r="A439" s="19" t="s">
        <v>6687</v>
      </c>
      <c r="B439" s="24" t="s">
        <v>6688</v>
      </c>
      <c r="C439" s="25"/>
      <c r="D439" s="25"/>
      <c r="E439" s="25"/>
      <c r="F439" s="25"/>
      <c r="G439" s="25"/>
      <c r="H439" s="25"/>
      <c r="I439" s="26" t="s">
        <v>6406</v>
      </c>
      <c r="J439" s="27"/>
    </row>
    <row r="440" s="5" customFormat="1" ht="30" customHeight="1" spans="1:10">
      <c r="A440" s="25"/>
      <c r="B440" s="25"/>
      <c r="C440" s="26" t="s">
        <v>325</v>
      </c>
      <c r="D440" s="59" t="s">
        <v>6408</v>
      </c>
      <c r="E440" s="26" t="s">
        <v>325</v>
      </c>
      <c r="F440" s="25" t="str">
        <f>INDEX([1]数据元说明!A:F,MATCH(E440,[1]数据元说明!C:C,0),2)</f>
        <v>001011</v>
      </c>
      <c r="G440" s="60" t="str">
        <f>INDEX([1]数据元说明!A:F,MATCH(E440,[1]数据元说明!C:C,0),5)</f>
        <v>人行支付行号</v>
      </c>
      <c r="H440" s="25" t="str">
        <f>INDEX([1]数据元说明!A:F,MATCH(E440,[1]数据元说明!C:C,0),6)</f>
        <v>C..30</v>
      </c>
      <c r="I440" s="61"/>
      <c r="J440" s="27"/>
    </row>
    <row r="441" s="5" customFormat="1" ht="30" customHeight="1" spans="1:10">
      <c r="A441" s="25"/>
      <c r="B441" s="25"/>
      <c r="C441" s="26" t="s">
        <v>329</v>
      </c>
      <c r="D441" s="59" t="s">
        <v>1526</v>
      </c>
      <c r="E441" s="26" t="s">
        <v>329</v>
      </c>
      <c r="F441" s="25" t="str">
        <f>INDEX([1]数据元说明!A:F,MATCH(E441,[1]数据元说明!C:C,0),2)</f>
        <v>001012</v>
      </c>
      <c r="G441" s="60" t="str">
        <f>INDEX([1]数据元说明!A:F,MATCH(E441,[1]数据元说明!C:C,0),5)</f>
        <v>金融许可证机构编码编制规则（试行）
　一、机构编码结构
　　机构编码由大写英文字母和数字组成，共15位。分六个部分，分别是机构类型代码、机构代码、组织类别代码、发证机关代码、地址代码、顺序代码，从左至右顺序排列，如下表所示。
　　二、机构编码含义
　　（一）第［一］位是机构类型代码，用大写英文字母表示。
　　A-政策性银行
　　B-商业银行
　　C-农村合作银行
　　D-城市信用社
　　E-农村信用社
　　F-资金互助社
　　J-金融资产管理公司
　　K-信托公司
　　L-财务公司
　　M-金融租赁公司
　　N-汽车金融公司
　　P-货币经纪公司
　　Q-贷款公司
　　Z-其他类金融机构
　　新增机构类型时，根据需要确定机构类型代码。
　　（二）第［二］位至第［五］位是机构代码，用数字表示。
　　1.每个法人机构指定唯一的代码，由计算机系统按照规则自动生成。除农村信用社、资金互助社、贷款公司（E、F、Q类机构）外，全国统一编码。E、F、Q类机构在省（自治区、直辖市）范围内统一编码。
　　2.新设立的机构依照所属机构类型顺序排列。
　　机构代码编码示例如下：
　　A-政策性银行
　　0001-国家开发银行
　　……
　　B-商业银行
　　0001-中国工商银行股份有限公司
　　……
　　C-农村合作银行
　　0001-天津大港农村合作银行
　　……
　　D-城市信用社
　　0001-邯郸市城市信用社股份有限公司
　　……
　　E-农村信用社天津市
　　0001-天津市宝坻区农村信用合作联社
　　……
　　新疆维吾尔自治区
　　0001-新疆维吾尔自治区农村信用社联合社
　　……
　　F-资金互助社
　　吉林省
　　0001-吉林省梨树县闰家村百信农村资金互助社
　　……
　　青海省
　　0001-青海省乐都县雨润镇兴乐农村资金互助社
　　……
　　J-金融资产管理公司
　　0001-中国华融资产管理公司
　　……
　　K-信托投资公司
　　0001-中诚信托投资有限责任公司
　　……
　　L-财务公司
　　0001-中海石油财务有限责任公司
　　……
　　M-金融租赁公司
　　0001-中国外贸金融租赁公司
　　……
　　N-汽车金融公司
　　0001-大众汽车金融（中国）有限公司
　　……
　　P-货币经纪公司
　　0001-上海国利货币经纪有限公司
　　……
　　Q-贷款公司四川省
　　0001-四川省仪陇县惠民贷款有限责任公司
　　……
　　新疆维吾尔自治区
　　0001-
　　……
　　Z-其他类金融机构
　　0001-中央国债登记结算有限责任公司
　　……
　　（三）第〔六〕位是组织类别代码，用大写英文字母表示。
　　机构类型不同，组织类别代码的含义不同。定义如下：
　　1.A-政策性银行
　　H-总行
　　G-总行营业部
　　H-级分行
　　K-一级分行营业部
　　M-二级分行
　　S-支行
　　X-其他分支机构
　　2.B-商业银行
　　H-总行
　　G-总行营业部、专营机构
　　B-一级分行
　　K-一级分行营业部
　　L-二级分行
　　M-直属支行
　　N-二级分行营业部
　　S-支行
　　U-分理处、办事处、营业所
　　V-储蓄所
　　X-其他分支机构
　　3.C-农村合作银行
　　H-总行
　　S-支行
　　U-分理处
　　V-储蓄所
　　X-其他分支机构
　　4.D-城市信用社
　　H-法人
　　S-分社、营业部
　　X-其他分支机构
　　5.E-农村信用社
　　H-省（自治区、直辖市）联合社
　　B-地（市）联合社、联社
　　S-县（市）联合社、联社、合作社（县级）
　　T-信用合作社
　　U-信用社、分社
　　V-储蓄所
　　X-其他分支机构
　　6.F-资金互助社
　　H-法人
　　7.J-金融资产管理公司
　　H-总公司
　　B-办事处
　　X-其他分支机构
　　8.K-信托公司
　　H-法人
　　9.N-汽车金融公司
　　H-法人
　　10.L-财务公司
　　H-总公司
　　B-分公司
　　X-其他分支机构
　　11.M-金融租赁公司
　　H-总公司
　　B-分公司
　　X-其他分支机构
　　12.P-货币经纪公司
　　H-总公司
　　B-分公司
　　X-其他分支机构
　　13.Q-贷款公司
　　H-总公司
　　B-分公司
　　X-其他分支机构
　　14.Z-其他类金融机构
　　Z类机构组织类别代码编码方法参照以上规则。
　　新增机构类型时，参照以上规则，根据实际情况定义其组织类别代码。
　　（四）第〔七〕位是发证机关代码，用数字表示。
　　1-银监会
　　2-银监局
　　3-银监分局
　　（五）第〔八〕位至第〔十一〕是地址代码，用数字表示。按照《中华人民共和国行政区划代码》 （GB/T2260），取市（地区、自治州、盟）、直辖市行政区划代码前四位，作为地址代码。
　　地址代码示例如下：1100表示北京市，1200表示天津市，1301表示石家庄市，……
　　（六）第〔十二〕位至第〔十五〕位是顺序代码，用数字表示。机构类型代码、机构代码、组织类别代码、发证机关代码和地址代码相同的机构按照制发金融许可证的顺序编码。
　　三、机构编码的编制规则
　　编制机构编码时，按照从左至右的顺序依次确定机构类型代码、机构代码、组织类别代码、发证机关代码、地址代码、顺序代码，由计算机自动生成。
　　为了保证机构编码的唯一性，以利于电子计算机较长时间地存储数据，因行政许可变更需换发金融许可证，涉及机构编码变更的，原机构编码不再使用.金融机构终止的，机构编码不再使用。注销开业许可收回金融许可证的，机构编码不再使用。</v>
      </c>
      <c r="H441" s="25" t="str">
        <f>INDEX([1]数据元说明!A:F,MATCH(E441,[1]数据元说明!C:C,0),6)</f>
        <v>C..30</v>
      </c>
      <c r="I441" s="61"/>
      <c r="J441" s="27"/>
    </row>
    <row r="442" s="5" customFormat="1" ht="30" customHeight="1" spans="1:10">
      <c r="A442" s="25"/>
      <c r="B442" s="25"/>
      <c r="C442" s="26" t="s">
        <v>333</v>
      </c>
      <c r="D442" s="59" t="s">
        <v>1523</v>
      </c>
      <c r="E442" s="26" t="s">
        <v>333</v>
      </c>
      <c r="F442" s="25" t="str">
        <f>INDEX([1]数据元说明!A:F,MATCH(E442,[1]数据元说明!C:C,0),2)</f>
        <v>001013</v>
      </c>
      <c r="G442" s="60" t="str">
        <f>INDEX([1]数据元说明!A:F,MATCH(E442,[1]数据元说明!C:C,0),5)</f>
        <v>银行内部机构号。应具有标识机构的唯一性。</v>
      </c>
      <c r="H442" s="25" t="str">
        <f>INDEX([1]数据元说明!A:F,MATCH(E442,[1]数据元说明!C:C,0),6)</f>
        <v>C..30</v>
      </c>
      <c r="I442" s="61"/>
      <c r="J442" s="27"/>
    </row>
    <row r="443" s="5" customFormat="1" ht="409.5" spans="1:10">
      <c r="A443" s="25"/>
      <c r="B443" s="25"/>
      <c r="C443" s="26" t="s">
        <v>1532</v>
      </c>
      <c r="D443" s="59" t="s">
        <v>6409</v>
      </c>
      <c r="E443" s="26" t="s">
        <v>282</v>
      </c>
      <c r="F443" s="25" t="str">
        <f>INDEX([1]数据元说明!A:F,MATCH(E443,[1]数据元说明!C:C,0),2)</f>
        <v>001001</v>
      </c>
      <c r="G443" s="60" t="str">
        <f>INDEX([1]数据元说明!A:F,MATCH(E443,[1]数据元说明!C:C,0),5)</f>
        <v>名称应与公章所使用的名称完全一致。银行机构以银监会金融机构许可证登记名称为准。无独立金融机构许可证的机构，可在本名称中体现出机构特征。
客户名称按照客户的不同类型按如下标准填报。
（1）集团客户，填报银行对该集团授信采用的集团客户名称。视同集团客户填报的供应链融资填报核心企业客户名称。
（2）单一法人客户，经有关部门批准正式使用的全称，与公章所使用的名称完全一致。视同单一法人客户填报的分公司，填报分公司全称，与分公司公章所使用的名称完全一致。
（3）同业客户，经有关部门批准正式使用的客户全称，与客户公章所使用的名称完全一致。
（4）客户是境外法人的，客户名称填报规范的中文翻译；客户是境内涉密法人的，客户名称填报为“*********”。
（5）自然人，与有效证件上的姓名一致。</v>
      </c>
      <c r="H443" s="25" t="str">
        <f>INDEX([1]数据元说明!A:F,MATCH(E443,[1]数据元说明!C:C,0),6)</f>
        <v>C..400</v>
      </c>
      <c r="I443" s="61"/>
      <c r="J443" s="27"/>
    </row>
    <row r="444" s="5" customFormat="1" spans="1:10">
      <c r="A444" s="25"/>
      <c r="B444" s="25"/>
      <c r="C444" s="54" t="s">
        <v>6659</v>
      </c>
      <c r="D444" s="25" t="s">
        <v>6660</v>
      </c>
      <c r="E444" s="26" t="s">
        <v>681</v>
      </c>
      <c r="F444" s="25" t="str">
        <f>INDEX([1]数据元说明!A:F,MATCH(E444,[1]数据元说明!C:C,0),2)</f>
        <v>003033</v>
      </c>
      <c r="G444" s="26" t="str">
        <f>INDEX([1]数据元说明!A:F,MATCH(E444,[1]数据元说明!C:C,0),5)</f>
        <v>合同号。</v>
      </c>
      <c r="H444" s="25" t="str">
        <f>INDEX([1]数据元说明!A:F,MATCH(E444,[1]数据元说明!C:C,0),6)</f>
        <v>C..100</v>
      </c>
      <c r="I444" s="61"/>
      <c r="J444" s="27"/>
    </row>
    <row r="445" s="5" customFormat="1" ht="18" spans="1:10">
      <c r="A445" s="25"/>
      <c r="B445" s="25"/>
      <c r="C445" s="54" t="s">
        <v>6689</v>
      </c>
      <c r="D445" s="25" t="s">
        <v>6690</v>
      </c>
      <c r="E445" s="26" t="s">
        <v>6691</v>
      </c>
      <c r="F445" s="25" t="str">
        <f>INDEX([1]数据元说明!A:F,MATCH(E445,[1]数据元说明!C:C,0),2)</f>
        <v>005032</v>
      </c>
      <c r="G445" s="60" t="str">
        <f>INDEX([1]数据元说明!A:F,MATCH(E445,[1]数据元说明!C:C,0),5)</f>
        <v>信用证编号。</v>
      </c>
      <c r="H445" s="25" t="str">
        <f>INDEX([1]数据元说明!A:F,MATCH(E445,[1]数据元说明!C:C,0),6)</f>
        <v>C..30</v>
      </c>
      <c r="I445" s="61"/>
      <c r="J445" s="27"/>
    </row>
    <row r="446" s="5" customFormat="1" ht="53" spans="1:10">
      <c r="A446" s="25"/>
      <c r="B446" s="25"/>
      <c r="C446" s="26" t="s">
        <v>453</v>
      </c>
      <c r="D446" s="59" t="s">
        <v>1680</v>
      </c>
      <c r="E446" s="26" t="s">
        <v>453</v>
      </c>
      <c r="F446" s="25" t="str">
        <f>INDEX([1]数据元说明!A:F,MATCH(E446,[1]数据元说明!C:C,0),2)</f>
        <v>002001</v>
      </c>
      <c r="G446" s="60" t="str">
        <f>INDEX([1]数据元说明!A:F,MATCH(E446,[1]数据元说明!C:C,0),5)</f>
        <v>银行自定义的唯一识别客户的标识。供应链融资的填写供应链融资编码。</v>
      </c>
      <c r="H446" s="25" t="str">
        <f>INDEX([1]数据元说明!A:F,MATCH(E446,[1]数据元说明!C:C,0),6)</f>
        <v>C..60</v>
      </c>
      <c r="I446" s="61"/>
      <c r="J446" s="27"/>
    </row>
    <row r="447" s="5" customFormat="1" ht="53" spans="1:10">
      <c r="A447" s="25"/>
      <c r="B447" s="25"/>
      <c r="C447" s="26" t="s">
        <v>628</v>
      </c>
      <c r="D447" s="25" t="s">
        <v>2334</v>
      </c>
      <c r="E447" s="26" t="s">
        <v>628</v>
      </c>
      <c r="F447" s="25" t="str">
        <f>INDEX([1]数据元说明!A:F,MATCH(E447,[1]数据元说明!C:C,0),2)</f>
        <v>003019</v>
      </c>
      <c r="G447" s="60" t="str">
        <f>INDEX([1]数据元说明!A:F,MATCH(E447,[1]数据元说明!C:C,0),5)</f>
        <v>账户归属者的名称。客户是境内涉密法人的，账户名称填报为“*********”。</v>
      </c>
      <c r="H447" s="25" t="str">
        <f>INDEX([1]数据元说明!A:F,MATCH(E447,[1]数据元说明!C:C,0),6)</f>
        <v>C..200</v>
      </c>
      <c r="I447" s="61"/>
      <c r="J447" s="27"/>
    </row>
    <row r="448" s="5" customFormat="1" ht="53" spans="1:10">
      <c r="A448" s="25"/>
      <c r="B448" s="25"/>
      <c r="C448" s="54" t="s">
        <v>6677</v>
      </c>
      <c r="D448" s="25" t="s">
        <v>1989</v>
      </c>
      <c r="E448" s="26" t="s">
        <v>624</v>
      </c>
      <c r="F448" s="25" t="str">
        <f>INDEX([1]数据元说明!A:F,MATCH(E448,[1]数据元说明!C:C,0),2)</f>
        <v>003016</v>
      </c>
      <c r="G448" s="60" t="str">
        <f>INDEX([1]数据元说明!A:F,MATCH(E448,[1]数据元说明!C:C,0),5)</f>
        <v>遵循《GB/T 12406-2008 表示货币和资金的代码》的字母代码，如CNY。</v>
      </c>
      <c r="H448" s="25" t="str">
        <f>INDEX([1]数据元说明!A:F,MATCH(E448,[1]数据元说明!C:C,0),6)</f>
        <v>C3</v>
      </c>
      <c r="I448" s="61"/>
      <c r="J448" s="27"/>
    </row>
    <row r="449" s="5" customFormat="1" ht="18" spans="1:10">
      <c r="A449" s="25"/>
      <c r="B449" s="25"/>
      <c r="C449" s="54" t="s">
        <v>6679</v>
      </c>
      <c r="D449" s="25" t="s">
        <v>3578</v>
      </c>
      <c r="E449" s="26" t="s">
        <v>609</v>
      </c>
      <c r="F449" s="25" t="str">
        <f>INDEX([1]数据元说明!A:F,MATCH(E449,[1]数据元说明!C:C,0),2)</f>
        <v>003011</v>
      </c>
      <c r="G449" s="60" t="str">
        <f>INDEX([1]数据元说明!A:F,MATCH(E449,[1]数据元说明!C:C,0),5)</f>
        <v>元。</v>
      </c>
      <c r="H449" s="25" t="str">
        <f>INDEX([1]数据元说明!A:F,MATCH(E449,[1]数据元说明!C:C,0),6)</f>
        <v>D20.2</v>
      </c>
      <c r="I449" s="61"/>
      <c r="J449" s="27"/>
    </row>
    <row r="450" s="5" customFormat="1" ht="18" spans="1:10">
      <c r="A450" s="25"/>
      <c r="B450" s="25"/>
      <c r="C450" s="54" t="s">
        <v>6692</v>
      </c>
      <c r="D450" s="25" t="s">
        <v>3581</v>
      </c>
      <c r="E450" s="26" t="s">
        <v>609</v>
      </c>
      <c r="F450" s="25" t="str">
        <f>INDEX([1]数据元说明!A:F,MATCH(E450,[1]数据元说明!C:C,0),2)</f>
        <v>003011</v>
      </c>
      <c r="G450" s="60" t="str">
        <f>INDEX([1]数据元说明!A:F,MATCH(E450,[1]数据元说明!C:C,0),5)</f>
        <v>元。</v>
      </c>
      <c r="H450" s="25" t="str">
        <f>INDEX([1]数据元说明!A:F,MATCH(E450,[1]数据元说明!C:C,0),6)</f>
        <v>D20.2</v>
      </c>
      <c r="I450" s="61"/>
      <c r="J450" s="27"/>
    </row>
    <row r="451" s="5" customFormat="1" ht="36" spans="1:10">
      <c r="A451" s="25"/>
      <c r="B451" s="25"/>
      <c r="C451" s="54" t="s">
        <v>6693</v>
      </c>
      <c r="D451" s="25" t="s">
        <v>6694</v>
      </c>
      <c r="E451" s="26" t="s">
        <v>302</v>
      </c>
      <c r="F451" s="25" t="str">
        <f>INDEX([1]数据元说明!A:F,MATCH(E451,[1]数据元说明!C:C,0),2)</f>
        <v>001005</v>
      </c>
      <c r="G451" s="14" t="str">
        <f>INDEX([1]数据元说明!A:F,MATCH(E451,[1]数据元说明!C:C,0),5)</f>
        <v>YYYYMMDD，默认值99991231。</v>
      </c>
      <c r="H451" s="25" t="str">
        <f>INDEX([1]数据元说明!A:F,MATCH(E451,[1]数据元说明!C:C,0),6)</f>
        <v>C8</v>
      </c>
      <c r="I451" s="61"/>
      <c r="J451" s="27"/>
    </row>
    <row r="452" s="5" customFormat="1" ht="36" spans="1:10">
      <c r="A452" s="25"/>
      <c r="B452" s="25"/>
      <c r="C452" s="54" t="s">
        <v>6695</v>
      </c>
      <c r="D452" s="25" t="s">
        <v>6696</v>
      </c>
      <c r="E452" s="26" t="s">
        <v>302</v>
      </c>
      <c r="F452" s="25" t="str">
        <f>INDEX([1]数据元说明!A:F,MATCH(E452,[1]数据元说明!C:C,0),2)</f>
        <v>001005</v>
      </c>
      <c r="G452" s="14" t="str">
        <f>INDEX([1]数据元说明!A:F,MATCH(E452,[1]数据元说明!C:C,0),5)</f>
        <v>YYYYMMDD，默认值99991231。</v>
      </c>
      <c r="H452" s="25" t="str">
        <f>INDEX([1]数据元说明!A:F,MATCH(E452,[1]数据元说明!C:C,0),6)</f>
        <v>C8</v>
      </c>
      <c r="I452" s="61"/>
      <c r="J452" s="27"/>
    </row>
    <row r="453" s="5" customFormat="1" ht="36" spans="1:10">
      <c r="A453" s="25"/>
      <c r="B453" s="25"/>
      <c r="C453" s="54" t="s">
        <v>6697</v>
      </c>
      <c r="D453" s="25" t="s">
        <v>6698</v>
      </c>
      <c r="E453" s="26" t="s">
        <v>302</v>
      </c>
      <c r="F453" s="25" t="str">
        <f>INDEX([1]数据元说明!A:F,MATCH(E453,[1]数据元说明!C:C,0),2)</f>
        <v>001005</v>
      </c>
      <c r="G453" s="14" t="str">
        <f>INDEX([1]数据元说明!A:F,MATCH(E453,[1]数据元说明!C:C,0),5)</f>
        <v>YYYYMMDD，默认值99991231。</v>
      </c>
      <c r="H453" s="25" t="str">
        <f>INDEX([1]数据元说明!A:F,MATCH(E453,[1]数据元说明!C:C,0),6)</f>
        <v>C8</v>
      </c>
      <c r="I453" s="61"/>
      <c r="J453" s="27"/>
    </row>
    <row r="454" s="5" customFormat="1" ht="36" spans="1:10">
      <c r="A454" s="25"/>
      <c r="B454" s="25"/>
      <c r="C454" s="54" t="s">
        <v>6699</v>
      </c>
      <c r="D454" s="25" t="s">
        <v>6700</v>
      </c>
      <c r="E454" s="26" t="s">
        <v>302</v>
      </c>
      <c r="F454" s="25" t="str">
        <f>INDEX([1]数据元说明!A:F,MATCH(E454,[1]数据元说明!C:C,0),2)</f>
        <v>001005</v>
      </c>
      <c r="G454" s="14" t="str">
        <f>INDEX([1]数据元说明!A:F,MATCH(E454,[1]数据元说明!C:C,0),5)</f>
        <v>YYYYMMDD，默认值99991231。</v>
      </c>
      <c r="H454" s="25" t="str">
        <f>INDEX([1]数据元说明!A:F,MATCH(E454,[1]数据元说明!C:C,0),6)</f>
        <v>C8</v>
      </c>
      <c r="I454" s="61"/>
      <c r="J454" s="27"/>
    </row>
    <row r="455" s="5" customFormat="1" ht="18" spans="1:10">
      <c r="A455" s="25"/>
      <c r="B455" s="25"/>
      <c r="C455" s="54" t="s">
        <v>6701</v>
      </c>
      <c r="D455" s="25" t="s">
        <v>6702</v>
      </c>
      <c r="E455" s="26" t="s">
        <v>609</v>
      </c>
      <c r="F455" s="25" t="str">
        <f>INDEX([1]数据元说明!A:F,MATCH(E455,[1]数据元说明!C:C,0),2)</f>
        <v>003011</v>
      </c>
      <c r="G455" s="60" t="str">
        <f>INDEX([1]数据元说明!A:F,MATCH(E455,[1]数据元说明!C:C,0),5)</f>
        <v>元。</v>
      </c>
      <c r="H455" s="25" t="str">
        <f>INDEX([1]数据元说明!A:F,MATCH(E455,[1]数据元说明!C:C,0),6)</f>
        <v>D20.2</v>
      </c>
      <c r="I455" s="61"/>
      <c r="J455" s="27"/>
    </row>
    <row r="456" s="5" customFormat="1" ht="18" spans="1:10">
      <c r="A456" s="25"/>
      <c r="B456" s="25"/>
      <c r="C456" s="54" t="s">
        <v>6703</v>
      </c>
      <c r="D456" s="25" t="s">
        <v>6704</v>
      </c>
      <c r="E456" s="26" t="s">
        <v>609</v>
      </c>
      <c r="F456" s="25" t="str">
        <f>INDEX([1]数据元说明!A:F,MATCH(E456,[1]数据元说明!C:C,0),2)</f>
        <v>003011</v>
      </c>
      <c r="G456" s="60" t="str">
        <f>INDEX([1]数据元说明!A:F,MATCH(E456,[1]数据元说明!C:C,0),5)</f>
        <v>元。</v>
      </c>
      <c r="H456" s="25" t="str">
        <f>INDEX([1]数据元说明!A:F,MATCH(E456,[1]数据元说明!C:C,0),6)</f>
        <v>D20.2</v>
      </c>
      <c r="I456" s="61"/>
      <c r="J456" s="27"/>
    </row>
    <row r="457" s="5" customFormat="1" ht="18" spans="1:10">
      <c r="A457" s="25"/>
      <c r="B457" s="25"/>
      <c r="C457" s="54" t="s">
        <v>3649</v>
      </c>
      <c r="D457" s="25" t="s">
        <v>2766</v>
      </c>
      <c r="E457" s="26" t="s">
        <v>609</v>
      </c>
      <c r="F457" s="25" t="str">
        <f>INDEX([1]数据元说明!A:F,MATCH(E457,[1]数据元说明!C:C,0),2)</f>
        <v>003011</v>
      </c>
      <c r="G457" s="60" t="str">
        <f>INDEX([1]数据元说明!A:F,MATCH(E457,[1]数据元说明!C:C,0),5)</f>
        <v>元。</v>
      </c>
      <c r="H457" s="25" t="str">
        <f>INDEX([1]数据元说明!A:F,MATCH(E457,[1]数据元说明!C:C,0),6)</f>
        <v>D20.2</v>
      </c>
      <c r="I457" s="61"/>
      <c r="J457" s="27"/>
    </row>
    <row r="458" s="7" customFormat="1" ht="18.75" customHeight="1" spans="1:10">
      <c r="A458" s="25"/>
      <c r="B458" s="25"/>
      <c r="C458" s="54" t="s">
        <v>6705</v>
      </c>
      <c r="D458" s="25" t="s">
        <v>6706</v>
      </c>
      <c r="E458" s="26" t="s">
        <v>685</v>
      </c>
      <c r="F458" s="25" t="str">
        <f>INDEX([1]数据元说明!A:F,MATCH(E458,[1]数据元说明!C:C,0),2)</f>
        <v>003034</v>
      </c>
      <c r="G458" s="60" t="str">
        <f>INDEX([1]数据元说明!A:F,MATCH(E458,[1]数据元说明!C:C,0),5)</f>
        <v>正常，关注，次级，可疑，损失。</v>
      </c>
      <c r="H458" s="25" t="str">
        <f>INDEX([1]数据元说明!A:F,MATCH(E458,[1]数据元说明!C:C,0),6)</f>
        <v>C6</v>
      </c>
      <c r="I458" s="61"/>
      <c r="J458" s="63"/>
    </row>
    <row r="459" ht="36" spans="1:10">
      <c r="A459" s="36"/>
      <c r="B459" s="36"/>
      <c r="C459" s="54" t="s">
        <v>1574</v>
      </c>
      <c r="D459" s="36" t="s">
        <v>1575</v>
      </c>
      <c r="E459" s="54" t="s">
        <v>302</v>
      </c>
      <c r="F459" s="36" t="str">
        <f>INDEX([1]数据元说明!A:F,MATCH(E459,[1]数据元说明!C:C,0),2)</f>
        <v>001005</v>
      </c>
      <c r="G459" s="14" t="str">
        <f>INDEX([1]数据元说明!A:F,MATCH(E459,[1]数据元说明!C:C,0),5)</f>
        <v>YYYYMMDD，默认值99991231。</v>
      </c>
      <c r="H459" s="25" t="str">
        <f>INDEX([1]数据元说明!A:F,MATCH(E459,[1]数据元说明!C:C,0),6)</f>
        <v>C8</v>
      </c>
      <c r="I459" s="36"/>
      <c r="J459" s="21"/>
    </row>
    <row r="460" spans="1:10">
      <c r="A460" s="19" t="s">
        <v>6707</v>
      </c>
      <c r="B460" s="24" t="s">
        <v>6708</v>
      </c>
      <c r="C460" s="36"/>
      <c r="D460" s="27"/>
      <c r="E460" s="21"/>
      <c r="F460" s="27"/>
      <c r="G460" s="21"/>
      <c r="H460" s="27"/>
      <c r="I460" s="21"/>
      <c r="J460" s="21"/>
    </row>
    <row r="461" ht="36" spans="1:10">
      <c r="A461" s="21"/>
      <c r="B461" s="21"/>
      <c r="C461" s="21" t="s">
        <v>6709</v>
      </c>
      <c r="D461" s="27" t="s">
        <v>6710</v>
      </c>
      <c r="E461" s="21" t="s">
        <v>6709</v>
      </c>
      <c r="F461" s="27" t="s">
        <v>6711</v>
      </c>
      <c r="G461" s="21" t="s">
        <v>6712</v>
      </c>
      <c r="H461" s="27" t="s">
        <v>385</v>
      </c>
      <c r="I461" s="21" t="s">
        <v>6014</v>
      </c>
      <c r="J461" s="21"/>
    </row>
    <row r="462" spans="1:10">
      <c r="A462" s="19" t="s">
        <v>6561</v>
      </c>
      <c r="B462" s="24" t="s">
        <v>6562</v>
      </c>
      <c r="C462" s="21"/>
      <c r="D462" s="27"/>
      <c r="E462" s="21"/>
      <c r="F462" s="27"/>
      <c r="G462" s="21"/>
      <c r="H462" s="27"/>
      <c r="I462" s="21"/>
      <c r="J462" s="21"/>
    </row>
    <row r="463" ht="36" spans="1:10">
      <c r="A463" s="21"/>
      <c r="B463" s="21"/>
      <c r="C463" s="21" t="s">
        <v>6713</v>
      </c>
      <c r="D463" s="27" t="s">
        <v>6714</v>
      </c>
      <c r="E463" s="21" t="s">
        <v>353</v>
      </c>
      <c r="F463" s="27" t="s">
        <v>361</v>
      </c>
      <c r="G463" s="21" t="s">
        <v>355</v>
      </c>
      <c r="H463" s="27" t="s">
        <v>518</v>
      </c>
      <c r="I463" s="21" t="s">
        <v>6014</v>
      </c>
      <c r="J463" s="21"/>
    </row>
    <row r="464" ht="36" spans="1:10">
      <c r="A464" s="21"/>
      <c r="B464" s="21"/>
      <c r="C464" s="21" t="s">
        <v>6652</v>
      </c>
      <c r="D464" s="27" t="s">
        <v>6653</v>
      </c>
      <c r="E464" s="21" t="s">
        <v>353</v>
      </c>
      <c r="F464" s="27" t="s">
        <v>361</v>
      </c>
      <c r="G464" s="21" t="s">
        <v>355</v>
      </c>
      <c r="H464" s="27" t="s">
        <v>518</v>
      </c>
      <c r="I464" s="21" t="s">
        <v>6014</v>
      </c>
      <c r="J464" s="21"/>
    </row>
    <row r="465" spans="1:10">
      <c r="A465" s="19" t="s">
        <v>253</v>
      </c>
      <c r="B465" s="24" t="s">
        <v>254</v>
      </c>
      <c r="C465" s="21"/>
      <c r="D465" s="21"/>
      <c r="E465" s="21"/>
      <c r="F465" s="21"/>
      <c r="G465" s="21"/>
      <c r="H465" s="21"/>
      <c r="I465" s="21"/>
      <c r="J465" s="21"/>
    </row>
    <row r="466" ht="88" spans="1:10">
      <c r="A466" s="27"/>
      <c r="B466" s="21"/>
      <c r="C466" s="21" t="s">
        <v>6715</v>
      </c>
      <c r="D466" s="27" t="s">
        <v>6716</v>
      </c>
      <c r="E466" s="21" t="s">
        <v>292</v>
      </c>
      <c r="F466" s="27" t="s">
        <v>291</v>
      </c>
      <c r="G466" s="21" t="s">
        <v>6196</v>
      </c>
      <c r="H466" s="27" t="s">
        <v>295</v>
      </c>
      <c r="I466" s="21" t="s">
        <v>6014</v>
      </c>
      <c r="J466" s="23" t="s">
        <v>6717</v>
      </c>
    </row>
    <row r="467" ht="36" spans="1:10">
      <c r="A467" s="21"/>
      <c r="B467" s="21"/>
      <c r="C467" s="21" t="s">
        <v>6718</v>
      </c>
      <c r="D467" s="27" t="s">
        <v>6719</v>
      </c>
      <c r="E467" s="21" t="s">
        <v>302</v>
      </c>
      <c r="F467" s="27" t="s">
        <v>301</v>
      </c>
      <c r="G467" s="27" t="s">
        <v>6720</v>
      </c>
      <c r="H467" s="27" t="s">
        <v>305</v>
      </c>
      <c r="I467" s="21" t="s">
        <v>6014</v>
      </c>
      <c r="J467" s="21"/>
    </row>
    <row r="468" spans="1:10">
      <c r="A468" s="19" t="s">
        <v>250</v>
      </c>
      <c r="B468" s="24" t="s">
        <v>251</v>
      </c>
      <c r="C468" s="21"/>
      <c r="D468" s="21"/>
      <c r="E468" s="21"/>
      <c r="F468" s="21"/>
      <c r="G468" s="21"/>
      <c r="H468" s="21"/>
      <c r="I468" s="21"/>
      <c r="J468" s="21"/>
    </row>
    <row r="469" ht="212" spans="1:10">
      <c r="A469" s="27"/>
      <c r="B469" s="21"/>
      <c r="C469" s="21" t="s">
        <v>6721</v>
      </c>
      <c r="D469" s="21" t="s">
        <v>6722</v>
      </c>
      <c r="E469" s="21" t="s">
        <v>6723</v>
      </c>
      <c r="F469" s="414" t="s">
        <v>1189</v>
      </c>
      <c r="G469" s="21" t="s">
        <v>6724</v>
      </c>
      <c r="H469" s="21" t="s">
        <v>323</v>
      </c>
      <c r="I469" s="21" t="s">
        <v>6014</v>
      </c>
      <c r="J469" s="23" t="s">
        <v>6725</v>
      </c>
    </row>
    <row r="470" ht="106" spans="1:10">
      <c r="A470" s="27"/>
      <c r="B470" s="21"/>
      <c r="C470" s="21" t="s">
        <v>6162</v>
      </c>
      <c r="D470" s="21" t="s">
        <v>6163</v>
      </c>
      <c r="E470" s="21" t="s">
        <v>6726</v>
      </c>
      <c r="F470" s="414" t="s">
        <v>1209</v>
      </c>
      <c r="G470" s="21" t="s">
        <v>6727</v>
      </c>
      <c r="H470" s="21" t="s">
        <v>323</v>
      </c>
      <c r="I470" s="21" t="s">
        <v>6014</v>
      </c>
      <c r="J470" s="23" t="s">
        <v>6728</v>
      </c>
    </row>
    <row r="471" ht="88" spans="1:10">
      <c r="A471" s="27"/>
      <c r="B471" s="21"/>
      <c r="C471" s="21" t="s">
        <v>6729</v>
      </c>
      <c r="D471" s="21" t="s">
        <v>6730</v>
      </c>
      <c r="E471" s="21" t="s">
        <v>287</v>
      </c>
      <c r="F471" s="21" t="s">
        <v>286</v>
      </c>
      <c r="G471" s="21" t="s">
        <v>289</v>
      </c>
      <c r="H471" s="21" t="s">
        <v>6027</v>
      </c>
      <c r="I471" s="21" t="s">
        <v>6014</v>
      </c>
      <c r="J471" s="23" t="s">
        <v>6717</v>
      </c>
    </row>
    <row r="472" ht="141" spans="1:10">
      <c r="A472" s="27"/>
      <c r="B472" s="21"/>
      <c r="C472" s="21" t="s">
        <v>6731</v>
      </c>
      <c r="D472" s="21" t="s">
        <v>6732</v>
      </c>
      <c r="E472" s="21" t="s">
        <v>287</v>
      </c>
      <c r="F472" s="21" t="s">
        <v>286</v>
      </c>
      <c r="G472" s="21" t="s">
        <v>289</v>
      </c>
      <c r="H472" s="21" t="s">
        <v>6027</v>
      </c>
      <c r="I472" s="21" t="s">
        <v>6014</v>
      </c>
      <c r="J472" s="23" t="s">
        <v>6733</v>
      </c>
    </row>
    <row r="473" ht="36" spans="1:10">
      <c r="A473" s="27"/>
      <c r="B473" s="21"/>
      <c r="C473" s="21" t="s">
        <v>6734</v>
      </c>
      <c r="D473" s="21" t="s">
        <v>6735</v>
      </c>
      <c r="E473" s="21" t="s">
        <v>292</v>
      </c>
      <c r="F473" s="21" t="s">
        <v>291</v>
      </c>
      <c r="G473" s="21" t="s">
        <v>6196</v>
      </c>
      <c r="H473" s="21" t="s">
        <v>295</v>
      </c>
      <c r="I473" s="21" t="s">
        <v>6014</v>
      </c>
      <c r="J473" s="23" t="s">
        <v>6736</v>
      </c>
    </row>
    <row r="474" ht="36" spans="1:10">
      <c r="A474" s="27"/>
      <c r="B474" s="21"/>
      <c r="C474" s="21" t="s">
        <v>6737</v>
      </c>
      <c r="D474" s="21" t="s">
        <v>6738</v>
      </c>
      <c r="E474" s="21" t="s">
        <v>292</v>
      </c>
      <c r="F474" s="21" t="s">
        <v>291</v>
      </c>
      <c r="G474" s="21" t="s">
        <v>6196</v>
      </c>
      <c r="H474" s="21" t="s">
        <v>295</v>
      </c>
      <c r="I474" s="21" t="s">
        <v>6014</v>
      </c>
      <c r="J474" s="23" t="s">
        <v>6736</v>
      </c>
    </row>
    <row r="475" ht="36" spans="1:10">
      <c r="A475" s="27"/>
      <c r="B475" s="21"/>
      <c r="C475" s="21" t="s">
        <v>6739</v>
      </c>
      <c r="D475" s="21" t="s">
        <v>6740</v>
      </c>
      <c r="E475" s="21" t="s">
        <v>292</v>
      </c>
      <c r="F475" s="21" t="s">
        <v>291</v>
      </c>
      <c r="G475" s="21" t="s">
        <v>6196</v>
      </c>
      <c r="H475" s="21" t="s">
        <v>295</v>
      </c>
      <c r="I475" s="21" t="s">
        <v>6014</v>
      </c>
      <c r="J475" s="23" t="s">
        <v>6736</v>
      </c>
    </row>
    <row r="476" ht="36" spans="1:10">
      <c r="A476" s="27"/>
      <c r="B476" s="21"/>
      <c r="C476" s="21" t="s">
        <v>6741</v>
      </c>
      <c r="D476" s="21" t="s">
        <v>6742</v>
      </c>
      <c r="E476" s="21" t="s">
        <v>292</v>
      </c>
      <c r="F476" s="21" t="s">
        <v>291</v>
      </c>
      <c r="G476" s="21" t="s">
        <v>6196</v>
      </c>
      <c r="H476" s="21" t="s">
        <v>295</v>
      </c>
      <c r="I476" s="21" t="s">
        <v>6014</v>
      </c>
      <c r="J476" s="23" t="s">
        <v>6736</v>
      </c>
    </row>
    <row r="477" ht="36" spans="1:10">
      <c r="A477" s="27"/>
      <c r="B477" s="21"/>
      <c r="C477" s="21" t="s">
        <v>6743</v>
      </c>
      <c r="D477" s="21" t="s">
        <v>6744</v>
      </c>
      <c r="E477" s="21" t="s">
        <v>292</v>
      </c>
      <c r="F477" s="21" t="s">
        <v>291</v>
      </c>
      <c r="G477" s="21" t="s">
        <v>6196</v>
      </c>
      <c r="H477" s="21" t="s">
        <v>295</v>
      </c>
      <c r="I477" s="21" t="s">
        <v>6014</v>
      </c>
      <c r="J477" s="23" t="s">
        <v>6736</v>
      </c>
    </row>
    <row r="478" ht="36" spans="1:10">
      <c r="A478" s="21"/>
      <c r="B478" s="21"/>
      <c r="C478" s="21" t="s">
        <v>6718</v>
      </c>
      <c r="D478" s="27" t="s">
        <v>6719</v>
      </c>
      <c r="E478" s="21" t="s">
        <v>302</v>
      </c>
      <c r="F478" s="27" t="s">
        <v>301</v>
      </c>
      <c r="G478" s="27" t="s">
        <v>6720</v>
      </c>
      <c r="H478" s="27" t="s">
        <v>305</v>
      </c>
      <c r="I478" s="21" t="s">
        <v>6014</v>
      </c>
      <c r="J478" s="21"/>
    </row>
    <row r="479" spans="1:10">
      <c r="A479" s="19" t="s">
        <v>256</v>
      </c>
      <c r="B479" s="24" t="s">
        <v>257</v>
      </c>
      <c r="C479" s="27"/>
      <c r="D479" s="27"/>
      <c r="E479" s="27"/>
      <c r="F479" s="27"/>
      <c r="G479" s="27"/>
      <c r="H479" s="27"/>
      <c r="I479" s="27"/>
      <c r="J479" s="21"/>
    </row>
    <row r="480" ht="36" spans="1:10">
      <c r="A480" s="27"/>
      <c r="B480" s="27"/>
      <c r="C480" s="27" t="s">
        <v>307</v>
      </c>
      <c r="D480" s="27" t="s">
        <v>6745</v>
      </c>
      <c r="E480" s="27" t="s">
        <v>307</v>
      </c>
      <c r="F480" s="27" t="s">
        <v>306</v>
      </c>
      <c r="G480" s="27" t="s">
        <v>6746</v>
      </c>
      <c r="H480" s="27" t="s">
        <v>310</v>
      </c>
      <c r="I480" s="27" t="s">
        <v>6014</v>
      </c>
      <c r="J480" s="21"/>
    </row>
    <row r="481" spans="1:10">
      <c r="A481" s="19" t="s">
        <v>259</v>
      </c>
      <c r="B481" s="24" t="s">
        <v>260</v>
      </c>
      <c r="C481" s="27"/>
      <c r="D481" s="27"/>
      <c r="E481" s="27"/>
      <c r="F481" s="27"/>
      <c r="G481" s="27"/>
      <c r="H481" s="27"/>
      <c r="I481" s="27"/>
      <c r="J481" s="21"/>
    </row>
    <row r="482" ht="88" spans="1:10">
      <c r="A482" s="27"/>
      <c r="B482" s="27"/>
      <c r="C482" s="21" t="s">
        <v>6729</v>
      </c>
      <c r="D482" s="21" t="s">
        <v>6730</v>
      </c>
      <c r="E482" s="21" t="s">
        <v>287</v>
      </c>
      <c r="F482" s="21" t="s">
        <v>286</v>
      </c>
      <c r="G482" s="21" t="s">
        <v>289</v>
      </c>
      <c r="H482" s="21" t="s">
        <v>6027</v>
      </c>
      <c r="I482" s="21" t="s">
        <v>6014</v>
      </c>
      <c r="J482" s="23" t="s">
        <v>6717</v>
      </c>
    </row>
    <row r="483" ht="36" spans="1:10">
      <c r="A483" s="27"/>
      <c r="B483" s="27"/>
      <c r="C483" s="27" t="s">
        <v>6747</v>
      </c>
      <c r="D483" s="27" t="s">
        <v>6748</v>
      </c>
      <c r="E483" s="27" t="s">
        <v>6747</v>
      </c>
      <c r="F483" s="413" t="s">
        <v>1359</v>
      </c>
      <c r="G483" s="27" t="s">
        <v>6749</v>
      </c>
      <c r="H483" s="27" t="s">
        <v>833</v>
      </c>
      <c r="I483" s="27" t="s">
        <v>6014</v>
      </c>
      <c r="J483" s="21"/>
    </row>
    <row r="484" ht="36" spans="1:10">
      <c r="A484" s="27"/>
      <c r="B484" s="27"/>
      <c r="C484" s="27" t="s">
        <v>6750</v>
      </c>
      <c r="D484" s="27" t="s">
        <v>6751</v>
      </c>
      <c r="E484" s="27" t="s">
        <v>6750</v>
      </c>
      <c r="F484" s="413" t="s">
        <v>1364</v>
      </c>
      <c r="G484" s="27" t="s">
        <v>6752</v>
      </c>
      <c r="H484" s="27" t="s">
        <v>585</v>
      </c>
      <c r="I484" s="27" t="s">
        <v>6014</v>
      </c>
      <c r="J484" s="21"/>
    </row>
    <row r="485" spans="1:10">
      <c r="A485" s="19" t="s">
        <v>262</v>
      </c>
      <c r="B485" s="24" t="s">
        <v>263</v>
      </c>
      <c r="C485" s="27"/>
      <c r="D485" s="27"/>
      <c r="E485" s="27"/>
      <c r="F485" s="27"/>
      <c r="G485" s="27"/>
      <c r="H485" s="27"/>
      <c r="I485" s="27"/>
      <c r="J485" s="21"/>
    </row>
    <row r="486" ht="88" spans="1:10">
      <c r="A486" s="27"/>
      <c r="B486" s="27"/>
      <c r="C486" s="21" t="s">
        <v>6729</v>
      </c>
      <c r="D486" s="21" t="s">
        <v>6730</v>
      </c>
      <c r="E486" s="21" t="s">
        <v>287</v>
      </c>
      <c r="F486" s="21" t="s">
        <v>286</v>
      </c>
      <c r="G486" s="21" t="s">
        <v>289</v>
      </c>
      <c r="H486" s="21" t="s">
        <v>6027</v>
      </c>
      <c r="I486" s="21" t="s">
        <v>6014</v>
      </c>
      <c r="J486" s="23" t="s">
        <v>6717</v>
      </c>
    </row>
    <row r="487" ht="36" spans="1:10">
      <c r="A487" s="27"/>
      <c r="B487" s="27"/>
      <c r="C487" s="27" t="s">
        <v>6747</v>
      </c>
      <c r="D487" s="27" t="s">
        <v>6748</v>
      </c>
      <c r="E487" s="27" t="s">
        <v>6747</v>
      </c>
      <c r="F487" s="413" t="s">
        <v>1359</v>
      </c>
      <c r="G487" s="27" t="s">
        <v>6749</v>
      </c>
      <c r="H487" s="27" t="s">
        <v>833</v>
      </c>
      <c r="I487" s="27" t="s">
        <v>6014</v>
      </c>
      <c r="J487" s="21"/>
    </row>
    <row r="488" ht="36" spans="1:10">
      <c r="A488" s="27"/>
      <c r="B488" s="27"/>
      <c r="C488" s="27" t="s">
        <v>6750</v>
      </c>
      <c r="D488" s="27" t="s">
        <v>6751</v>
      </c>
      <c r="E488" s="27" t="s">
        <v>6750</v>
      </c>
      <c r="F488" s="413" t="s">
        <v>1364</v>
      </c>
      <c r="G488" s="27" t="s">
        <v>6752</v>
      </c>
      <c r="H488" s="27" t="s">
        <v>585</v>
      </c>
      <c r="I488" s="27" t="s">
        <v>6014</v>
      </c>
      <c r="J488" s="21"/>
    </row>
    <row r="489" spans="1:10">
      <c r="A489" s="21"/>
      <c r="B489" s="21"/>
      <c r="C489" s="21"/>
      <c r="D489" s="21"/>
      <c r="E489" s="21"/>
      <c r="F489" s="21"/>
      <c r="G489" s="21"/>
      <c r="H489" s="21"/>
      <c r="I489" s="21"/>
      <c r="J489" s="21"/>
    </row>
    <row r="490" spans="1:10">
      <c r="A490" s="21"/>
      <c r="B490" s="21"/>
      <c r="C490" s="21"/>
      <c r="D490" s="21"/>
      <c r="E490" s="21"/>
      <c r="F490" s="21"/>
      <c r="G490" s="21"/>
      <c r="H490" s="21"/>
      <c r="I490" s="21"/>
      <c r="J490" s="21"/>
    </row>
    <row r="491" spans="1:10">
      <c r="A491" s="21"/>
      <c r="B491" s="21"/>
      <c r="C491" s="21"/>
      <c r="D491" s="21"/>
      <c r="E491" s="21"/>
      <c r="F491" s="21"/>
      <c r="G491" s="21"/>
      <c r="H491" s="21"/>
      <c r="I491" s="21"/>
      <c r="J491" s="21"/>
    </row>
    <row r="492" spans="1:10">
      <c r="A492" s="21"/>
      <c r="B492" s="21"/>
      <c r="C492" s="21"/>
      <c r="D492" s="21"/>
      <c r="E492" s="21"/>
      <c r="F492" s="21"/>
      <c r="G492" s="21"/>
      <c r="H492" s="21"/>
      <c r="I492" s="21"/>
      <c r="J492" s="21"/>
    </row>
    <row r="493" spans="1:10">
      <c r="A493" s="21"/>
      <c r="B493" s="21"/>
      <c r="C493" s="21"/>
      <c r="D493" s="21"/>
      <c r="E493" s="21"/>
      <c r="F493" s="21"/>
      <c r="G493" s="21"/>
      <c r="H493" s="21"/>
      <c r="I493" s="21"/>
      <c r="J493" s="21"/>
    </row>
    <row r="494" spans="1:10">
      <c r="A494" s="21"/>
      <c r="B494" s="21"/>
      <c r="C494" s="21"/>
      <c r="D494" s="21"/>
      <c r="E494" s="21"/>
      <c r="F494" s="21"/>
      <c r="G494" s="21"/>
      <c r="H494" s="21"/>
      <c r="I494" s="21"/>
      <c r="J494" s="21"/>
    </row>
  </sheetData>
  <autoFilter xmlns:etc="http://www.wps.cn/officeDocument/2017/etCustomData" ref="A3:IK488" etc:filterBottomFollowUsedRange="0">
    <extLst/>
  </autoFilter>
  <mergeCells count="11">
    <mergeCell ref="A3:A4"/>
    <mergeCell ref="B3:B4"/>
    <mergeCell ref="C3:C4"/>
    <mergeCell ref="D3:D4"/>
    <mergeCell ref="E3:E4"/>
    <mergeCell ref="F3:F4"/>
    <mergeCell ref="G3:G4"/>
    <mergeCell ref="H3:H4"/>
    <mergeCell ref="I3:I4"/>
    <mergeCell ref="J3:J4"/>
    <mergeCell ref="A1:J2"/>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Office 个人版</Application>
  <HeadingPairs>
    <vt:vector size="2" baseType="variant">
      <vt:variant>
        <vt:lpstr>工作表</vt:lpstr>
      </vt:variant>
      <vt:variant>
        <vt:i4>6</vt:i4>
      </vt:variant>
    </vt:vector>
  </HeadingPairs>
  <TitlesOfParts>
    <vt:vector size="6" baseType="lpstr">
      <vt:lpstr>表格说明</vt:lpstr>
      <vt:lpstr>表结构总览</vt:lpstr>
      <vt:lpstr>数据元说明</vt:lpstr>
      <vt:lpstr>数据结构</vt:lpstr>
      <vt:lpstr>自营报送范围</vt:lpstr>
      <vt:lpstr>删除的表和数据项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dc:creator>
  <cp:lastModifiedBy>Una</cp:lastModifiedBy>
  <dcterms:created xsi:type="dcterms:W3CDTF">2012-04-21T16:50:00Z</dcterms:created>
  <cp:lastPrinted>2014-10-01T02:08:00Z</cp:lastPrinted>
  <dcterms:modified xsi:type="dcterms:W3CDTF">2026-08-05T09:50:03Z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2052-12.1.26026.26026</vt:lpwstr>
  </property>
  <property fmtid="{D5CDD505-2E9C-101B-9397-08002B2CF9AE}" pid="3" name="KSOReadingLayout">
    <vt:bool>true</vt:bool>
  </property>
  <property fmtid="{D5CDD505-2E9C-101B-9397-08002B2CF9AE}" pid="4" name="CalculationRule">
    <vt:i4>0</vt:i4>
  </property>
  <property fmtid="{D5CDD505-2E9C-101B-9397-08002B2CF9AE}" pid="5" name="ICV">
    <vt:lpwstr>7DFDBBAB302FF9D1064D156A076BA045_42</vt:lpwstr>
  </property>
</Properties>
</file>